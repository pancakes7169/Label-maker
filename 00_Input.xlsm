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IA77586\Desktop\Portable_Work_Code\"/>
    </mc:Choice>
  </mc:AlternateContent>
  <bookViews>
    <workbookView xWindow="23055" yWindow="3285" windowWidth="21600" windowHeight="11385" firstSheet="1" activeTab="4"/>
  </bookViews>
  <sheets>
    <sheet name="Input" sheetId="1" r:id="rId1"/>
    <sheet name="Sheet1" sheetId="5" r:id="rId2"/>
    <sheet name="Partial Pallet Cal" sheetId="2" r:id="rId3"/>
    <sheet name="Inventory" sheetId="3" r:id="rId4"/>
    <sheet name="Data" sheetId="4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7" i="1" l="1"/>
  <c r="B3007" i="1"/>
  <c r="A3007" i="1"/>
  <c r="B3006" i="1"/>
  <c r="A3006" i="1"/>
  <c r="B3005" i="1"/>
  <c r="A3005" i="1"/>
  <c r="B3004" i="1"/>
  <c r="A3004" i="1"/>
  <c r="B3003" i="1"/>
  <c r="A3003" i="1"/>
  <c r="B3002" i="1"/>
  <c r="A3002" i="1"/>
  <c r="B3001" i="1"/>
  <c r="A3001" i="1"/>
  <c r="B3000" i="1"/>
  <c r="A3000" i="1"/>
  <c r="B2999" i="1"/>
  <c r="A2999" i="1"/>
  <c r="B2998" i="1"/>
  <c r="A2998" i="1"/>
  <c r="B2997" i="1"/>
  <c r="A2997" i="1"/>
  <c r="B2996" i="1"/>
  <c r="A2996" i="1"/>
  <c r="B2995" i="1"/>
  <c r="A2995" i="1"/>
  <c r="B2994" i="1"/>
  <c r="A2994" i="1"/>
  <c r="B2993" i="1"/>
  <c r="A2993" i="1"/>
  <c r="B2992" i="1"/>
  <c r="A2992" i="1"/>
  <c r="B2991" i="1"/>
  <c r="A2991" i="1"/>
  <c r="B2990" i="1"/>
  <c r="A2990" i="1"/>
  <c r="B2989" i="1"/>
  <c r="A2989" i="1"/>
  <c r="B2988" i="1"/>
  <c r="A2988" i="1"/>
  <c r="B2987" i="1"/>
  <c r="A2987" i="1"/>
  <c r="B2986" i="1"/>
  <c r="A2986" i="1"/>
  <c r="B2985" i="1"/>
  <c r="A2985" i="1"/>
  <c r="B2984" i="1"/>
  <c r="A2984" i="1"/>
  <c r="B2983" i="1"/>
  <c r="A2983" i="1"/>
  <c r="B2982" i="1"/>
  <c r="A2982" i="1"/>
  <c r="B2981" i="1"/>
  <c r="A2981" i="1"/>
  <c r="B2980" i="1"/>
  <c r="A2980" i="1"/>
  <c r="B2979" i="1"/>
  <c r="A2979" i="1"/>
  <c r="B2978" i="1"/>
  <c r="A2978" i="1"/>
  <c r="B2977" i="1"/>
  <c r="A2977" i="1"/>
  <c r="B2976" i="1"/>
  <c r="A2976" i="1"/>
  <c r="B2975" i="1"/>
  <c r="A2975" i="1"/>
  <c r="B2974" i="1"/>
  <c r="A2974" i="1"/>
  <c r="B2973" i="1"/>
  <c r="A2973" i="1"/>
  <c r="B2972" i="1"/>
  <c r="A2972" i="1"/>
  <c r="B2971" i="1"/>
  <c r="A2971" i="1"/>
  <c r="B2970" i="1"/>
  <c r="A2970" i="1"/>
  <c r="B2969" i="1"/>
  <c r="A2969" i="1"/>
  <c r="B2968" i="1"/>
  <c r="A2968" i="1"/>
  <c r="B2967" i="1"/>
  <c r="A2967" i="1"/>
  <c r="B2966" i="1"/>
  <c r="A2966" i="1"/>
  <c r="B2965" i="1"/>
  <c r="A2965" i="1"/>
  <c r="B2964" i="1"/>
  <c r="A2964" i="1"/>
  <c r="B2963" i="1"/>
  <c r="A2963" i="1"/>
  <c r="B2962" i="1"/>
  <c r="A2962" i="1"/>
  <c r="B2961" i="1"/>
  <c r="A2961" i="1"/>
  <c r="B2960" i="1"/>
  <c r="A2960" i="1"/>
  <c r="B2959" i="1"/>
  <c r="A2959" i="1"/>
  <c r="B2958" i="1"/>
  <c r="A2958" i="1"/>
  <c r="B2957" i="1"/>
  <c r="A2957" i="1"/>
  <c r="B2956" i="1"/>
  <c r="A2956" i="1"/>
  <c r="B2955" i="1"/>
  <c r="A2955" i="1"/>
  <c r="B2954" i="1"/>
  <c r="A2954" i="1"/>
  <c r="B2953" i="1"/>
  <c r="A2953" i="1"/>
  <c r="B2952" i="1"/>
  <c r="A2952" i="1"/>
  <c r="B2951" i="1"/>
  <c r="A2951" i="1"/>
  <c r="B2950" i="1"/>
  <c r="A2950" i="1"/>
  <c r="B2949" i="1"/>
  <c r="A2949" i="1"/>
  <c r="B2948" i="1"/>
  <c r="A2948" i="1"/>
  <c r="B2947" i="1"/>
  <c r="A2947" i="1"/>
  <c r="B2946" i="1"/>
  <c r="A2946" i="1"/>
  <c r="B2945" i="1"/>
  <c r="A2945" i="1"/>
  <c r="B2944" i="1"/>
  <c r="A2944" i="1"/>
  <c r="B2943" i="1"/>
  <c r="A2943" i="1"/>
  <c r="B2942" i="1"/>
  <c r="A2942" i="1"/>
  <c r="B2941" i="1"/>
  <c r="A2941" i="1"/>
  <c r="B2940" i="1"/>
  <c r="A2940" i="1"/>
  <c r="B2939" i="1"/>
  <c r="A2939" i="1"/>
  <c r="B2938" i="1"/>
  <c r="A2938" i="1"/>
  <c r="B2937" i="1"/>
  <c r="A2937" i="1"/>
  <c r="B2936" i="1"/>
  <c r="A2936" i="1"/>
  <c r="B2935" i="1"/>
  <c r="A2935" i="1"/>
  <c r="B2934" i="1"/>
  <c r="A2934" i="1"/>
  <c r="B2933" i="1"/>
  <c r="A2933" i="1"/>
  <c r="B2932" i="1"/>
  <c r="A2932" i="1"/>
  <c r="B2931" i="1"/>
  <c r="A2931" i="1"/>
  <c r="B2930" i="1"/>
  <c r="A2930" i="1"/>
  <c r="B2929" i="1"/>
  <c r="A2929" i="1"/>
  <c r="B2928" i="1"/>
  <c r="A2928" i="1"/>
  <c r="B2927" i="1"/>
  <c r="A2927" i="1"/>
  <c r="B2926" i="1"/>
  <c r="A2926" i="1"/>
  <c r="B2925" i="1"/>
  <c r="A2925" i="1"/>
  <c r="B2924" i="1"/>
  <c r="A2924" i="1"/>
  <c r="B2923" i="1"/>
  <c r="A2923" i="1"/>
  <c r="B2922" i="1"/>
  <c r="A2922" i="1"/>
  <c r="B2921" i="1"/>
  <c r="A2921" i="1"/>
  <c r="B2920" i="1"/>
  <c r="A2920" i="1"/>
  <c r="B2919" i="1"/>
  <c r="A2919" i="1"/>
  <c r="B2918" i="1"/>
  <c r="A2918" i="1"/>
  <c r="B2917" i="1"/>
  <c r="A2917" i="1"/>
  <c r="B2916" i="1"/>
  <c r="A2916" i="1"/>
  <c r="B2915" i="1"/>
  <c r="A2915" i="1"/>
  <c r="B2914" i="1"/>
  <c r="A2914" i="1"/>
  <c r="B2913" i="1"/>
  <c r="A2913" i="1"/>
  <c r="B2912" i="1"/>
  <c r="A2912" i="1"/>
  <c r="B2911" i="1"/>
  <c r="A2911" i="1"/>
  <c r="B2910" i="1"/>
  <c r="A2910" i="1"/>
  <c r="B2909" i="1"/>
  <c r="A2909" i="1"/>
  <c r="B2908" i="1"/>
  <c r="A2908" i="1"/>
  <c r="B2907" i="1"/>
  <c r="A2907" i="1"/>
  <c r="B2906" i="1"/>
  <c r="A2906" i="1"/>
  <c r="B2905" i="1"/>
  <c r="A2905" i="1"/>
  <c r="B2904" i="1"/>
  <c r="A2904" i="1"/>
  <c r="B2903" i="1"/>
  <c r="A2903" i="1"/>
  <c r="B2902" i="1"/>
  <c r="A2902" i="1"/>
  <c r="B2901" i="1"/>
  <c r="A2901" i="1"/>
  <c r="B2900" i="1"/>
  <c r="A2900" i="1"/>
  <c r="B2899" i="1"/>
  <c r="A2899" i="1"/>
  <c r="B2898" i="1"/>
  <c r="A2898" i="1"/>
  <c r="B2897" i="1"/>
  <c r="A2897" i="1"/>
  <c r="B2896" i="1"/>
  <c r="A2896" i="1"/>
  <c r="B2895" i="1"/>
  <c r="A2895" i="1"/>
  <c r="B2894" i="1"/>
  <c r="A2894" i="1"/>
  <c r="B2893" i="1"/>
  <c r="A2893" i="1"/>
  <c r="B2892" i="1"/>
  <c r="A2892" i="1"/>
  <c r="B2891" i="1"/>
  <c r="A2891" i="1"/>
  <c r="B2890" i="1"/>
  <c r="A2890" i="1"/>
  <c r="B2889" i="1"/>
  <c r="A2889" i="1"/>
  <c r="B2888" i="1"/>
  <c r="A2888" i="1"/>
  <c r="B2887" i="1"/>
  <c r="A2887" i="1"/>
  <c r="B2886" i="1"/>
  <c r="A2886" i="1"/>
  <c r="B2885" i="1"/>
  <c r="A2885" i="1"/>
  <c r="B2884" i="1"/>
  <c r="A2884" i="1"/>
  <c r="B2883" i="1"/>
  <c r="A2883" i="1"/>
  <c r="B2882" i="1"/>
  <c r="A2882" i="1"/>
  <c r="B2881" i="1"/>
  <c r="A2881" i="1"/>
  <c r="B2880" i="1"/>
  <c r="A2880" i="1"/>
  <c r="B2879" i="1"/>
  <c r="A2879" i="1"/>
  <c r="B2878" i="1"/>
  <c r="A2878" i="1"/>
  <c r="B2877" i="1"/>
  <c r="A2877" i="1"/>
  <c r="B2876" i="1"/>
  <c r="A2876" i="1"/>
  <c r="B2875" i="1"/>
  <c r="A2875" i="1"/>
  <c r="B2874" i="1"/>
  <c r="A2874" i="1"/>
  <c r="B2873" i="1"/>
  <c r="A2873" i="1"/>
  <c r="B2872" i="1"/>
  <c r="A2872" i="1"/>
  <c r="B2871" i="1"/>
  <c r="A2871" i="1"/>
  <c r="B2870" i="1"/>
  <c r="A2870" i="1"/>
  <c r="B2869" i="1"/>
  <c r="A2869" i="1"/>
  <c r="B2868" i="1"/>
  <c r="A2868" i="1"/>
  <c r="B2867" i="1"/>
  <c r="A2867" i="1"/>
  <c r="B2866" i="1"/>
  <c r="A2866" i="1"/>
  <c r="B2865" i="1"/>
  <c r="A2865" i="1"/>
  <c r="B2864" i="1"/>
  <c r="A2864" i="1"/>
  <c r="B2863" i="1"/>
  <c r="A2863" i="1"/>
  <c r="B2862" i="1"/>
  <c r="A2862" i="1"/>
  <c r="B2861" i="1"/>
  <c r="A2861" i="1"/>
  <c r="B2860" i="1"/>
  <c r="A2860" i="1"/>
  <c r="B2859" i="1"/>
  <c r="A2859" i="1"/>
  <c r="B2858" i="1"/>
  <c r="A2858" i="1"/>
  <c r="B2857" i="1"/>
  <c r="A2857" i="1"/>
  <c r="B2856" i="1"/>
  <c r="A2856" i="1"/>
  <c r="B2855" i="1"/>
  <c r="A2855" i="1"/>
  <c r="B2854" i="1"/>
  <c r="A2854" i="1"/>
  <c r="B2853" i="1"/>
  <c r="A2853" i="1"/>
  <c r="B2852" i="1"/>
  <c r="A2852" i="1"/>
  <c r="B2851" i="1"/>
  <c r="A2851" i="1"/>
  <c r="B2850" i="1"/>
  <c r="A2850" i="1"/>
  <c r="B2849" i="1"/>
  <c r="A2849" i="1"/>
  <c r="B2848" i="1"/>
  <c r="A2848" i="1"/>
  <c r="B2847" i="1"/>
  <c r="A2847" i="1"/>
  <c r="B2846" i="1"/>
  <c r="A2846" i="1"/>
  <c r="B2845" i="1"/>
  <c r="A2845" i="1"/>
  <c r="B2844" i="1"/>
  <c r="A2844" i="1"/>
  <c r="B2843" i="1"/>
  <c r="A2843" i="1"/>
  <c r="B2842" i="1"/>
  <c r="A2842" i="1"/>
  <c r="B2841" i="1"/>
  <c r="A2841" i="1"/>
  <c r="B2840" i="1"/>
  <c r="A2840" i="1"/>
  <c r="B2839" i="1"/>
  <c r="A2839" i="1"/>
  <c r="B2838" i="1"/>
  <c r="A2838" i="1"/>
  <c r="B2837" i="1"/>
  <c r="A2837" i="1"/>
  <c r="B2836" i="1"/>
  <c r="A2836" i="1"/>
  <c r="B2835" i="1"/>
  <c r="A2835" i="1"/>
  <c r="B2834" i="1"/>
  <c r="A2834" i="1"/>
  <c r="B2833" i="1"/>
  <c r="A2833" i="1"/>
  <c r="B2832" i="1"/>
  <c r="A2832" i="1"/>
  <c r="B2831" i="1"/>
  <c r="A2831" i="1"/>
  <c r="B2830" i="1"/>
  <c r="A2830" i="1"/>
  <c r="B2829" i="1"/>
  <c r="A2829" i="1"/>
  <c r="B2828" i="1"/>
  <c r="A2828" i="1"/>
  <c r="B2827" i="1"/>
  <c r="A2827" i="1"/>
  <c r="B2826" i="1"/>
  <c r="A2826" i="1"/>
  <c r="B2825" i="1"/>
  <c r="A2825" i="1"/>
  <c r="B2824" i="1"/>
  <c r="A2824" i="1"/>
  <c r="B2823" i="1"/>
  <c r="A2823" i="1"/>
  <c r="B2822" i="1"/>
  <c r="A2822" i="1"/>
  <c r="B2821" i="1"/>
  <c r="A2821" i="1"/>
  <c r="B2820" i="1"/>
  <c r="A2820" i="1"/>
  <c r="B2819" i="1"/>
  <c r="A2819" i="1"/>
  <c r="B2818" i="1"/>
  <c r="A2818" i="1"/>
  <c r="B2817" i="1"/>
  <c r="A2817" i="1"/>
  <c r="B2816" i="1"/>
  <c r="A2816" i="1"/>
  <c r="B2815" i="1"/>
  <c r="A2815" i="1"/>
  <c r="B2814" i="1"/>
  <c r="A2814" i="1"/>
  <c r="B2813" i="1"/>
  <c r="A2813" i="1"/>
  <c r="B2812" i="1"/>
  <c r="A2812" i="1"/>
  <c r="B2811" i="1"/>
  <c r="A2811" i="1"/>
  <c r="B2810" i="1"/>
  <c r="A2810" i="1"/>
  <c r="B2809" i="1"/>
  <c r="A2809" i="1"/>
  <c r="B2808" i="1"/>
  <c r="A2808" i="1"/>
  <c r="B2807" i="1"/>
  <c r="A2807" i="1"/>
  <c r="B2806" i="1"/>
  <c r="A2806" i="1"/>
  <c r="B2805" i="1"/>
  <c r="A2805" i="1"/>
  <c r="B2804" i="1"/>
  <c r="A2804" i="1"/>
  <c r="B2803" i="1"/>
  <c r="A2803" i="1"/>
  <c r="B2802" i="1"/>
  <c r="A2802" i="1"/>
  <c r="B2801" i="1"/>
  <c r="A2801" i="1"/>
  <c r="B2800" i="1"/>
  <c r="A2800" i="1"/>
  <c r="B2799" i="1"/>
  <c r="A2799" i="1"/>
  <c r="B2798" i="1"/>
  <c r="A2798" i="1"/>
  <c r="B2797" i="1"/>
  <c r="A2797" i="1"/>
  <c r="B2796" i="1"/>
  <c r="A2796" i="1"/>
  <c r="B2795" i="1"/>
  <c r="A2795" i="1"/>
  <c r="B2794" i="1"/>
  <c r="A2794" i="1"/>
  <c r="B2793" i="1"/>
  <c r="A2793" i="1"/>
  <c r="B2792" i="1"/>
  <c r="A2792" i="1"/>
  <c r="B2791" i="1"/>
  <c r="A2791" i="1"/>
  <c r="B2790" i="1"/>
  <c r="A2790" i="1"/>
  <c r="B2789" i="1"/>
  <c r="A2789" i="1"/>
  <c r="B2788" i="1"/>
  <c r="A2788" i="1"/>
  <c r="B2787" i="1"/>
  <c r="A2787" i="1"/>
  <c r="B2786" i="1"/>
  <c r="A2786" i="1"/>
  <c r="B2785" i="1"/>
  <c r="A2785" i="1"/>
  <c r="B2784" i="1"/>
  <c r="A2784" i="1"/>
  <c r="B2783" i="1"/>
  <c r="A2783" i="1"/>
  <c r="B2782" i="1"/>
  <c r="A2782" i="1"/>
  <c r="B2781" i="1"/>
  <c r="A2781" i="1"/>
  <c r="B2780" i="1"/>
  <c r="A2780" i="1"/>
  <c r="B2779" i="1"/>
  <c r="A2779" i="1"/>
  <c r="B2778" i="1"/>
  <c r="A2778" i="1"/>
  <c r="B2777" i="1"/>
  <c r="A2777" i="1"/>
  <c r="B2776" i="1"/>
  <c r="A2776" i="1"/>
  <c r="B2775" i="1"/>
  <c r="A2775" i="1"/>
  <c r="B2774" i="1"/>
  <c r="A2774" i="1"/>
  <c r="B2773" i="1"/>
  <c r="A2773" i="1"/>
  <c r="B2772" i="1"/>
  <c r="A2772" i="1"/>
  <c r="B2771" i="1"/>
  <c r="A2771" i="1"/>
  <c r="B2770" i="1"/>
  <c r="A2770" i="1"/>
  <c r="B2769" i="1"/>
  <c r="A2769" i="1"/>
  <c r="B2768" i="1"/>
  <c r="A2768" i="1"/>
  <c r="B2767" i="1"/>
  <c r="A2767" i="1"/>
  <c r="B2766" i="1"/>
  <c r="A2766" i="1"/>
  <c r="B2765" i="1"/>
  <c r="A2765" i="1"/>
  <c r="B2764" i="1"/>
  <c r="A2764" i="1"/>
  <c r="B2763" i="1"/>
  <c r="A2763" i="1"/>
  <c r="B2762" i="1"/>
  <c r="A2762" i="1"/>
  <c r="B2761" i="1"/>
  <c r="A2761" i="1"/>
  <c r="B2760" i="1"/>
  <c r="A2760" i="1"/>
  <c r="B2759" i="1"/>
  <c r="A2759" i="1"/>
  <c r="B2758" i="1"/>
  <c r="A2758" i="1"/>
  <c r="B2757" i="1"/>
  <c r="A2757" i="1"/>
  <c r="B2756" i="1"/>
  <c r="A2756" i="1"/>
  <c r="B2755" i="1"/>
  <c r="A2755" i="1"/>
  <c r="B2754" i="1"/>
  <c r="A2754" i="1"/>
  <c r="B2753" i="1"/>
  <c r="A2753" i="1"/>
  <c r="B2752" i="1"/>
  <c r="A2752" i="1"/>
  <c r="B2751" i="1"/>
  <c r="A2751" i="1"/>
  <c r="B2750" i="1"/>
  <c r="A2750" i="1"/>
  <c r="B2749" i="1"/>
  <c r="A2749" i="1"/>
  <c r="B2748" i="1"/>
  <c r="A2748" i="1"/>
  <c r="B2747" i="1"/>
  <c r="A2747" i="1"/>
  <c r="B2746" i="1"/>
  <c r="A2746" i="1"/>
  <c r="B2745" i="1"/>
  <c r="A2745" i="1"/>
  <c r="B2744" i="1"/>
  <c r="A2744" i="1"/>
  <c r="B2743" i="1"/>
  <c r="A2743" i="1"/>
  <c r="B2742" i="1"/>
  <c r="A2742" i="1"/>
  <c r="B2741" i="1"/>
  <c r="A2741" i="1"/>
  <c r="B2740" i="1"/>
  <c r="A2740" i="1"/>
  <c r="B2739" i="1"/>
  <c r="A2739" i="1"/>
  <c r="B2738" i="1"/>
  <c r="A2738" i="1"/>
  <c r="B2737" i="1"/>
  <c r="A2737" i="1"/>
  <c r="B2736" i="1"/>
  <c r="A2736" i="1"/>
  <c r="B2735" i="1"/>
  <c r="A2735" i="1"/>
  <c r="B2734" i="1"/>
  <c r="A2734" i="1"/>
  <c r="B2733" i="1"/>
  <c r="A2733" i="1"/>
  <c r="B2732" i="1"/>
  <c r="A2732" i="1"/>
  <c r="B2731" i="1"/>
  <c r="A2731" i="1"/>
  <c r="B2730" i="1"/>
  <c r="A2730" i="1"/>
  <c r="B2729" i="1"/>
  <c r="A2729" i="1"/>
  <c r="B2728" i="1"/>
  <c r="A2728" i="1"/>
  <c r="B2727" i="1"/>
  <c r="A2727" i="1"/>
  <c r="B2726" i="1"/>
  <c r="A2726" i="1"/>
  <c r="B2725" i="1"/>
  <c r="A2725" i="1"/>
  <c r="B2724" i="1"/>
  <c r="A2724" i="1"/>
  <c r="B2723" i="1"/>
  <c r="A2723" i="1"/>
  <c r="B2722" i="1"/>
  <c r="A2722" i="1"/>
  <c r="B2721" i="1"/>
  <c r="A2721" i="1"/>
  <c r="B2720" i="1"/>
  <c r="A2720" i="1"/>
  <c r="B2719" i="1"/>
  <c r="A2719" i="1"/>
  <c r="B2718" i="1"/>
  <c r="A2718" i="1"/>
  <c r="B2717" i="1"/>
  <c r="A2717" i="1"/>
  <c r="B2716" i="1"/>
  <c r="A2716" i="1"/>
  <c r="B2715" i="1"/>
  <c r="A2715" i="1"/>
  <c r="B2714" i="1"/>
  <c r="A2714" i="1"/>
  <c r="B2713" i="1"/>
  <c r="A2713" i="1"/>
  <c r="B2712" i="1"/>
  <c r="A2712" i="1"/>
  <c r="B2711" i="1"/>
  <c r="A2711" i="1"/>
  <c r="B2710" i="1"/>
  <c r="A2710" i="1"/>
  <c r="B2709" i="1"/>
  <c r="A2709" i="1"/>
  <c r="B2708" i="1"/>
  <c r="A2708" i="1"/>
  <c r="B2707" i="1"/>
  <c r="A2707" i="1"/>
  <c r="B2706" i="1"/>
  <c r="A2706" i="1"/>
  <c r="B2705" i="1"/>
  <c r="A2705" i="1"/>
  <c r="B2704" i="1"/>
  <c r="A2704" i="1"/>
  <c r="B2703" i="1"/>
  <c r="A2703" i="1"/>
  <c r="B2702" i="1"/>
  <c r="A2702" i="1"/>
  <c r="B2701" i="1"/>
  <c r="A2701" i="1"/>
  <c r="B2700" i="1"/>
  <c r="A2700" i="1"/>
  <c r="B2699" i="1"/>
  <c r="A2699" i="1"/>
  <c r="B2698" i="1"/>
  <c r="A2698" i="1"/>
  <c r="B2697" i="1"/>
  <c r="A2697" i="1"/>
  <c r="B2696" i="1"/>
  <c r="A2696" i="1"/>
  <c r="B2695" i="1"/>
  <c r="A2695" i="1"/>
  <c r="B2694" i="1"/>
  <c r="A2694" i="1"/>
  <c r="B2693" i="1"/>
  <c r="A2693" i="1"/>
  <c r="B2692" i="1"/>
  <c r="A2692" i="1"/>
  <c r="B2691" i="1"/>
  <c r="A2691" i="1"/>
  <c r="B2690" i="1"/>
  <c r="A2690" i="1"/>
  <c r="B2689" i="1"/>
  <c r="A2689" i="1"/>
  <c r="B2688" i="1"/>
  <c r="A2688" i="1"/>
  <c r="B2687" i="1"/>
  <c r="A2687" i="1"/>
  <c r="B2686" i="1"/>
  <c r="A2686" i="1"/>
  <c r="B2685" i="1"/>
  <c r="A2685" i="1"/>
  <c r="B2684" i="1"/>
  <c r="A2684" i="1"/>
  <c r="B2683" i="1"/>
  <c r="A2683" i="1"/>
  <c r="B2682" i="1"/>
  <c r="A2682" i="1"/>
  <c r="B2681" i="1"/>
  <c r="A2681" i="1"/>
  <c r="B2680" i="1"/>
  <c r="A2680" i="1"/>
  <c r="B2679" i="1"/>
  <c r="A2679" i="1"/>
  <c r="B2678" i="1"/>
  <c r="A2678" i="1"/>
  <c r="B2677" i="1"/>
  <c r="A2677" i="1"/>
  <c r="B2676" i="1"/>
  <c r="A2676" i="1"/>
  <c r="B2675" i="1"/>
  <c r="A2675" i="1"/>
  <c r="B2674" i="1"/>
  <c r="A2674" i="1"/>
  <c r="B2673" i="1"/>
  <c r="A2673" i="1"/>
  <c r="B2672" i="1"/>
  <c r="A2672" i="1"/>
  <c r="B2671" i="1"/>
  <c r="A2671" i="1"/>
  <c r="B2670" i="1"/>
  <c r="A2670" i="1"/>
  <c r="B2669" i="1"/>
  <c r="A2669" i="1"/>
  <c r="B2668" i="1"/>
  <c r="A2668" i="1"/>
  <c r="B2667" i="1"/>
  <c r="A2667" i="1"/>
  <c r="B2666" i="1"/>
  <c r="A2666" i="1"/>
  <c r="B2665" i="1"/>
  <c r="A2665" i="1"/>
  <c r="B2664" i="1"/>
  <c r="A2664" i="1"/>
  <c r="B2663" i="1"/>
  <c r="A2663" i="1"/>
  <c r="B2662" i="1"/>
  <c r="A2662" i="1"/>
  <c r="B2661" i="1"/>
  <c r="A2661" i="1"/>
  <c r="B2660" i="1"/>
  <c r="A2660" i="1"/>
  <c r="B2659" i="1"/>
  <c r="A2659" i="1"/>
  <c r="B2658" i="1"/>
  <c r="A2658" i="1"/>
  <c r="B2657" i="1"/>
  <c r="A2657" i="1"/>
  <c r="B2656" i="1"/>
  <c r="A2656" i="1"/>
  <c r="B2655" i="1"/>
  <c r="A2655" i="1"/>
  <c r="B2654" i="1"/>
  <c r="A2654" i="1"/>
  <c r="B2653" i="1"/>
  <c r="A2653" i="1"/>
  <c r="B2652" i="1"/>
  <c r="A2652" i="1"/>
  <c r="B2651" i="1"/>
  <c r="A2651" i="1"/>
  <c r="B2650" i="1"/>
  <c r="A2650" i="1"/>
  <c r="B2649" i="1"/>
  <c r="A2649" i="1"/>
  <c r="B2648" i="1"/>
  <c r="A2648" i="1"/>
  <c r="B2647" i="1"/>
  <c r="A2647" i="1"/>
  <c r="B2646" i="1"/>
  <c r="A2646" i="1"/>
  <c r="B2645" i="1"/>
  <c r="A2645" i="1"/>
  <c r="B2644" i="1"/>
  <c r="A2644" i="1"/>
  <c r="B2643" i="1"/>
  <c r="A2643" i="1"/>
  <c r="B2642" i="1"/>
  <c r="A2642" i="1"/>
  <c r="B2641" i="1"/>
  <c r="A2641" i="1"/>
  <c r="B2640" i="1"/>
  <c r="A2640" i="1"/>
  <c r="B2639" i="1"/>
  <c r="A2639" i="1"/>
  <c r="B2638" i="1"/>
  <c r="A2638" i="1"/>
  <c r="B2637" i="1"/>
  <c r="A2637" i="1"/>
  <c r="B2636" i="1"/>
  <c r="A2636" i="1"/>
  <c r="B2635" i="1"/>
  <c r="A2635" i="1"/>
  <c r="B2634" i="1"/>
  <c r="A2634" i="1"/>
  <c r="B2633" i="1"/>
  <c r="A2633" i="1"/>
  <c r="B2632" i="1"/>
  <c r="A2632" i="1"/>
  <c r="B2631" i="1"/>
  <c r="A2631" i="1"/>
  <c r="B2630" i="1"/>
  <c r="A2630" i="1"/>
  <c r="B2629" i="1"/>
  <c r="A2629" i="1"/>
  <c r="B2628" i="1"/>
  <c r="A2628" i="1"/>
  <c r="B2627" i="1"/>
  <c r="A2627" i="1"/>
  <c r="B2626" i="1"/>
  <c r="A2626" i="1"/>
  <c r="B2625" i="1"/>
  <c r="A2625" i="1"/>
  <c r="B2624" i="1"/>
  <c r="A2624" i="1"/>
  <c r="B2623" i="1"/>
  <c r="A2623" i="1"/>
  <c r="B2622" i="1"/>
  <c r="A2622" i="1"/>
  <c r="B2621" i="1"/>
  <c r="A2621" i="1"/>
  <c r="B2620" i="1"/>
  <c r="A2620" i="1"/>
  <c r="B2619" i="1"/>
  <c r="A2619" i="1"/>
  <c r="B2618" i="1"/>
  <c r="A2618" i="1"/>
  <c r="B2617" i="1"/>
  <c r="A2617" i="1"/>
  <c r="B2616" i="1"/>
  <c r="A2616" i="1"/>
  <c r="B2615" i="1"/>
  <c r="A2615" i="1"/>
  <c r="B2614" i="1"/>
  <c r="A2614" i="1"/>
  <c r="B2613" i="1"/>
  <c r="A2613" i="1"/>
  <c r="B2612" i="1"/>
  <c r="A2612" i="1"/>
  <c r="B2611" i="1"/>
  <c r="A2611" i="1"/>
  <c r="B2610" i="1"/>
  <c r="A2610" i="1"/>
  <c r="B2609" i="1"/>
  <c r="A2609" i="1"/>
  <c r="B2608" i="1"/>
  <c r="A2608" i="1"/>
  <c r="B2607" i="1"/>
  <c r="A2607" i="1"/>
  <c r="B2606" i="1"/>
  <c r="A2606" i="1"/>
  <c r="B2605" i="1"/>
  <c r="A2605" i="1"/>
  <c r="B2604" i="1"/>
  <c r="A2604" i="1"/>
  <c r="B2603" i="1"/>
  <c r="A2603" i="1"/>
  <c r="B2602" i="1"/>
  <c r="A2602" i="1"/>
  <c r="B2601" i="1"/>
  <c r="A2601" i="1"/>
  <c r="B2600" i="1"/>
  <c r="A2600" i="1"/>
  <c r="B2599" i="1"/>
  <c r="A2599" i="1"/>
  <c r="B2598" i="1"/>
  <c r="A2598" i="1"/>
  <c r="B2597" i="1"/>
  <c r="A2597" i="1"/>
  <c r="B2596" i="1"/>
  <c r="A2596" i="1"/>
  <c r="B2595" i="1"/>
  <c r="A2595" i="1"/>
  <c r="B2594" i="1"/>
  <c r="A2594" i="1"/>
  <c r="B2593" i="1"/>
  <c r="A2593" i="1"/>
  <c r="B2592" i="1"/>
  <c r="A2592" i="1"/>
  <c r="B2591" i="1"/>
  <c r="A2591" i="1"/>
  <c r="B2590" i="1"/>
  <c r="A2590" i="1"/>
  <c r="B2589" i="1"/>
  <c r="A2589" i="1"/>
  <c r="B2588" i="1"/>
  <c r="A2588" i="1"/>
  <c r="B2587" i="1"/>
  <c r="A2587" i="1"/>
  <c r="B2586" i="1"/>
  <c r="A2586" i="1"/>
  <c r="B2585" i="1"/>
  <c r="A2585" i="1"/>
  <c r="B2584" i="1"/>
  <c r="A2584" i="1"/>
  <c r="B2583" i="1"/>
  <c r="A2583" i="1"/>
  <c r="B2582" i="1"/>
  <c r="A2582" i="1"/>
  <c r="B2581" i="1"/>
  <c r="A2581" i="1"/>
  <c r="B2580" i="1"/>
  <c r="A2580" i="1"/>
  <c r="B2579" i="1"/>
  <c r="A2579" i="1"/>
  <c r="B2578" i="1"/>
  <c r="A2578" i="1"/>
  <c r="B2577" i="1"/>
  <c r="A2577" i="1"/>
  <c r="B2576" i="1"/>
  <c r="A2576" i="1"/>
  <c r="B2575" i="1"/>
  <c r="A2575" i="1"/>
  <c r="B2574" i="1"/>
  <c r="A2574" i="1"/>
  <c r="B2573" i="1"/>
  <c r="A2573" i="1"/>
  <c r="B2572" i="1"/>
  <c r="A2572" i="1"/>
  <c r="B2571" i="1"/>
  <c r="A2571" i="1"/>
  <c r="B2570" i="1"/>
  <c r="A2570" i="1"/>
  <c r="B2569" i="1"/>
  <c r="A2569" i="1"/>
  <c r="B2568" i="1"/>
  <c r="A2568" i="1"/>
  <c r="B2567" i="1"/>
  <c r="A2567" i="1"/>
  <c r="B2566" i="1"/>
  <c r="A2566" i="1"/>
  <c r="B2565" i="1"/>
  <c r="A2565" i="1"/>
  <c r="B2564" i="1"/>
  <c r="A2564" i="1"/>
  <c r="B2563" i="1"/>
  <c r="A2563" i="1"/>
  <c r="B2562" i="1"/>
  <c r="A2562" i="1"/>
  <c r="B2561" i="1"/>
  <c r="A2561" i="1"/>
  <c r="B2560" i="1"/>
  <c r="A2560" i="1"/>
  <c r="B2559" i="1"/>
  <c r="A2559" i="1"/>
  <c r="B2558" i="1"/>
  <c r="A2558" i="1"/>
  <c r="B2557" i="1"/>
  <c r="A2557" i="1"/>
  <c r="B2556" i="1"/>
  <c r="A2556" i="1"/>
  <c r="B2555" i="1"/>
  <c r="A2555" i="1"/>
  <c r="B2554" i="1"/>
  <c r="A2554" i="1"/>
  <c r="B2553" i="1"/>
  <c r="A2553" i="1"/>
  <c r="B2552" i="1"/>
  <c r="A2552" i="1"/>
  <c r="B2551" i="1"/>
  <c r="A2551" i="1"/>
  <c r="B2550" i="1"/>
  <c r="A2550" i="1"/>
  <c r="B2549" i="1"/>
  <c r="A2549" i="1"/>
  <c r="B2548" i="1"/>
  <c r="A2548" i="1"/>
  <c r="B2547" i="1"/>
  <c r="A2547" i="1"/>
  <c r="B2546" i="1"/>
  <c r="A2546" i="1"/>
  <c r="B2545" i="1"/>
  <c r="A2545" i="1"/>
  <c r="B2544" i="1"/>
  <c r="A2544" i="1"/>
  <c r="B2543" i="1"/>
  <c r="A2543" i="1"/>
  <c r="B2542" i="1"/>
  <c r="A2542" i="1"/>
  <c r="B2541" i="1"/>
  <c r="A2541" i="1"/>
  <c r="B2540" i="1"/>
  <c r="A2540" i="1"/>
  <c r="B2539" i="1"/>
  <c r="A2539" i="1"/>
  <c r="B2538" i="1"/>
  <c r="A2538" i="1"/>
  <c r="B2537" i="1"/>
  <c r="A2537" i="1"/>
  <c r="B2536" i="1"/>
  <c r="A2536" i="1"/>
  <c r="B2535" i="1"/>
  <c r="A2535" i="1"/>
  <c r="B2534" i="1"/>
  <c r="A2534" i="1"/>
  <c r="B2533" i="1"/>
  <c r="A2533" i="1"/>
  <c r="B2532" i="1"/>
  <c r="A2532" i="1"/>
  <c r="B2531" i="1"/>
  <c r="A2531" i="1"/>
  <c r="B2530" i="1"/>
  <c r="A2530" i="1"/>
  <c r="B2529" i="1"/>
  <c r="A2529" i="1"/>
  <c r="B2528" i="1"/>
  <c r="A2528" i="1"/>
  <c r="B2527" i="1"/>
  <c r="A2527" i="1"/>
  <c r="B2526" i="1"/>
  <c r="A2526" i="1"/>
  <c r="B2525" i="1"/>
  <c r="A2525" i="1"/>
  <c r="B2524" i="1"/>
  <c r="A2524" i="1"/>
  <c r="B2523" i="1"/>
  <c r="A2523" i="1"/>
  <c r="B2522" i="1"/>
  <c r="A2522" i="1"/>
  <c r="B2521" i="1"/>
  <c r="A2521" i="1"/>
  <c r="B2520" i="1"/>
  <c r="A2520" i="1"/>
  <c r="B2519" i="1"/>
  <c r="A2519" i="1"/>
  <c r="B2518" i="1"/>
  <c r="A2518" i="1"/>
  <c r="B2517" i="1"/>
  <c r="A2517" i="1"/>
  <c r="B2516" i="1"/>
  <c r="A2516" i="1"/>
  <c r="B2515" i="1"/>
  <c r="A2515" i="1"/>
  <c r="B2514" i="1"/>
  <c r="A2514" i="1"/>
  <c r="B2513" i="1"/>
  <c r="A2513" i="1"/>
  <c r="B2512" i="1"/>
  <c r="A2512" i="1"/>
  <c r="B2511" i="1"/>
  <c r="A2511" i="1"/>
  <c r="B2510" i="1"/>
  <c r="A2510" i="1"/>
  <c r="B2509" i="1"/>
  <c r="A2509" i="1"/>
  <c r="B2508" i="1"/>
  <c r="A2508" i="1"/>
  <c r="B2507" i="1"/>
  <c r="A2507" i="1"/>
  <c r="B2506" i="1"/>
  <c r="A2506" i="1"/>
  <c r="B2505" i="1"/>
  <c r="A2505" i="1"/>
  <c r="B2504" i="1"/>
  <c r="A2504" i="1"/>
  <c r="B2503" i="1"/>
  <c r="A2503" i="1"/>
  <c r="B2502" i="1"/>
  <c r="A2502" i="1"/>
  <c r="B2501" i="1"/>
  <c r="A2501" i="1"/>
  <c r="B2500" i="1"/>
  <c r="A2500" i="1"/>
  <c r="B2499" i="1"/>
  <c r="A2499" i="1"/>
  <c r="B2498" i="1"/>
  <c r="A2498" i="1"/>
  <c r="B2497" i="1"/>
  <c r="A2497" i="1"/>
  <c r="B2496" i="1"/>
  <c r="A2496" i="1"/>
  <c r="B2495" i="1"/>
  <c r="A2495" i="1"/>
  <c r="B2494" i="1"/>
  <c r="A2494" i="1"/>
  <c r="B2493" i="1"/>
  <c r="A2493" i="1"/>
  <c r="B2492" i="1"/>
  <c r="A2492" i="1"/>
  <c r="B2491" i="1"/>
  <c r="A2491" i="1"/>
  <c r="B2490" i="1"/>
  <c r="A2490" i="1"/>
  <c r="B2489" i="1"/>
  <c r="A2489" i="1"/>
  <c r="B2488" i="1"/>
  <c r="A2488" i="1"/>
  <c r="B2487" i="1"/>
  <c r="A2487" i="1"/>
  <c r="B2486" i="1"/>
  <c r="A2486" i="1"/>
  <c r="B2485" i="1"/>
  <c r="A2485" i="1"/>
  <c r="B2484" i="1"/>
  <c r="A2484" i="1"/>
  <c r="B2483" i="1"/>
  <c r="A2483" i="1"/>
  <c r="B2482" i="1"/>
  <c r="A2482" i="1"/>
  <c r="B2481" i="1"/>
  <c r="A2481" i="1"/>
  <c r="B2480" i="1"/>
  <c r="A2480" i="1"/>
  <c r="B2479" i="1"/>
  <c r="A2479" i="1"/>
  <c r="B2478" i="1"/>
  <c r="A2478" i="1"/>
  <c r="B2477" i="1"/>
  <c r="A2477" i="1"/>
  <c r="B2476" i="1"/>
  <c r="A2476" i="1"/>
  <c r="B2475" i="1"/>
  <c r="A2475" i="1"/>
  <c r="B2474" i="1"/>
  <c r="A2474" i="1"/>
  <c r="B2473" i="1"/>
  <c r="A2473" i="1"/>
  <c r="B2472" i="1"/>
  <c r="A2472" i="1"/>
  <c r="B2471" i="1"/>
  <c r="A2471" i="1"/>
  <c r="B2470" i="1"/>
  <c r="A2470" i="1"/>
  <c r="B2469" i="1"/>
  <c r="A2469" i="1"/>
  <c r="B2468" i="1"/>
  <c r="A2468" i="1"/>
  <c r="B2467" i="1"/>
  <c r="A2467" i="1"/>
  <c r="B2466" i="1"/>
  <c r="A2466" i="1"/>
  <c r="B2465" i="1"/>
  <c r="A2465" i="1"/>
  <c r="B2464" i="1"/>
  <c r="A2464" i="1"/>
  <c r="B2463" i="1"/>
  <c r="A2463" i="1"/>
  <c r="B2462" i="1"/>
  <c r="A2462" i="1"/>
  <c r="B2461" i="1"/>
  <c r="A2461" i="1"/>
  <c r="B2460" i="1"/>
  <c r="A2460" i="1"/>
  <c r="B2459" i="1"/>
  <c r="A2459" i="1"/>
  <c r="B2458" i="1"/>
  <c r="A2458" i="1"/>
  <c r="B2457" i="1"/>
  <c r="A2457" i="1"/>
  <c r="B2456" i="1"/>
  <c r="A2456" i="1"/>
  <c r="B2455" i="1"/>
  <c r="A2455" i="1"/>
  <c r="B2454" i="1"/>
  <c r="A2454" i="1"/>
  <c r="B2453" i="1"/>
  <c r="A2453" i="1"/>
  <c r="B2452" i="1"/>
  <c r="A2452" i="1"/>
  <c r="B2451" i="1"/>
  <c r="A2451" i="1"/>
  <c r="B2450" i="1"/>
  <c r="A2450" i="1"/>
  <c r="B2449" i="1"/>
  <c r="A2449" i="1"/>
  <c r="B2448" i="1"/>
  <c r="A2448" i="1"/>
  <c r="B2447" i="1"/>
  <c r="A2447" i="1"/>
  <c r="B2446" i="1"/>
  <c r="A2446" i="1"/>
  <c r="B2445" i="1"/>
  <c r="A2445" i="1"/>
  <c r="B2444" i="1"/>
  <c r="A2444" i="1"/>
  <c r="B2443" i="1"/>
  <c r="A2443" i="1"/>
  <c r="B2442" i="1"/>
  <c r="A2442" i="1"/>
  <c r="B2441" i="1"/>
  <c r="A2441" i="1"/>
  <c r="B2440" i="1"/>
  <c r="A2440" i="1"/>
  <c r="B2439" i="1"/>
  <c r="A2439" i="1"/>
  <c r="B2438" i="1"/>
  <c r="A2438" i="1"/>
  <c r="B2437" i="1"/>
  <c r="A2437" i="1"/>
  <c r="B2436" i="1"/>
  <c r="A2436" i="1"/>
  <c r="B2435" i="1"/>
  <c r="A2435" i="1"/>
  <c r="B2434" i="1"/>
  <c r="A2434" i="1"/>
  <c r="B2433" i="1"/>
  <c r="A2433" i="1"/>
  <c r="B2432" i="1"/>
  <c r="A2432" i="1"/>
  <c r="B2431" i="1"/>
  <c r="A2431" i="1"/>
  <c r="B2430" i="1"/>
  <c r="A2430" i="1"/>
  <c r="B2429" i="1"/>
  <c r="A2429" i="1"/>
  <c r="B2428" i="1"/>
  <c r="A2428" i="1"/>
  <c r="B2427" i="1"/>
  <c r="A2427" i="1"/>
  <c r="B2426" i="1"/>
  <c r="A2426" i="1"/>
  <c r="B2425" i="1"/>
  <c r="A2425" i="1"/>
  <c r="B2424" i="1"/>
  <c r="A2424" i="1"/>
  <c r="B2423" i="1"/>
  <c r="A2423" i="1"/>
  <c r="B2422" i="1"/>
  <c r="A2422" i="1"/>
  <c r="B2421" i="1"/>
  <c r="A2421" i="1"/>
  <c r="B2420" i="1"/>
  <c r="A2420" i="1"/>
  <c r="B2419" i="1"/>
  <c r="A2419" i="1"/>
  <c r="B2418" i="1"/>
  <c r="A2418" i="1"/>
  <c r="B2417" i="1"/>
  <c r="A2417" i="1"/>
  <c r="B2416" i="1"/>
  <c r="A2416" i="1"/>
  <c r="B2415" i="1"/>
  <c r="A2415" i="1"/>
  <c r="B2414" i="1"/>
  <c r="A2414" i="1"/>
  <c r="B2413" i="1"/>
  <c r="A2413" i="1"/>
  <c r="B2412" i="1"/>
  <c r="A2412" i="1"/>
  <c r="B2411" i="1"/>
  <c r="A2411" i="1"/>
  <c r="B2410" i="1"/>
  <c r="A2410" i="1"/>
  <c r="B2409" i="1"/>
  <c r="A2409" i="1"/>
  <c r="B2408" i="1"/>
  <c r="A2408" i="1"/>
  <c r="B2407" i="1"/>
  <c r="A2407" i="1"/>
  <c r="B2406" i="1"/>
  <c r="A2406" i="1"/>
  <c r="B2405" i="1"/>
  <c r="A2405" i="1"/>
  <c r="B2404" i="1"/>
  <c r="A2404" i="1"/>
  <c r="B2403" i="1"/>
  <c r="A2403" i="1"/>
  <c r="B2402" i="1"/>
  <c r="A2402" i="1"/>
  <c r="B2401" i="1"/>
  <c r="A2401" i="1"/>
  <c r="B2400" i="1"/>
  <c r="A2400" i="1"/>
  <c r="B2399" i="1"/>
  <c r="A2399" i="1"/>
  <c r="B2398" i="1"/>
  <c r="A2398" i="1"/>
  <c r="B2397" i="1"/>
  <c r="A2397" i="1"/>
  <c r="B2396" i="1"/>
  <c r="A2396" i="1"/>
  <c r="B2395" i="1"/>
  <c r="A2395" i="1"/>
  <c r="B2394" i="1"/>
  <c r="A2394" i="1"/>
  <c r="B2393" i="1"/>
  <c r="A2393" i="1"/>
  <c r="B2392" i="1"/>
  <c r="A2392" i="1"/>
  <c r="B2391" i="1"/>
  <c r="A2391" i="1"/>
  <c r="B2390" i="1"/>
  <c r="A2390" i="1"/>
  <c r="B2389" i="1"/>
  <c r="A2389" i="1"/>
  <c r="B2388" i="1"/>
  <c r="A2388" i="1"/>
  <c r="B2387" i="1"/>
  <c r="A2387" i="1"/>
  <c r="B2386" i="1"/>
  <c r="A2386" i="1"/>
  <c r="B2385" i="1"/>
  <c r="A2385" i="1"/>
  <c r="B2384" i="1"/>
  <c r="A2384" i="1"/>
  <c r="B2383" i="1"/>
  <c r="A2383" i="1"/>
  <c r="B2382" i="1"/>
  <c r="A2382" i="1"/>
  <c r="B2381" i="1"/>
  <c r="A2381" i="1"/>
  <c r="B2380" i="1"/>
  <c r="A2380" i="1"/>
  <c r="B2379" i="1"/>
  <c r="A2379" i="1"/>
  <c r="B2378" i="1"/>
  <c r="A2378" i="1"/>
  <c r="B2377" i="1"/>
  <c r="A2377" i="1"/>
  <c r="B2376" i="1"/>
  <c r="A2376" i="1"/>
  <c r="B2375" i="1"/>
  <c r="A2375" i="1"/>
  <c r="B2374" i="1"/>
  <c r="A2374" i="1"/>
  <c r="B2373" i="1"/>
  <c r="A2373" i="1"/>
  <c r="B2372" i="1"/>
  <c r="A2372" i="1"/>
  <c r="B2371" i="1"/>
  <c r="A2371" i="1"/>
  <c r="B2370" i="1"/>
  <c r="A2370" i="1"/>
  <c r="B2369" i="1"/>
  <c r="A2369" i="1"/>
  <c r="B2368" i="1"/>
  <c r="A2368" i="1"/>
  <c r="B2367" i="1"/>
  <c r="A2367" i="1"/>
  <c r="B2366" i="1"/>
  <c r="A2366" i="1"/>
  <c r="B2365" i="1"/>
  <c r="A2365" i="1"/>
  <c r="B2364" i="1"/>
  <c r="A2364" i="1"/>
  <c r="B2363" i="1"/>
  <c r="A2363" i="1"/>
  <c r="B2362" i="1"/>
  <c r="A2362" i="1"/>
  <c r="B2361" i="1"/>
  <c r="A2361" i="1"/>
  <c r="B2360" i="1"/>
  <c r="A2360" i="1"/>
  <c r="B2359" i="1"/>
  <c r="A2359" i="1"/>
  <c r="B2358" i="1"/>
  <c r="A2358" i="1"/>
  <c r="B2357" i="1"/>
  <c r="A2357" i="1"/>
  <c r="B2356" i="1"/>
  <c r="A2356" i="1"/>
  <c r="B2355" i="1"/>
  <c r="A2355" i="1"/>
  <c r="B2354" i="1"/>
  <c r="A2354" i="1"/>
  <c r="B2353" i="1"/>
  <c r="A2353" i="1"/>
  <c r="B2352" i="1"/>
  <c r="A2352" i="1"/>
  <c r="B2351" i="1"/>
  <c r="A2351" i="1"/>
  <c r="B2350" i="1"/>
  <c r="A2350" i="1"/>
  <c r="B2349" i="1"/>
  <c r="A2349" i="1"/>
  <c r="B2348" i="1"/>
  <c r="A2348" i="1"/>
  <c r="B2347" i="1"/>
  <c r="A2347" i="1"/>
  <c r="B2346" i="1"/>
  <c r="A2346" i="1"/>
  <c r="B2345" i="1"/>
  <c r="A2345" i="1"/>
  <c r="B2344" i="1"/>
  <c r="A2344" i="1"/>
  <c r="B2343" i="1"/>
  <c r="A2343" i="1"/>
  <c r="B2342" i="1"/>
  <c r="A2342" i="1"/>
  <c r="B2341" i="1"/>
  <c r="A2341" i="1"/>
  <c r="B2340" i="1"/>
  <c r="A2340" i="1"/>
  <c r="B2339" i="1"/>
  <c r="A2339" i="1"/>
  <c r="B2338" i="1"/>
  <c r="A2338" i="1"/>
  <c r="B2337" i="1"/>
  <c r="A2337" i="1"/>
  <c r="B2336" i="1"/>
  <c r="A2336" i="1"/>
  <c r="B2335" i="1"/>
  <c r="A2335" i="1"/>
  <c r="B2334" i="1"/>
  <c r="A2334" i="1"/>
  <c r="B2333" i="1"/>
  <c r="A2333" i="1"/>
  <c r="B2332" i="1"/>
  <c r="A2332" i="1"/>
  <c r="B2331" i="1"/>
  <c r="A2331" i="1"/>
  <c r="B2330" i="1"/>
  <c r="A2330" i="1"/>
  <c r="B2329" i="1"/>
  <c r="A2329" i="1"/>
  <c r="B2328" i="1"/>
  <c r="A2328" i="1"/>
  <c r="B2327" i="1"/>
  <c r="A2327" i="1"/>
  <c r="B2326" i="1"/>
  <c r="A2326" i="1"/>
  <c r="B2325" i="1"/>
  <c r="A2325" i="1"/>
  <c r="B2324" i="1"/>
  <c r="A2324" i="1"/>
  <c r="B2323" i="1"/>
  <c r="A2323" i="1"/>
  <c r="B2322" i="1"/>
  <c r="A2322" i="1"/>
  <c r="B2321" i="1"/>
  <c r="A2321" i="1"/>
  <c r="B2320" i="1"/>
  <c r="A2320" i="1"/>
  <c r="B2319" i="1"/>
  <c r="A2319" i="1"/>
  <c r="B2318" i="1"/>
  <c r="A2318" i="1"/>
  <c r="B2317" i="1"/>
  <c r="A2317" i="1"/>
  <c r="B2316" i="1"/>
  <c r="A2316" i="1"/>
  <c r="B2315" i="1"/>
  <c r="A2315" i="1"/>
  <c r="B2314" i="1"/>
  <c r="A2314" i="1"/>
  <c r="B2313" i="1"/>
  <c r="A2313" i="1"/>
  <c r="B2312" i="1"/>
  <c r="A2312" i="1"/>
  <c r="B2311" i="1"/>
  <c r="A2311" i="1"/>
  <c r="B2310" i="1"/>
  <c r="A2310" i="1"/>
  <c r="B2309" i="1"/>
  <c r="A2309" i="1"/>
  <c r="B2308" i="1"/>
  <c r="A2308" i="1"/>
  <c r="B2307" i="1"/>
  <c r="A2307" i="1"/>
  <c r="B2306" i="1"/>
  <c r="A2306" i="1"/>
  <c r="B2305" i="1"/>
  <c r="A2305" i="1"/>
  <c r="B2304" i="1"/>
  <c r="A2304" i="1"/>
  <c r="B2303" i="1"/>
  <c r="A2303" i="1"/>
  <c r="B2302" i="1"/>
  <c r="A2302" i="1"/>
  <c r="B2301" i="1"/>
  <c r="A2301" i="1"/>
  <c r="B2300" i="1"/>
  <c r="A2300" i="1"/>
  <c r="B2299" i="1"/>
  <c r="A2299" i="1"/>
  <c r="B2298" i="1"/>
  <c r="A2298" i="1"/>
  <c r="B2297" i="1"/>
  <c r="A2297" i="1"/>
  <c r="B2296" i="1"/>
  <c r="A2296" i="1"/>
  <c r="B2295" i="1"/>
  <c r="A2295" i="1"/>
  <c r="B2294" i="1"/>
  <c r="A2294" i="1"/>
  <c r="B2293" i="1"/>
  <c r="A2293" i="1"/>
  <c r="B2292" i="1"/>
  <c r="A2292" i="1"/>
  <c r="B2291" i="1"/>
  <c r="A2291" i="1"/>
  <c r="B2290" i="1"/>
  <c r="A2290" i="1"/>
  <c r="B2289" i="1"/>
  <c r="A2289" i="1"/>
  <c r="B2288" i="1"/>
  <c r="A2288" i="1"/>
  <c r="B2287" i="1"/>
  <c r="A2287" i="1"/>
  <c r="B2286" i="1"/>
  <c r="A2286" i="1"/>
  <c r="B2285" i="1"/>
  <c r="A2285" i="1"/>
  <c r="B2284" i="1"/>
  <c r="A2284" i="1"/>
  <c r="B2283" i="1"/>
  <c r="A2283" i="1"/>
  <c r="B2282" i="1"/>
  <c r="A2282" i="1"/>
  <c r="B2281" i="1"/>
  <c r="A2281" i="1"/>
  <c r="B2280" i="1"/>
  <c r="A2280" i="1"/>
  <c r="B2279" i="1"/>
  <c r="A2279" i="1"/>
  <c r="B2278" i="1"/>
  <c r="A2278" i="1"/>
  <c r="B2277" i="1"/>
  <c r="A2277" i="1"/>
  <c r="B2276" i="1"/>
  <c r="A2276" i="1"/>
  <c r="B2275" i="1"/>
  <c r="A2275" i="1"/>
  <c r="B2274" i="1"/>
  <c r="A2274" i="1"/>
  <c r="B2273" i="1"/>
  <c r="A2273" i="1"/>
  <c r="B2272" i="1"/>
  <c r="A2272" i="1"/>
  <c r="B2271" i="1"/>
  <c r="A2271" i="1"/>
  <c r="B2270" i="1"/>
  <c r="A2270" i="1"/>
  <c r="B2269" i="1"/>
  <c r="A2269" i="1"/>
  <c r="B2268" i="1"/>
  <c r="A2268" i="1"/>
  <c r="B2267" i="1"/>
  <c r="A2267" i="1"/>
  <c r="B2266" i="1"/>
  <c r="A2266" i="1"/>
  <c r="B2265" i="1"/>
  <c r="A2265" i="1"/>
  <c r="B2264" i="1"/>
  <c r="A2264" i="1"/>
  <c r="B2263" i="1"/>
  <c r="A2263" i="1"/>
  <c r="B2262" i="1"/>
  <c r="A2262" i="1"/>
  <c r="B2261" i="1"/>
  <c r="A2261" i="1"/>
  <c r="B2260" i="1"/>
  <c r="A2260" i="1"/>
  <c r="B2259" i="1"/>
  <c r="A2259" i="1"/>
  <c r="B2258" i="1"/>
  <c r="A2258" i="1"/>
  <c r="B2257" i="1"/>
  <c r="A2257" i="1"/>
  <c r="B2256" i="1"/>
  <c r="A2256" i="1"/>
  <c r="B2255" i="1"/>
  <c r="A2255" i="1"/>
  <c r="B2254" i="1"/>
  <c r="A2254" i="1"/>
  <c r="B2253" i="1"/>
  <c r="A2253" i="1"/>
  <c r="B2252" i="1"/>
  <c r="A2252" i="1"/>
  <c r="B2251" i="1"/>
  <c r="A2251" i="1"/>
  <c r="B2250" i="1"/>
  <c r="A2250" i="1"/>
  <c r="B2249" i="1"/>
  <c r="A2249" i="1"/>
  <c r="B2248" i="1"/>
  <c r="A2248" i="1"/>
  <c r="B2247" i="1"/>
  <c r="A2247" i="1"/>
  <c r="B2246" i="1"/>
  <c r="A2246" i="1"/>
  <c r="B2245" i="1"/>
  <c r="A2245" i="1"/>
  <c r="B2244" i="1"/>
  <c r="A2244" i="1"/>
  <c r="B2243" i="1"/>
  <c r="A2243" i="1"/>
  <c r="B2242" i="1"/>
  <c r="A2242" i="1"/>
  <c r="B2241" i="1"/>
  <c r="A2241" i="1"/>
  <c r="B2240" i="1"/>
  <c r="A2240" i="1"/>
  <c r="B2239" i="1"/>
  <c r="A2239" i="1"/>
  <c r="B2238" i="1"/>
  <c r="A2238" i="1"/>
  <c r="B2237" i="1"/>
  <c r="A2237" i="1"/>
  <c r="B2236" i="1"/>
  <c r="A2236" i="1"/>
  <c r="B2235" i="1"/>
  <c r="A2235" i="1"/>
  <c r="B2234" i="1"/>
  <c r="A2234" i="1"/>
  <c r="B2233" i="1"/>
  <c r="A2233" i="1"/>
  <c r="B2232" i="1"/>
  <c r="A2232" i="1"/>
  <c r="B2231" i="1"/>
  <c r="A2231" i="1"/>
  <c r="B2230" i="1"/>
  <c r="A2230" i="1"/>
  <c r="B2229" i="1"/>
  <c r="A2229" i="1"/>
  <c r="B2228" i="1"/>
  <c r="A2228" i="1"/>
  <c r="B2227" i="1"/>
  <c r="A2227" i="1"/>
  <c r="B2226" i="1"/>
  <c r="A2226" i="1"/>
  <c r="B2225" i="1"/>
  <c r="A2225" i="1"/>
  <c r="B2224" i="1"/>
  <c r="A2224" i="1"/>
  <c r="B2223" i="1"/>
  <c r="A2223" i="1"/>
  <c r="B2222" i="1"/>
  <c r="A2222" i="1"/>
  <c r="B2221" i="1"/>
  <c r="A2221" i="1"/>
  <c r="B2220" i="1"/>
  <c r="A2220" i="1"/>
  <c r="B2219" i="1"/>
  <c r="A2219" i="1"/>
  <c r="B2218" i="1"/>
  <c r="A2218" i="1"/>
  <c r="B2217" i="1"/>
  <c r="A2217" i="1"/>
  <c r="B2216" i="1"/>
  <c r="A2216" i="1"/>
  <c r="B2215" i="1"/>
  <c r="A2215" i="1"/>
  <c r="B2214" i="1"/>
  <c r="A2214" i="1"/>
  <c r="B2213" i="1"/>
  <c r="A2213" i="1"/>
  <c r="B2212" i="1"/>
  <c r="A2212" i="1"/>
  <c r="B2211" i="1"/>
  <c r="A2211" i="1"/>
  <c r="B2210" i="1"/>
  <c r="A2210" i="1"/>
  <c r="B2209" i="1"/>
  <c r="A2209" i="1"/>
  <c r="B2208" i="1"/>
  <c r="A2208" i="1"/>
  <c r="B2207" i="1"/>
  <c r="A2207" i="1"/>
  <c r="B2206" i="1"/>
  <c r="A2206" i="1"/>
  <c r="B2205" i="1"/>
  <c r="A2205" i="1"/>
  <c r="B2204" i="1"/>
  <c r="A2204" i="1"/>
  <c r="B2203" i="1"/>
  <c r="A2203" i="1"/>
  <c r="B2202" i="1"/>
  <c r="A2202" i="1"/>
  <c r="B2201" i="1"/>
  <c r="A2201" i="1"/>
  <c r="B2200" i="1"/>
  <c r="A2200" i="1"/>
  <c r="B2199" i="1"/>
  <c r="A2199" i="1"/>
  <c r="B2198" i="1"/>
  <c r="A2198" i="1"/>
  <c r="B2197" i="1"/>
  <c r="A2197" i="1"/>
  <c r="B2196" i="1"/>
  <c r="A2196" i="1"/>
  <c r="B2195" i="1"/>
  <c r="A2195" i="1"/>
  <c r="B2194" i="1"/>
  <c r="A2194" i="1"/>
  <c r="B2193" i="1"/>
  <c r="A2193" i="1"/>
  <c r="B2192" i="1"/>
  <c r="A2192" i="1"/>
  <c r="B2191" i="1"/>
  <c r="A2191" i="1"/>
  <c r="B2190" i="1"/>
  <c r="A2190" i="1"/>
  <c r="B2189" i="1"/>
  <c r="A2189" i="1"/>
  <c r="B2188" i="1"/>
  <c r="A2188" i="1"/>
  <c r="B2187" i="1"/>
  <c r="A2187" i="1"/>
  <c r="B2186" i="1"/>
  <c r="A2186" i="1"/>
  <c r="B2185" i="1"/>
  <c r="A2185" i="1"/>
  <c r="B2184" i="1"/>
  <c r="A2184" i="1"/>
  <c r="B2183" i="1"/>
  <c r="A2183" i="1"/>
  <c r="B2182" i="1"/>
  <c r="A2182" i="1"/>
  <c r="B2181" i="1"/>
  <c r="A2181" i="1"/>
  <c r="B2180" i="1"/>
  <c r="A2180" i="1"/>
  <c r="B2179" i="1"/>
  <c r="A2179" i="1"/>
  <c r="B2178" i="1"/>
  <c r="A2178" i="1"/>
  <c r="B2177" i="1"/>
  <c r="A2177" i="1"/>
  <c r="B2176" i="1"/>
  <c r="A2176" i="1"/>
  <c r="B2175" i="1"/>
  <c r="A2175" i="1"/>
  <c r="B2174" i="1"/>
  <c r="A2174" i="1"/>
  <c r="B2173" i="1"/>
  <c r="A2173" i="1"/>
  <c r="B2172" i="1"/>
  <c r="A2172" i="1"/>
  <c r="B2171" i="1"/>
  <c r="A2171" i="1"/>
  <c r="B2170" i="1"/>
  <c r="A2170" i="1"/>
  <c r="B2169" i="1"/>
  <c r="A2169" i="1"/>
  <c r="B2168" i="1"/>
  <c r="A2168" i="1"/>
  <c r="B2167" i="1"/>
  <c r="A2167" i="1"/>
  <c r="B2166" i="1"/>
  <c r="A2166" i="1"/>
  <c r="B2165" i="1"/>
  <c r="A2165" i="1"/>
  <c r="B2164" i="1"/>
  <c r="A2164" i="1"/>
  <c r="B2163" i="1"/>
  <c r="A2163" i="1"/>
  <c r="B2162" i="1"/>
  <c r="A2162" i="1"/>
  <c r="B2161" i="1"/>
  <c r="A2161" i="1"/>
  <c r="B2160" i="1"/>
  <c r="A2160" i="1"/>
  <c r="B2159" i="1"/>
  <c r="A2159" i="1"/>
  <c r="B2158" i="1"/>
  <c r="A2158" i="1"/>
  <c r="B2157" i="1"/>
  <c r="A2157" i="1"/>
  <c r="B2156" i="1"/>
  <c r="A2156" i="1"/>
  <c r="B2155" i="1"/>
  <c r="A2155" i="1"/>
  <c r="B2154" i="1"/>
  <c r="A2154" i="1"/>
  <c r="B2153" i="1"/>
  <c r="A2153" i="1"/>
  <c r="B2152" i="1"/>
  <c r="A2152" i="1"/>
  <c r="B2151" i="1"/>
  <c r="A2151" i="1"/>
  <c r="B2150" i="1"/>
  <c r="A2150" i="1"/>
  <c r="B2149" i="1"/>
  <c r="A2149" i="1"/>
  <c r="B2148" i="1"/>
  <c r="A2148" i="1"/>
  <c r="B2147" i="1"/>
  <c r="A2147" i="1"/>
  <c r="B2146" i="1"/>
  <c r="A2146" i="1"/>
  <c r="B2145" i="1"/>
  <c r="A2145" i="1"/>
  <c r="B2144" i="1"/>
  <c r="A2144" i="1"/>
  <c r="B2143" i="1"/>
  <c r="A2143" i="1"/>
  <c r="B2142" i="1"/>
  <c r="A2142" i="1"/>
  <c r="B2141" i="1"/>
  <c r="A2141" i="1"/>
  <c r="B2140" i="1"/>
  <c r="A2140" i="1"/>
  <c r="B2139" i="1"/>
  <c r="A2139" i="1"/>
  <c r="B2138" i="1"/>
  <c r="A2138" i="1"/>
  <c r="B2137" i="1"/>
  <c r="A2137" i="1"/>
  <c r="B2136" i="1"/>
  <c r="A2136" i="1"/>
  <c r="B2135" i="1"/>
  <c r="A2135" i="1"/>
  <c r="B2134" i="1"/>
  <c r="A2134" i="1"/>
  <c r="B2133" i="1"/>
  <c r="A2133" i="1"/>
  <c r="B2132" i="1"/>
  <c r="A2132" i="1"/>
  <c r="B2131" i="1"/>
  <c r="A2131" i="1"/>
  <c r="B2130" i="1"/>
  <c r="A2130" i="1"/>
  <c r="B2129" i="1"/>
  <c r="A2129" i="1"/>
  <c r="B2128" i="1"/>
  <c r="A2128" i="1"/>
  <c r="B2127" i="1"/>
  <c r="A2127" i="1"/>
  <c r="B2126" i="1"/>
  <c r="A2126" i="1"/>
  <c r="B2125" i="1"/>
  <c r="A2125" i="1"/>
  <c r="B2124" i="1"/>
  <c r="A2124" i="1"/>
  <c r="B2123" i="1"/>
  <c r="A2123" i="1"/>
  <c r="B2122" i="1"/>
  <c r="A2122" i="1"/>
  <c r="B2121" i="1"/>
  <c r="A2121" i="1"/>
  <c r="B2120" i="1"/>
  <c r="A2120" i="1"/>
  <c r="B2119" i="1"/>
  <c r="A2119" i="1"/>
  <c r="B2118" i="1"/>
  <c r="A2118" i="1"/>
  <c r="B2117" i="1"/>
  <c r="A2117" i="1"/>
  <c r="B2116" i="1"/>
  <c r="A2116" i="1"/>
  <c r="B2115" i="1"/>
  <c r="A2115" i="1"/>
  <c r="B2114" i="1"/>
  <c r="A2114" i="1"/>
  <c r="B2113" i="1"/>
  <c r="A2113" i="1"/>
  <c r="B2112" i="1"/>
  <c r="A2112" i="1"/>
  <c r="B2111" i="1"/>
  <c r="A2111" i="1"/>
  <c r="B2110" i="1"/>
  <c r="A2110" i="1"/>
  <c r="B2109" i="1"/>
  <c r="A2109" i="1"/>
  <c r="B2108" i="1"/>
  <c r="A2108" i="1"/>
  <c r="B2107" i="1"/>
  <c r="A2107" i="1"/>
  <c r="B2106" i="1"/>
  <c r="A2106" i="1"/>
  <c r="B2105" i="1"/>
  <c r="A2105" i="1"/>
  <c r="B2104" i="1"/>
  <c r="A2104" i="1"/>
  <c r="B2103" i="1"/>
  <c r="A2103" i="1"/>
  <c r="B2102" i="1"/>
  <c r="A2102" i="1"/>
  <c r="B2101" i="1"/>
  <c r="A2101" i="1"/>
  <c r="B2100" i="1"/>
  <c r="A2100" i="1"/>
  <c r="B2099" i="1"/>
  <c r="A2099" i="1"/>
  <c r="B2098" i="1"/>
  <c r="A2098" i="1"/>
  <c r="B2097" i="1"/>
  <c r="A2097" i="1"/>
  <c r="B2096" i="1"/>
  <c r="A2096" i="1"/>
  <c r="B2095" i="1"/>
  <c r="A2095" i="1"/>
  <c r="B2094" i="1"/>
  <c r="A2094" i="1"/>
  <c r="B2093" i="1"/>
  <c r="A2093" i="1"/>
  <c r="B2092" i="1"/>
  <c r="A2092" i="1"/>
  <c r="B2091" i="1"/>
  <c r="A2091" i="1"/>
  <c r="B2090" i="1"/>
  <c r="A2090" i="1"/>
  <c r="B2089" i="1"/>
  <c r="A2089" i="1"/>
  <c r="B2088" i="1"/>
  <c r="A2088" i="1"/>
  <c r="B2087" i="1"/>
  <c r="A2087" i="1"/>
  <c r="B2086" i="1"/>
  <c r="A2086" i="1"/>
  <c r="B2085" i="1"/>
  <c r="A2085" i="1"/>
  <c r="B2084" i="1"/>
  <c r="A2084" i="1"/>
  <c r="B2083" i="1"/>
  <c r="A2083" i="1"/>
  <c r="B2082" i="1"/>
  <c r="A2082" i="1"/>
  <c r="B2081" i="1"/>
  <c r="A2081" i="1"/>
  <c r="B2080" i="1"/>
  <c r="A2080" i="1"/>
  <c r="B2079" i="1"/>
  <c r="A2079" i="1"/>
  <c r="B2078" i="1"/>
  <c r="A2078" i="1"/>
  <c r="B2077" i="1"/>
  <c r="A2077" i="1"/>
  <c r="B2076" i="1"/>
  <c r="A2076" i="1"/>
  <c r="B2075" i="1"/>
  <c r="A2075" i="1"/>
  <c r="B2074" i="1"/>
  <c r="A2074" i="1"/>
  <c r="B2073" i="1"/>
  <c r="A2073" i="1"/>
  <c r="B2072" i="1"/>
  <c r="A2072" i="1"/>
  <c r="B2071" i="1"/>
  <c r="A2071" i="1"/>
  <c r="B2070" i="1"/>
  <c r="A2070" i="1"/>
  <c r="B2069" i="1"/>
  <c r="A2069" i="1"/>
  <c r="B2068" i="1"/>
  <c r="A2068" i="1"/>
  <c r="B2067" i="1"/>
  <c r="A2067" i="1"/>
  <c r="B2066" i="1"/>
  <c r="A2066" i="1"/>
  <c r="B2065" i="1"/>
  <c r="A2065" i="1"/>
  <c r="B2064" i="1"/>
  <c r="A2064" i="1"/>
  <c r="B2063" i="1"/>
  <c r="A2063" i="1"/>
  <c r="B2062" i="1"/>
  <c r="A2062" i="1"/>
  <c r="B2061" i="1"/>
  <c r="A2061" i="1"/>
  <c r="B2060" i="1"/>
  <c r="A2060" i="1"/>
  <c r="B2059" i="1"/>
  <c r="A2059" i="1"/>
  <c r="B2058" i="1"/>
  <c r="A2058" i="1"/>
  <c r="B2057" i="1"/>
  <c r="A2057" i="1"/>
  <c r="B2056" i="1"/>
  <c r="A2056" i="1"/>
  <c r="B2055" i="1"/>
  <c r="A2055" i="1"/>
  <c r="B2054" i="1"/>
  <c r="A2054" i="1"/>
  <c r="B2053" i="1"/>
  <c r="A2053" i="1"/>
  <c r="B2052" i="1"/>
  <c r="A2052" i="1"/>
  <c r="B2051" i="1"/>
  <c r="A2051" i="1"/>
  <c r="B2050" i="1"/>
  <c r="A2050" i="1"/>
  <c r="B2049" i="1"/>
  <c r="A2049" i="1"/>
  <c r="B2048" i="1"/>
  <c r="A2048" i="1"/>
  <c r="B2047" i="1"/>
  <c r="A2047" i="1"/>
  <c r="B2046" i="1"/>
  <c r="A2046" i="1"/>
  <c r="B2045" i="1"/>
  <c r="A2045" i="1"/>
  <c r="B2044" i="1"/>
  <c r="A2044" i="1"/>
  <c r="B2043" i="1"/>
  <c r="A2043" i="1"/>
  <c r="B2042" i="1"/>
  <c r="A2042" i="1"/>
  <c r="B2041" i="1"/>
  <c r="A2041" i="1"/>
  <c r="B2040" i="1"/>
  <c r="A2040" i="1"/>
  <c r="B2039" i="1"/>
  <c r="A2039" i="1"/>
  <c r="B2038" i="1"/>
  <c r="A2038" i="1"/>
  <c r="B2037" i="1"/>
  <c r="A2037" i="1"/>
  <c r="B2036" i="1"/>
  <c r="A2036" i="1"/>
  <c r="B2035" i="1"/>
  <c r="A2035" i="1"/>
  <c r="B2034" i="1"/>
  <c r="A2034" i="1"/>
  <c r="B2033" i="1"/>
  <c r="A2033" i="1"/>
  <c r="B2032" i="1"/>
  <c r="A2032" i="1"/>
  <c r="B2031" i="1"/>
  <c r="A2031" i="1"/>
  <c r="B2030" i="1"/>
  <c r="A2030" i="1"/>
  <c r="B2029" i="1"/>
  <c r="A2029" i="1"/>
  <c r="B2028" i="1"/>
  <c r="A2028" i="1"/>
  <c r="B2027" i="1"/>
  <c r="A2027" i="1"/>
  <c r="B2026" i="1"/>
  <c r="A2026" i="1"/>
  <c r="B2025" i="1"/>
  <c r="A2025" i="1"/>
  <c r="B2024" i="1"/>
  <c r="A2024" i="1"/>
  <c r="B2023" i="1"/>
  <c r="A2023" i="1"/>
  <c r="B2022" i="1"/>
  <c r="A2022" i="1"/>
  <c r="B2021" i="1"/>
  <c r="A2021" i="1"/>
  <c r="B2020" i="1"/>
  <c r="A2020" i="1"/>
  <c r="B2019" i="1"/>
  <c r="A2019" i="1"/>
  <c r="B2018" i="1"/>
  <c r="A2018" i="1"/>
  <c r="B2017" i="1"/>
  <c r="A2017" i="1"/>
  <c r="B2016" i="1"/>
  <c r="A2016" i="1"/>
  <c r="B2015" i="1"/>
  <c r="A2015" i="1"/>
  <c r="B2014" i="1"/>
  <c r="A2014" i="1"/>
  <c r="B2013" i="1"/>
  <c r="A2013" i="1"/>
  <c r="B2012" i="1"/>
  <c r="A2012" i="1"/>
  <c r="B2011" i="1"/>
  <c r="A2011" i="1"/>
  <c r="B2010" i="1"/>
  <c r="A2010" i="1"/>
  <c r="B2009" i="1"/>
  <c r="A2009" i="1"/>
  <c r="B2008" i="1"/>
  <c r="A2008" i="1"/>
  <c r="B2007" i="1"/>
  <c r="A2007" i="1"/>
  <c r="B2006" i="1"/>
  <c r="A2006" i="1"/>
  <c r="B2005" i="1"/>
  <c r="A2005" i="1"/>
  <c r="B2004" i="1"/>
  <c r="A2004" i="1"/>
  <c r="B2003" i="1"/>
  <c r="A2003" i="1"/>
  <c r="B2002" i="1"/>
  <c r="A2002" i="1"/>
  <c r="B2001" i="1"/>
  <c r="A2001" i="1"/>
  <c r="B2000" i="1"/>
  <c r="A2000" i="1"/>
  <c r="B1999" i="1"/>
  <c r="A1999" i="1"/>
  <c r="B1998" i="1"/>
  <c r="A1998" i="1"/>
  <c r="B1997" i="1"/>
  <c r="A1997" i="1"/>
  <c r="B1996" i="1"/>
  <c r="A1996" i="1"/>
  <c r="B1995" i="1"/>
  <c r="A1995" i="1"/>
  <c r="B1994" i="1"/>
  <c r="A1994" i="1"/>
  <c r="B1993" i="1"/>
  <c r="A1993" i="1"/>
  <c r="B1992" i="1"/>
  <c r="A1992" i="1"/>
  <c r="B1991" i="1"/>
  <c r="A1991" i="1"/>
  <c r="B1990" i="1"/>
  <c r="A1990" i="1"/>
  <c r="B1989" i="1"/>
  <c r="A1989" i="1"/>
  <c r="B1988" i="1"/>
  <c r="A1988" i="1"/>
  <c r="B1987" i="1"/>
  <c r="A1987" i="1"/>
  <c r="B1986" i="1"/>
  <c r="A1986" i="1"/>
  <c r="B1985" i="1"/>
  <c r="A1985" i="1"/>
  <c r="B1984" i="1"/>
  <c r="A1984" i="1"/>
  <c r="B1983" i="1"/>
  <c r="A1983" i="1"/>
  <c r="B1982" i="1"/>
  <c r="A1982" i="1"/>
  <c r="B1981" i="1"/>
  <c r="A1981" i="1"/>
  <c r="B1980" i="1"/>
  <c r="A1980" i="1"/>
  <c r="B1979" i="1"/>
  <c r="A1979" i="1"/>
  <c r="B1978" i="1"/>
  <c r="A1978" i="1"/>
  <c r="B1977" i="1"/>
  <c r="A1977" i="1"/>
  <c r="B1976" i="1"/>
  <c r="A1976" i="1"/>
  <c r="B1975" i="1"/>
  <c r="A1975" i="1"/>
  <c r="B1974" i="1"/>
  <c r="A1974" i="1"/>
  <c r="B1973" i="1"/>
  <c r="A1973" i="1"/>
  <c r="B1972" i="1"/>
  <c r="A1972" i="1"/>
  <c r="B1971" i="1"/>
  <c r="A1971" i="1"/>
  <c r="B1970" i="1"/>
  <c r="A1970" i="1"/>
  <c r="B1969" i="1"/>
  <c r="A1969" i="1"/>
  <c r="B1968" i="1"/>
  <c r="A1968" i="1"/>
  <c r="B1967" i="1"/>
  <c r="A1967" i="1"/>
  <c r="B1966" i="1"/>
  <c r="A1966" i="1"/>
  <c r="B1965" i="1"/>
  <c r="A1965" i="1"/>
  <c r="B1964" i="1"/>
  <c r="A1964" i="1"/>
  <c r="B1963" i="1"/>
  <c r="A1963" i="1"/>
  <c r="B1962" i="1"/>
  <c r="A1962" i="1"/>
  <c r="B1961" i="1"/>
  <c r="A1961" i="1"/>
  <c r="B1960" i="1"/>
  <c r="A1960" i="1"/>
  <c r="B1959" i="1"/>
  <c r="A1959" i="1"/>
  <c r="B1958" i="1"/>
  <c r="A1958" i="1"/>
  <c r="B1957" i="1"/>
  <c r="A1957" i="1"/>
  <c r="B1956" i="1"/>
  <c r="A1956" i="1"/>
  <c r="B1955" i="1"/>
  <c r="A1955" i="1"/>
  <c r="B1954" i="1"/>
  <c r="A1954" i="1"/>
  <c r="B1953" i="1"/>
  <c r="A1953" i="1"/>
  <c r="B1952" i="1"/>
  <c r="A1952" i="1"/>
  <c r="B1951" i="1"/>
  <c r="A1951" i="1"/>
  <c r="B1950" i="1"/>
  <c r="A1950" i="1"/>
  <c r="B1949" i="1"/>
  <c r="A1949" i="1"/>
  <c r="B1948" i="1"/>
  <c r="A1948" i="1"/>
  <c r="B1947" i="1"/>
  <c r="A1947" i="1"/>
  <c r="B1946" i="1"/>
  <c r="A1946" i="1"/>
  <c r="B1945" i="1"/>
  <c r="A1945" i="1"/>
  <c r="B1944" i="1"/>
  <c r="A1944" i="1"/>
  <c r="B1943" i="1"/>
  <c r="A1943" i="1"/>
  <c r="B1942" i="1"/>
  <c r="A1942" i="1"/>
  <c r="B1941" i="1"/>
  <c r="A1941" i="1"/>
  <c r="B1940" i="1"/>
  <c r="A1940" i="1"/>
  <c r="B1939" i="1"/>
  <c r="A1939" i="1"/>
  <c r="B1938" i="1"/>
  <c r="A1938" i="1"/>
  <c r="B1937" i="1"/>
  <c r="A1937" i="1"/>
  <c r="B1936" i="1"/>
  <c r="A1936" i="1"/>
  <c r="B1935" i="1"/>
  <c r="A1935" i="1"/>
  <c r="B1934" i="1"/>
  <c r="A1934" i="1"/>
  <c r="B1933" i="1"/>
  <c r="A1933" i="1"/>
  <c r="B1932" i="1"/>
  <c r="A1932" i="1"/>
  <c r="B1931" i="1"/>
  <c r="A1931" i="1"/>
  <c r="B1930" i="1"/>
  <c r="A1930" i="1"/>
  <c r="B1929" i="1"/>
  <c r="A1929" i="1"/>
  <c r="B1928" i="1"/>
  <c r="A1928" i="1"/>
  <c r="B1927" i="1"/>
  <c r="A1927" i="1"/>
  <c r="B1926" i="1"/>
  <c r="A1926" i="1"/>
  <c r="B1925" i="1"/>
  <c r="A1925" i="1"/>
  <c r="B1924" i="1"/>
  <c r="A1924" i="1"/>
  <c r="B1923" i="1"/>
  <c r="A1923" i="1"/>
  <c r="B1922" i="1"/>
  <c r="A1922" i="1"/>
  <c r="B1921" i="1"/>
  <c r="A1921" i="1"/>
  <c r="B1920" i="1"/>
  <c r="A1920" i="1"/>
  <c r="B1919" i="1"/>
  <c r="A1919" i="1"/>
  <c r="B1918" i="1"/>
  <c r="A1918" i="1"/>
  <c r="B1917" i="1"/>
  <c r="A1917" i="1"/>
  <c r="B1916" i="1"/>
  <c r="A1916" i="1"/>
  <c r="B1915" i="1"/>
  <c r="A1915" i="1"/>
  <c r="B1914" i="1"/>
  <c r="A1914" i="1"/>
  <c r="B1913" i="1"/>
  <c r="A1913" i="1"/>
  <c r="B1912" i="1"/>
  <c r="A1912" i="1"/>
  <c r="B1911" i="1"/>
  <c r="A1911" i="1"/>
  <c r="B1910" i="1"/>
  <c r="A1910" i="1"/>
  <c r="B1909" i="1"/>
  <c r="A1909" i="1"/>
  <c r="B1908" i="1"/>
  <c r="A1908" i="1"/>
  <c r="B1907" i="1"/>
  <c r="A1907" i="1"/>
  <c r="B1906" i="1"/>
  <c r="A1906" i="1"/>
  <c r="B1905" i="1"/>
  <c r="A1905" i="1"/>
  <c r="B1904" i="1"/>
  <c r="A1904" i="1"/>
  <c r="B1903" i="1"/>
  <c r="A1903" i="1"/>
  <c r="B1902" i="1"/>
  <c r="A1902" i="1"/>
  <c r="B1901" i="1"/>
  <c r="A1901" i="1"/>
  <c r="B1900" i="1"/>
  <c r="A1900" i="1"/>
  <c r="B1899" i="1"/>
  <c r="A1899" i="1"/>
  <c r="B1898" i="1"/>
  <c r="A1898" i="1"/>
  <c r="B1897" i="1"/>
  <c r="A1897" i="1"/>
  <c r="B1896" i="1"/>
  <c r="A1896" i="1"/>
  <c r="B1895" i="1"/>
  <c r="A1895" i="1"/>
  <c r="B1894" i="1"/>
  <c r="A1894" i="1"/>
  <c r="B1893" i="1"/>
  <c r="A1893" i="1"/>
  <c r="B1892" i="1"/>
  <c r="A1892" i="1"/>
  <c r="B1891" i="1"/>
  <c r="A1891" i="1"/>
  <c r="B1890" i="1"/>
  <c r="A1890" i="1"/>
  <c r="B1889" i="1"/>
  <c r="A1889" i="1"/>
  <c r="B1888" i="1"/>
  <c r="A1888" i="1"/>
  <c r="B1887" i="1"/>
  <c r="A1887" i="1"/>
  <c r="B1886" i="1"/>
  <c r="A1886" i="1"/>
  <c r="B1885" i="1"/>
  <c r="A1885" i="1"/>
  <c r="B1884" i="1"/>
  <c r="A1884" i="1"/>
  <c r="B1883" i="1"/>
  <c r="A1883" i="1"/>
  <c r="B1882" i="1"/>
  <c r="A1882" i="1"/>
  <c r="B1881" i="1"/>
  <c r="A1881" i="1"/>
  <c r="B1880" i="1"/>
  <c r="A1880" i="1"/>
  <c r="B1879" i="1"/>
  <c r="A1879" i="1"/>
  <c r="B1878" i="1"/>
  <c r="A1878" i="1"/>
  <c r="B1877" i="1"/>
  <c r="A1877" i="1"/>
  <c r="B1876" i="1"/>
  <c r="A1876" i="1"/>
  <c r="B1875" i="1"/>
  <c r="A1875" i="1"/>
  <c r="B1874" i="1"/>
  <c r="A1874" i="1"/>
  <c r="B1873" i="1"/>
  <c r="A1873" i="1"/>
  <c r="B1872" i="1"/>
  <c r="A1872" i="1"/>
  <c r="B1871" i="1"/>
  <c r="A1871" i="1"/>
  <c r="B1870" i="1"/>
  <c r="A1870" i="1"/>
  <c r="B1869" i="1"/>
  <c r="A1869" i="1"/>
  <c r="B1868" i="1"/>
  <c r="A1868" i="1"/>
  <c r="B1867" i="1"/>
  <c r="A1867" i="1"/>
  <c r="B1866" i="1"/>
  <c r="A1866" i="1"/>
  <c r="B1865" i="1"/>
  <c r="A1865" i="1"/>
  <c r="B1864" i="1"/>
  <c r="A1864" i="1"/>
  <c r="B1863" i="1"/>
  <c r="A1863" i="1"/>
  <c r="B1862" i="1"/>
  <c r="A1862" i="1"/>
  <c r="B1861" i="1"/>
  <c r="A1861" i="1"/>
  <c r="B1860" i="1"/>
  <c r="A1860" i="1"/>
  <c r="B1859" i="1"/>
  <c r="A1859" i="1"/>
  <c r="B1858" i="1"/>
  <c r="A1858" i="1"/>
  <c r="B1857" i="1"/>
  <c r="A1857" i="1"/>
  <c r="B1856" i="1"/>
  <c r="A1856" i="1"/>
  <c r="B1855" i="1"/>
  <c r="A1855" i="1"/>
  <c r="B1854" i="1"/>
  <c r="A1854" i="1"/>
  <c r="B1853" i="1"/>
  <c r="A1853" i="1"/>
  <c r="B1852" i="1"/>
  <c r="A1852" i="1"/>
  <c r="B1851" i="1"/>
  <c r="A1851" i="1"/>
  <c r="B1850" i="1"/>
  <c r="A1850" i="1"/>
  <c r="B1849" i="1"/>
  <c r="A1849" i="1"/>
  <c r="B1848" i="1"/>
  <c r="A1848" i="1"/>
  <c r="B1847" i="1"/>
  <c r="A1847" i="1"/>
  <c r="B1846" i="1"/>
  <c r="A1846" i="1"/>
  <c r="B1845" i="1"/>
  <c r="A1845" i="1"/>
  <c r="B1844" i="1"/>
  <c r="A1844" i="1"/>
  <c r="B1843" i="1"/>
  <c r="A1843" i="1"/>
  <c r="B1842" i="1"/>
  <c r="A1842" i="1"/>
  <c r="B1841" i="1"/>
  <c r="A1841" i="1"/>
  <c r="B1840" i="1"/>
  <c r="A1840" i="1"/>
  <c r="B1839" i="1"/>
  <c r="A1839" i="1"/>
  <c r="B1838" i="1"/>
  <c r="A1838" i="1"/>
  <c r="B1837" i="1"/>
  <c r="A1837" i="1"/>
  <c r="B1836" i="1"/>
  <c r="A1836" i="1"/>
  <c r="B1835" i="1"/>
  <c r="A1835" i="1"/>
  <c r="B1834" i="1"/>
  <c r="A1834" i="1"/>
  <c r="B1833" i="1"/>
  <c r="A1833" i="1"/>
  <c r="B1832" i="1"/>
  <c r="A1832" i="1"/>
  <c r="B1831" i="1"/>
  <c r="A1831" i="1"/>
  <c r="B1830" i="1"/>
  <c r="A1830" i="1"/>
  <c r="B1829" i="1"/>
  <c r="A1829" i="1"/>
  <c r="B1828" i="1"/>
  <c r="A1828" i="1"/>
  <c r="B1827" i="1"/>
  <c r="A1827" i="1"/>
  <c r="B1826" i="1"/>
  <c r="A1826" i="1"/>
  <c r="B1825" i="1"/>
  <c r="A1825" i="1"/>
  <c r="B1824" i="1"/>
  <c r="A1824" i="1"/>
  <c r="B1823" i="1"/>
  <c r="A1823" i="1"/>
  <c r="B1822" i="1"/>
  <c r="A1822" i="1"/>
  <c r="B1821" i="1"/>
  <c r="A1821" i="1"/>
  <c r="B1820" i="1"/>
  <c r="A1820" i="1"/>
  <c r="B1819" i="1"/>
  <c r="A1819" i="1"/>
  <c r="B1818" i="1"/>
  <c r="A1818" i="1"/>
  <c r="B1817" i="1"/>
  <c r="A1817" i="1"/>
  <c r="B1816" i="1"/>
  <c r="A1816" i="1"/>
  <c r="B1815" i="1"/>
  <c r="A1815" i="1"/>
  <c r="B1814" i="1"/>
  <c r="A1814" i="1"/>
  <c r="B1813" i="1"/>
  <c r="A1813" i="1"/>
  <c r="B1812" i="1"/>
  <c r="A1812" i="1"/>
  <c r="B1811" i="1"/>
  <c r="A1811" i="1"/>
  <c r="B1810" i="1"/>
  <c r="A1810" i="1"/>
  <c r="B1809" i="1"/>
  <c r="A1809" i="1"/>
  <c r="B1808" i="1"/>
  <c r="A1808" i="1"/>
  <c r="B1807" i="1"/>
  <c r="A1807" i="1"/>
  <c r="B1806" i="1"/>
  <c r="A1806" i="1"/>
  <c r="B1805" i="1"/>
  <c r="A1805" i="1"/>
  <c r="B1804" i="1"/>
  <c r="A1804" i="1"/>
  <c r="B1803" i="1"/>
  <c r="A1803" i="1"/>
  <c r="B1802" i="1"/>
  <c r="A1802" i="1"/>
  <c r="B1801" i="1"/>
  <c r="A1801" i="1"/>
  <c r="B1800" i="1"/>
  <c r="A1800" i="1"/>
  <c r="B1799" i="1"/>
  <c r="A1799" i="1"/>
  <c r="B1798" i="1"/>
  <c r="A1798" i="1"/>
  <c r="B1797" i="1"/>
  <c r="A1797" i="1"/>
  <c r="B1796" i="1"/>
  <c r="A1796" i="1"/>
  <c r="B1795" i="1"/>
  <c r="A1795" i="1"/>
  <c r="B1794" i="1"/>
  <c r="A1794" i="1"/>
  <c r="B1793" i="1"/>
  <c r="A1793" i="1"/>
  <c r="B1792" i="1"/>
  <c r="A1792" i="1"/>
  <c r="B1791" i="1"/>
  <c r="A1791" i="1"/>
  <c r="B1790" i="1"/>
  <c r="A1790" i="1"/>
  <c r="B1789" i="1"/>
  <c r="A1789" i="1"/>
  <c r="B1788" i="1"/>
  <c r="A1788" i="1"/>
  <c r="B1787" i="1"/>
  <c r="A1787" i="1"/>
  <c r="B1786" i="1"/>
  <c r="A1786" i="1"/>
  <c r="B1785" i="1"/>
  <c r="A1785" i="1"/>
  <c r="B1784" i="1"/>
  <c r="A1784" i="1"/>
  <c r="B1783" i="1"/>
  <c r="A1783" i="1"/>
  <c r="B1782" i="1"/>
  <c r="A1782" i="1"/>
  <c r="B1781" i="1"/>
  <c r="A1781" i="1"/>
  <c r="B1780" i="1"/>
  <c r="A1780" i="1"/>
  <c r="B1779" i="1"/>
  <c r="A1779" i="1"/>
  <c r="B1778" i="1"/>
  <c r="A1778" i="1"/>
  <c r="B1777" i="1"/>
  <c r="A1777" i="1"/>
  <c r="B1776" i="1"/>
  <c r="A1776" i="1"/>
  <c r="B1775" i="1"/>
  <c r="A1775" i="1"/>
  <c r="B1774" i="1"/>
  <c r="A1774" i="1"/>
  <c r="B1773" i="1"/>
  <c r="A1773" i="1"/>
  <c r="B1772" i="1"/>
  <c r="A1772" i="1"/>
  <c r="B1771" i="1"/>
  <c r="A1771" i="1"/>
  <c r="B1770" i="1"/>
  <c r="A1770" i="1"/>
  <c r="B1769" i="1"/>
  <c r="A1769" i="1"/>
  <c r="B1768" i="1"/>
  <c r="A1768" i="1"/>
  <c r="B1767" i="1"/>
  <c r="A1767" i="1"/>
  <c r="B1766" i="1"/>
  <c r="A1766" i="1"/>
  <c r="B1765" i="1"/>
  <c r="A1765" i="1"/>
  <c r="B1764" i="1"/>
  <c r="A1764" i="1"/>
  <c r="B1763" i="1"/>
  <c r="A1763" i="1"/>
  <c r="B1762" i="1"/>
  <c r="A1762" i="1"/>
  <c r="B1761" i="1"/>
  <c r="A1761" i="1"/>
  <c r="B1760" i="1"/>
  <c r="A1760" i="1"/>
  <c r="B1759" i="1"/>
  <c r="A1759" i="1"/>
  <c r="B1758" i="1"/>
  <c r="A1758" i="1"/>
  <c r="B1757" i="1"/>
  <c r="A1757" i="1"/>
  <c r="B1756" i="1"/>
  <c r="A1756" i="1"/>
  <c r="B1755" i="1"/>
  <c r="A1755" i="1"/>
  <c r="B1754" i="1"/>
  <c r="A1754" i="1"/>
  <c r="B1753" i="1"/>
  <c r="A1753" i="1"/>
  <c r="B1752" i="1"/>
  <c r="A1752" i="1"/>
  <c r="B1751" i="1"/>
  <c r="A1751" i="1"/>
  <c r="B1750" i="1"/>
  <c r="A1750" i="1"/>
  <c r="B1749" i="1"/>
  <c r="A1749" i="1"/>
  <c r="B1748" i="1"/>
  <c r="A1748" i="1"/>
  <c r="B1747" i="1"/>
  <c r="A1747" i="1"/>
  <c r="B1746" i="1"/>
  <c r="A1746" i="1"/>
  <c r="B1745" i="1"/>
  <c r="A1745" i="1"/>
  <c r="B1744" i="1"/>
  <c r="A1744" i="1"/>
  <c r="B1743" i="1"/>
  <c r="A1743" i="1"/>
  <c r="B1742" i="1"/>
  <c r="A1742" i="1"/>
  <c r="B1741" i="1"/>
  <c r="A1741" i="1"/>
  <c r="B1740" i="1"/>
  <c r="A1740" i="1"/>
  <c r="B1739" i="1"/>
  <c r="A1739" i="1"/>
  <c r="B1738" i="1"/>
  <c r="A1738" i="1"/>
  <c r="B1737" i="1"/>
  <c r="A1737" i="1"/>
  <c r="B1736" i="1"/>
  <c r="A1736" i="1"/>
  <c r="B1735" i="1"/>
  <c r="A1735" i="1"/>
  <c r="B1734" i="1"/>
  <c r="A1734" i="1"/>
  <c r="B1733" i="1"/>
  <c r="A1733" i="1"/>
  <c r="B1732" i="1"/>
  <c r="A1732" i="1"/>
  <c r="B1731" i="1"/>
  <c r="A1731" i="1"/>
  <c r="B1730" i="1"/>
  <c r="A1730" i="1"/>
  <c r="B1729" i="1"/>
  <c r="A1729" i="1"/>
  <c r="B1728" i="1"/>
  <c r="A1728" i="1"/>
  <c r="B1727" i="1"/>
  <c r="A1727" i="1"/>
  <c r="B1726" i="1"/>
  <c r="A1726" i="1"/>
  <c r="B1725" i="1"/>
  <c r="A1725" i="1"/>
  <c r="B1724" i="1"/>
  <c r="A1724" i="1"/>
  <c r="B1723" i="1"/>
  <c r="A1723" i="1"/>
  <c r="B1722" i="1"/>
  <c r="A1722" i="1"/>
  <c r="B1721" i="1"/>
  <c r="A1721" i="1"/>
  <c r="B1720" i="1"/>
  <c r="A1720" i="1"/>
  <c r="B1719" i="1"/>
  <c r="A1719" i="1"/>
  <c r="B1718" i="1"/>
  <c r="A1718" i="1"/>
  <c r="B1717" i="1"/>
  <c r="A1717" i="1"/>
  <c r="B1716" i="1"/>
  <c r="A1716" i="1"/>
  <c r="B1715" i="1"/>
  <c r="A1715" i="1"/>
  <c r="B1714" i="1"/>
  <c r="A1714" i="1"/>
  <c r="B1713" i="1"/>
  <c r="A1713" i="1"/>
  <c r="B1712" i="1"/>
  <c r="A1712" i="1"/>
  <c r="B1711" i="1"/>
  <c r="A1711" i="1"/>
  <c r="B1710" i="1"/>
  <c r="A1710" i="1"/>
  <c r="B1709" i="1"/>
  <c r="A1709" i="1"/>
  <c r="B1708" i="1"/>
  <c r="A1708" i="1"/>
  <c r="B1707" i="1"/>
  <c r="A1707" i="1"/>
  <c r="B1706" i="1"/>
  <c r="A1706" i="1"/>
  <c r="B1705" i="1"/>
  <c r="A1705" i="1"/>
  <c r="B1704" i="1"/>
  <c r="A1704" i="1"/>
  <c r="B1703" i="1"/>
  <c r="A1703" i="1"/>
  <c r="B1702" i="1"/>
  <c r="A1702" i="1"/>
  <c r="B1701" i="1"/>
  <c r="A1701" i="1"/>
  <c r="B1700" i="1"/>
  <c r="A1700" i="1"/>
  <c r="B1699" i="1"/>
  <c r="A1699" i="1"/>
  <c r="B1698" i="1"/>
  <c r="A1698" i="1"/>
  <c r="B1697" i="1"/>
  <c r="A1697" i="1"/>
  <c r="B1696" i="1"/>
  <c r="A1696" i="1"/>
  <c r="B1695" i="1"/>
  <c r="A1695" i="1"/>
  <c r="B1694" i="1"/>
  <c r="A1694" i="1"/>
  <c r="B1693" i="1"/>
  <c r="A1693" i="1"/>
  <c r="B1692" i="1"/>
  <c r="A1692" i="1"/>
  <c r="B1691" i="1"/>
  <c r="A1691" i="1"/>
  <c r="B1690" i="1"/>
  <c r="A1690" i="1"/>
  <c r="B1689" i="1"/>
  <c r="A1689" i="1"/>
  <c r="B1688" i="1"/>
  <c r="A1688" i="1"/>
  <c r="B1687" i="1"/>
  <c r="A1687" i="1"/>
  <c r="B1686" i="1"/>
  <c r="A1686" i="1"/>
  <c r="B1685" i="1"/>
  <c r="A1685" i="1"/>
  <c r="B1684" i="1"/>
  <c r="A1684" i="1"/>
  <c r="B1683" i="1"/>
  <c r="A1683" i="1"/>
  <c r="B1682" i="1"/>
  <c r="A1682" i="1"/>
  <c r="B1681" i="1"/>
  <c r="A1681" i="1"/>
  <c r="B1680" i="1"/>
  <c r="A1680" i="1"/>
  <c r="B1679" i="1"/>
  <c r="A1679" i="1"/>
  <c r="B1678" i="1"/>
  <c r="A1678" i="1"/>
  <c r="B1677" i="1"/>
  <c r="A1677" i="1"/>
  <c r="B1676" i="1"/>
  <c r="A1676" i="1"/>
  <c r="B1675" i="1"/>
  <c r="A1675" i="1"/>
  <c r="B1674" i="1"/>
  <c r="A1674" i="1"/>
  <c r="B1673" i="1"/>
  <c r="A1673" i="1"/>
  <c r="B1672" i="1"/>
  <c r="A1672" i="1"/>
  <c r="B1671" i="1"/>
  <c r="A1671" i="1"/>
  <c r="B1670" i="1"/>
  <c r="A1670" i="1"/>
  <c r="B1669" i="1"/>
  <c r="A1669" i="1"/>
  <c r="B1668" i="1"/>
  <c r="A1668" i="1"/>
  <c r="B1667" i="1"/>
  <c r="A1667" i="1"/>
  <c r="B1666" i="1"/>
  <c r="A1666" i="1"/>
  <c r="B1665" i="1"/>
  <c r="A1665" i="1"/>
  <c r="B1664" i="1"/>
  <c r="A1664" i="1"/>
  <c r="B1663" i="1"/>
  <c r="A1663" i="1"/>
  <c r="B1662" i="1"/>
  <c r="A1662" i="1"/>
  <c r="B1661" i="1"/>
  <c r="A1661" i="1"/>
  <c r="B1660" i="1"/>
  <c r="A1660" i="1"/>
  <c r="B1659" i="1"/>
  <c r="A1659" i="1"/>
  <c r="B1658" i="1"/>
  <c r="A1658" i="1"/>
  <c r="B1657" i="1"/>
  <c r="A1657" i="1"/>
  <c r="B1656" i="1"/>
  <c r="A1656" i="1"/>
  <c r="B1655" i="1"/>
  <c r="A1655" i="1"/>
  <c r="B1654" i="1"/>
  <c r="A1654" i="1"/>
  <c r="B1653" i="1"/>
  <c r="A1653" i="1"/>
  <c r="B1652" i="1"/>
  <c r="A1652" i="1"/>
  <c r="B1651" i="1"/>
  <c r="A1651" i="1"/>
  <c r="B1650" i="1"/>
  <c r="A1650" i="1"/>
  <c r="B1649" i="1"/>
  <c r="A1649" i="1"/>
  <c r="B1648" i="1"/>
  <c r="A1648" i="1"/>
  <c r="B1647" i="1"/>
  <c r="A1647" i="1"/>
  <c r="B1646" i="1"/>
  <c r="A1646" i="1"/>
  <c r="B1645" i="1"/>
  <c r="A1645" i="1"/>
  <c r="B1644" i="1"/>
  <c r="A1644" i="1"/>
  <c r="B1643" i="1"/>
  <c r="A1643" i="1"/>
  <c r="B1642" i="1"/>
  <c r="A1642" i="1"/>
  <c r="B1641" i="1"/>
  <c r="A1641" i="1"/>
  <c r="B1640" i="1"/>
  <c r="A1640" i="1"/>
  <c r="B1639" i="1"/>
  <c r="A1639" i="1"/>
  <c r="B1638" i="1"/>
  <c r="A1638" i="1"/>
  <c r="B1637" i="1"/>
  <c r="A1637" i="1"/>
  <c r="B1636" i="1"/>
  <c r="A1636" i="1"/>
  <c r="B1635" i="1"/>
  <c r="A1635" i="1"/>
  <c r="B1634" i="1"/>
  <c r="A1634" i="1"/>
  <c r="B1633" i="1"/>
  <c r="A1633" i="1"/>
  <c r="B1632" i="1"/>
  <c r="A1632" i="1"/>
  <c r="B1631" i="1"/>
  <c r="A1631" i="1"/>
  <c r="B1630" i="1"/>
  <c r="A1630" i="1"/>
  <c r="B1629" i="1"/>
  <c r="A1629" i="1"/>
  <c r="B1628" i="1"/>
  <c r="A1628" i="1"/>
  <c r="B1627" i="1"/>
  <c r="A1627" i="1"/>
  <c r="B1626" i="1"/>
  <c r="A1626" i="1"/>
  <c r="B1625" i="1"/>
  <c r="A1625" i="1"/>
  <c r="B1624" i="1"/>
  <c r="A1624" i="1"/>
  <c r="B1623" i="1"/>
  <c r="A1623" i="1"/>
  <c r="B1622" i="1"/>
  <c r="A1622" i="1"/>
  <c r="B1621" i="1"/>
  <c r="A1621" i="1"/>
  <c r="B1620" i="1"/>
  <c r="A1620" i="1"/>
  <c r="B1619" i="1"/>
  <c r="A1619" i="1"/>
  <c r="B1618" i="1"/>
  <c r="A1618" i="1"/>
  <c r="B1617" i="1"/>
  <c r="A1617" i="1"/>
  <c r="B1616" i="1"/>
  <c r="A1616" i="1"/>
  <c r="B1615" i="1"/>
  <c r="A1615" i="1"/>
  <c r="B1614" i="1"/>
  <c r="A1614" i="1"/>
  <c r="B1613" i="1"/>
  <c r="A1613" i="1"/>
  <c r="B1612" i="1"/>
  <c r="A1612" i="1"/>
  <c r="B1611" i="1"/>
  <c r="A1611" i="1"/>
  <c r="B1610" i="1"/>
  <c r="A1610" i="1"/>
  <c r="B1609" i="1"/>
  <c r="A1609" i="1"/>
  <c r="B1608" i="1"/>
  <c r="A1608" i="1"/>
  <c r="B1607" i="1"/>
  <c r="A1607" i="1"/>
  <c r="B1606" i="1"/>
  <c r="A1606" i="1"/>
  <c r="B1605" i="1"/>
  <c r="A1605" i="1"/>
  <c r="B1604" i="1"/>
  <c r="A1604" i="1"/>
  <c r="B1603" i="1"/>
  <c r="A1603" i="1"/>
  <c r="B1602" i="1"/>
  <c r="A1602" i="1"/>
  <c r="B1601" i="1"/>
  <c r="A1601" i="1"/>
  <c r="B1600" i="1"/>
  <c r="A1600" i="1"/>
  <c r="B1599" i="1"/>
  <c r="A1599" i="1"/>
  <c r="B1598" i="1"/>
  <c r="A1598" i="1"/>
  <c r="B1597" i="1"/>
  <c r="A1597" i="1"/>
  <c r="B1596" i="1"/>
  <c r="A1596" i="1"/>
  <c r="B1595" i="1"/>
  <c r="A1595" i="1"/>
  <c r="B1594" i="1"/>
  <c r="A1594" i="1"/>
  <c r="B1593" i="1"/>
  <c r="A1593" i="1"/>
  <c r="B1592" i="1"/>
  <c r="A1592" i="1"/>
  <c r="B1591" i="1"/>
  <c r="A1591" i="1"/>
  <c r="B1590" i="1"/>
  <c r="A1590" i="1"/>
  <c r="B1589" i="1"/>
  <c r="A1589" i="1"/>
  <c r="B1588" i="1"/>
  <c r="A1588" i="1"/>
  <c r="B1587" i="1"/>
  <c r="A1587" i="1"/>
  <c r="B1586" i="1"/>
  <c r="A1586" i="1"/>
  <c r="B1585" i="1"/>
  <c r="A1585" i="1"/>
  <c r="B1584" i="1"/>
  <c r="A1584" i="1"/>
  <c r="B1583" i="1"/>
  <c r="A1583" i="1"/>
  <c r="B1582" i="1"/>
  <c r="A1582" i="1"/>
  <c r="B1581" i="1"/>
  <c r="A1581" i="1"/>
  <c r="B1580" i="1"/>
  <c r="A1580" i="1"/>
  <c r="B1579" i="1"/>
  <c r="A1579" i="1"/>
  <c r="B1578" i="1"/>
  <c r="A1578" i="1"/>
  <c r="B1577" i="1"/>
  <c r="A1577" i="1"/>
  <c r="B1576" i="1"/>
  <c r="A1576" i="1"/>
  <c r="B1575" i="1"/>
  <c r="A1575" i="1"/>
  <c r="B1574" i="1"/>
  <c r="A1574" i="1"/>
  <c r="B1573" i="1"/>
  <c r="A1573" i="1"/>
  <c r="B1572" i="1"/>
  <c r="A1572" i="1"/>
  <c r="B1571" i="1"/>
  <c r="A1571" i="1"/>
  <c r="B1570" i="1"/>
  <c r="A1570" i="1"/>
  <c r="B1569" i="1"/>
  <c r="A1569" i="1"/>
  <c r="B1568" i="1"/>
  <c r="A1568" i="1"/>
  <c r="B1567" i="1"/>
  <c r="A1567" i="1"/>
  <c r="B1566" i="1"/>
  <c r="A1566" i="1"/>
  <c r="B1565" i="1"/>
  <c r="A1565" i="1"/>
  <c r="B1564" i="1"/>
  <c r="A1564" i="1"/>
  <c r="B1563" i="1"/>
  <c r="A1563" i="1"/>
  <c r="B1562" i="1"/>
  <c r="A1562" i="1"/>
  <c r="B1561" i="1"/>
  <c r="A1561" i="1"/>
  <c r="B1560" i="1"/>
  <c r="A1560" i="1"/>
  <c r="B1559" i="1"/>
  <c r="A1559" i="1"/>
  <c r="B1558" i="1"/>
  <c r="A1558" i="1"/>
  <c r="B1557" i="1"/>
  <c r="A1557" i="1"/>
  <c r="B1556" i="1"/>
  <c r="A1556" i="1"/>
  <c r="B1555" i="1"/>
  <c r="A1555" i="1"/>
  <c r="B1554" i="1"/>
  <c r="A1554" i="1"/>
  <c r="B1553" i="1"/>
  <c r="A1553" i="1"/>
  <c r="B1552" i="1"/>
  <c r="A1552" i="1"/>
  <c r="B1551" i="1"/>
  <c r="A1551" i="1"/>
  <c r="B1550" i="1"/>
  <c r="A1550" i="1"/>
  <c r="B1549" i="1"/>
  <c r="A1549" i="1"/>
  <c r="B1548" i="1"/>
  <c r="A1548" i="1"/>
  <c r="B1547" i="1"/>
  <c r="A1547" i="1"/>
  <c r="B1546" i="1"/>
  <c r="A1546" i="1"/>
  <c r="B1545" i="1"/>
  <c r="A1545" i="1"/>
  <c r="B1544" i="1"/>
  <c r="A1544" i="1"/>
  <c r="B1543" i="1"/>
  <c r="A1543" i="1"/>
  <c r="B1542" i="1"/>
  <c r="A1542" i="1"/>
  <c r="B1541" i="1"/>
  <c r="A1541" i="1"/>
  <c r="B1540" i="1"/>
  <c r="A1540" i="1"/>
  <c r="B1539" i="1"/>
  <c r="A1539" i="1"/>
  <c r="B1538" i="1"/>
  <c r="A1538" i="1"/>
  <c r="B1537" i="1"/>
  <c r="A1537" i="1"/>
  <c r="B1536" i="1"/>
  <c r="A1536" i="1"/>
  <c r="B1535" i="1"/>
  <c r="A1535" i="1"/>
  <c r="B1534" i="1"/>
  <c r="A1534" i="1"/>
  <c r="B1533" i="1"/>
  <c r="A1533" i="1"/>
  <c r="B1532" i="1"/>
  <c r="A1532" i="1"/>
  <c r="B1531" i="1"/>
  <c r="A1531" i="1"/>
  <c r="B1530" i="1"/>
  <c r="A1530" i="1"/>
  <c r="B1529" i="1"/>
  <c r="A1529" i="1"/>
  <c r="B1528" i="1"/>
  <c r="A1528" i="1"/>
  <c r="B1527" i="1"/>
  <c r="A1527" i="1"/>
  <c r="B1526" i="1"/>
  <c r="A1526" i="1"/>
  <c r="B1525" i="1"/>
  <c r="A1525" i="1"/>
  <c r="B1524" i="1"/>
  <c r="A1524" i="1"/>
  <c r="B1523" i="1"/>
  <c r="A1523" i="1"/>
  <c r="B1522" i="1"/>
  <c r="A1522" i="1"/>
  <c r="B1521" i="1"/>
  <c r="A1521" i="1"/>
  <c r="B1520" i="1"/>
  <c r="A1520" i="1"/>
  <c r="B1519" i="1"/>
  <c r="A1519" i="1"/>
  <c r="B1518" i="1"/>
  <c r="A1518" i="1"/>
  <c r="B1517" i="1"/>
  <c r="A1517" i="1"/>
  <c r="B1516" i="1"/>
  <c r="A1516" i="1"/>
  <c r="B1515" i="1"/>
  <c r="A1515" i="1"/>
  <c r="B1514" i="1"/>
  <c r="A1514" i="1"/>
  <c r="B1513" i="1"/>
  <c r="A1513" i="1"/>
  <c r="B1512" i="1"/>
  <c r="A1512" i="1"/>
  <c r="B1511" i="1"/>
  <c r="A1511" i="1"/>
  <c r="B1510" i="1"/>
  <c r="A1510" i="1"/>
  <c r="B1509" i="1"/>
  <c r="A1509" i="1"/>
  <c r="B1508" i="1"/>
  <c r="A1508" i="1"/>
  <c r="B1507" i="1"/>
  <c r="A1507" i="1"/>
  <c r="B1506" i="1"/>
  <c r="A1506" i="1"/>
  <c r="B1505" i="1"/>
  <c r="A1505" i="1"/>
  <c r="B1504" i="1"/>
  <c r="A1504" i="1"/>
  <c r="B1503" i="1"/>
  <c r="A1503" i="1"/>
  <c r="B1502" i="1"/>
  <c r="A1502" i="1"/>
  <c r="B1501" i="1"/>
  <c r="A1501" i="1"/>
  <c r="B1500" i="1"/>
  <c r="A1500" i="1"/>
  <c r="B1499" i="1"/>
  <c r="A1499" i="1"/>
  <c r="B1498" i="1"/>
  <c r="A1498" i="1"/>
  <c r="B1497" i="1"/>
  <c r="A1497" i="1"/>
  <c r="B1496" i="1"/>
  <c r="A1496" i="1"/>
  <c r="B1495" i="1"/>
  <c r="A1495" i="1"/>
  <c r="B1494" i="1"/>
  <c r="A1494" i="1"/>
  <c r="B1493" i="1"/>
  <c r="A1493" i="1"/>
  <c r="B1492" i="1"/>
  <c r="A1492" i="1"/>
  <c r="B1491" i="1"/>
  <c r="A1491" i="1"/>
  <c r="B1490" i="1"/>
  <c r="A1490" i="1"/>
  <c r="B1489" i="1"/>
  <c r="A1489" i="1"/>
  <c r="B1488" i="1"/>
  <c r="A1488" i="1"/>
  <c r="B1487" i="1"/>
  <c r="A1487" i="1"/>
  <c r="B1486" i="1"/>
  <c r="A1486" i="1"/>
  <c r="B1485" i="1"/>
  <c r="A1485" i="1"/>
  <c r="B1484" i="1"/>
  <c r="A1484" i="1"/>
  <c r="B1483" i="1"/>
  <c r="A1483" i="1"/>
  <c r="B1482" i="1"/>
  <c r="A1482" i="1"/>
  <c r="B1481" i="1"/>
  <c r="A1481" i="1"/>
  <c r="B1480" i="1"/>
  <c r="A1480" i="1"/>
  <c r="B1479" i="1"/>
  <c r="A1479" i="1"/>
  <c r="B1478" i="1"/>
  <c r="A1478" i="1"/>
  <c r="B1477" i="1"/>
  <c r="A1477" i="1"/>
  <c r="B1476" i="1"/>
  <c r="A1476" i="1"/>
  <c r="B1475" i="1"/>
  <c r="A1475" i="1"/>
  <c r="B1474" i="1"/>
  <c r="A1474" i="1"/>
  <c r="B1473" i="1"/>
  <c r="A1473" i="1"/>
  <c r="B1472" i="1"/>
  <c r="A1472" i="1"/>
  <c r="B1471" i="1"/>
  <c r="A1471" i="1"/>
  <c r="B1470" i="1"/>
  <c r="A1470" i="1"/>
  <c r="B1469" i="1"/>
  <c r="A1469" i="1"/>
  <c r="B1468" i="1"/>
  <c r="A1468" i="1"/>
  <c r="B1467" i="1"/>
  <c r="A1467" i="1"/>
  <c r="B1466" i="1"/>
  <c r="A1466" i="1"/>
  <c r="B1465" i="1"/>
  <c r="A1465" i="1"/>
  <c r="B1464" i="1"/>
  <c r="A1464" i="1"/>
  <c r="B1463" i="1"/>
  <c r="A1463" i="1"/>
  <c r="B1462" i="1"/>
  <c r="A1462" i="1"/>
  <c r="B1461" i="1"/>
  <c r="A1461" i="1"/>
  <c r="B1460" i="1"/>
  <c r="A1460" i="1"/>
  <c r="B1459" i="1"/>
  <c r="A1459" i="1"/>
  <c r="B1458" i="1"/>
  <c r="A1458" i="1"/>
  <c r="B1457" i="1"/>
  <c r="A1457" i="1"/>
  <c r="B1456" i="1"/>
  <c r="A1456" i="1"/>
  <c r="B1455" i="1"/>
  <c r="A1455" i="1"/>
  <c r="B1454" i="1"/>
  <c r="A1454" i="1"/>
  <c r="B1453" i="1"/>
  <c r="A1453" i="1"/>
  <c r="B1452" i="1"/>
  <c r="A1452" i="1"/>
  <c r="B1451" i="1"/>
  <c r="A1451" i="1"/>
  <c r="B1450" i="1"/>
  <c r="A1450" i="1"/>
  <c r="B1449" i="1"/>
  <c r="A1449" i="1"/>
  <c r="B1448" i="1"/>
  <c r="A1448" i="1"/>
  <c r="B1447" i="1"/>
  <c r="A1447" i="1"/>
  <c r="B1446" i="1"/>
  <c r="A1446" i="1"/>
  <c r="B1445" i="1"/>
  <c r="A1445" i="1"/>
  <c r="B1444" i="1"/>
  <c r="A1444" i="1"/>
  <c r="B1443" i="1"/>
  <c r="A1443" i="1"/>
  <c r="B1442" i="1"/>
  <c r="A1442" i="1"/>
  <c r="B1441" i="1"/>
  <c r="A1441" i="1"/>
  <c r="B1440" i="1"/>
  <c r="A1440" i="1"/>
  <c r="B1439" i="1"/>
  <c r="A1439" i="1"/>
  <c r="B1438" i="1"/>
  <c r="A1438" i="1"/>
  <c r="B1437" i="1"/>
  <c r="A1437" i="1"/>
  <c r="B1436" i="1"/>
  <c r="A1436" i="1"/>
  <c r="B1435" i="1"/>
  <c r="A1435" i="1"/>
  <c r="B1434" i="1"/>
  <c r="A1434" i="1"/>
  <c r="B1433" i="1"/>
  <c r="A1433" i="1"/>
  <c r="B1432" i="1"/>
  <c r="A1432" i="1"/>
  <c r="B1431" i="1"/>
  <c r="A1431" i="1"/>
  <c r="B1430" i="1"/>
  <c r="A1430" i="1"/>
  <c r="B1429" i="1"/>
  <c r="A1429" i="1"/>
  <c r="B1428" i="1"/>
  <c r="A1428" i="1"/>
  <c r="B1427" i="1"/>
  <c r="A1427" i="1"/>
  <c r="B1426" i="1"/>
  <c r="A1426" i="1"/>
  <c r="B1425" i="1"/>
  <c r="A1425" i="1"/>
  <c r="B1424" i="1"/>
  <c r="A1424" i="1"/>
  <c r="B1423" i="1"/>
  <c r="A1423" i="1"/>
  <c r="B1422" i="1"/>
  <c r="A1422" i="1"/>
  <c r="B1421" i="1"/>
  <c r="A1421" i="1"/>
  <c r="B1420" i="1"/>
  <c r="A1420" i="1"/>
  <c r="B1419" i="1"/>
  <c r="A1419" i="1"/>
  <c r="B1418" i="1"/>
  <c r="A1418" i="1"/>
  <c r="B1417" i="1"/>
  <c r="A1417" i="1"/>
  <c r="B1416" i="1"/>
  <c r="A1416" i="1"/>
  <c r="B1415" i="1"/>
  <c r="A1415" i="1"/>
  <c r="B1414" i="1"/>
  <c r="A1414" i="1"/>
  <c r="B1413" i="1"/>
  <c r="A1413" i="1"/>
  <c r="B1412" i="1"/>
  <c r="A1412" i="1"/>
  <c r="B1411" i="1"/>
  <c r="A1411" i="1"/>
  <c r="B1410" i="1"/>
  <c r="A1410" i="1"/>
  <c r="B1409" i="1"/>
  <c r="A1409" i="1"/>
  <c r="B1408" i="1"/>
  <c r="A1408" i="1"/>
  <c r="B1407" i="1"/>
  <c r="A1407" i="1"/>
  <c r="B1406" i="1"/>
  <c r="A1406" i="1"/>
  <c r="B1405" i="1"/>
  <c r="A1405" i="1"/>
  <c r="B1404" i="1"/>
  <c r="A1404" i="1"/>
  <c r="B1403" i="1"/>
  <c r="A1403" i="1"/>
  <c r="B1402" i="1"/>
  <c r="A1402" i="1"/>
  <c r="B1401" i="1"/>
  <c r="A1401" i="1"/>
  <c r="B1400" i="1"/>
  <c r="A1400" i="1"/>
  <c r="B1399" i="1"/>
  <c r="A1399" i="1"/>
  <c r="B1398" i="1"/>
  <c r="A1398" i="1"/>
  <c r="B1397" i="1"/>
  <c r="A1397" i="1"/>
  <c r="B1396" i="1"/>
  <c r="A1396" i="1"/>
  <c r="B1395" i="1"/>
  <c r="A1395" i="1"/>
  <c r="B1394" i="1"/>
  <c r="A1394" i="1"/>
  <c r="B1393" i="1"/>
  <c r="A1393" i="1"/>
  <c r="B1392" i="1"/>
  <c r="A1392" i="1"/>
  <c r="B1391" i="1"/>
  <c r="A1391" i="1"/>
  <c r="B1390" i="1"/>
  <c r="A1390" i="1"/>
  <c r="B1389" i="1"/>
  <c r="A1389" i="1"/>
  <c r="B1388" i="1"/>
  <c r="A1388" i="1"/>
  <c r="B1387" i="1"/>
  <c r="A1387" i="1"/>
  <c r="B1386" i="1"/>
  <c r="A1386" i="1"/>
  <c r="B1385" i="1"/>
  <c r="A1385" i="1"/>
  <c r="B1384" i="1"/>
  <c r="A1384" i="1"/>
  <c r="B1383" i="1"/>
  <c r="A1383" i="1"/>
  <c r="B1382" i="1"/>
  <c r="A1382" i="1"/>
  <c r="B1381" i="1"/>
  <c r="A1381" i="1"/>
  <c r="B1380" i="1"/>
  <c r="A1380" i="1"/>
  <c r="B1379" i="1"/>
  <c r="A1379" i="1"/>
  <c r="B1378" i="1"/>
  <c r="A1378" i="1"/>
  <c r="B1377" i="1"/>
  <c r="A1377" i="1"/>
  <c r="B1376" i="1"/>
  <c r="A1376" i="1"/>
  <c r="B1375" i="1"/>
  <c r="A1375" i="1"/>
  <c r="B1374" i="1"/>
  <c r="A1374" i="1"/>
  <c r="B1373" i="1"/>
  <c r="A1373" i="1"/>
  <c r="B1372" i="1"/>
  <c r="A1372" i="1"/>
  <c r="B1371" i="1"/>
  <c r="A1371" i="1"/>
  <c r="B1370" i="1"/>
  <c r="A1370" i="1"/>
  <c r="B1369" i="1"/>
  <c r="A1369" i="1"/>
  <c r="B1368" i="1"/>
  <c r="A1368" i="1"/>
  <c r="B1367" i="1"/>
  <c r="A1367" i="1"/>
  <c r="B1366" i="1"/>
  <c r="A1366" i="1"/>
  <c r="B1365" i="1"/>
  <c r="A1365" i="1"/>
  <c r="B1364" i="1"/>
  <c r="A1364" i="1"/>
  <c r="B1363" i="1"/>
  <c r="A1363" i="1"/>
  <c r="B1362" i="1"/>
  <c r="A1362" i="1"/>
  <c r="B1361" i="1"/>
  <c r="A1361" i="1"/>
  <c r="B1360" i="1"/>
  <c r="A1360" i="1"/>
  <c r="B1359" i="1"/>
  <c r="A1359" i="1"/>
  <c r="B1358" i="1"/>
  <c r="A1358" i="1"/>
  <c r="B1357" i="1"/>
  <c r="A1357" i="1"/>
  <c r="B1356" i="1"/>
  <c r="A1356" i="1"/>
  <c r="B1355" i="1"/>
  <c r="A1355" i="1"/>
  <c r="B1354" i="1"/>
  <c r="A1354" i="1"/>
  <c r="B1353" i="1"/>
  <c r="A1353" i="1"/>
  <c r="B1352" i="1"/>
  <c r="A1352" i="1"/>
  <c r="B1351" i="1"/>
  <c r="A1351" i="1"/>
  <c r="B1350" i="1"/>
  <c r="A1350" i="1"/>
  <c r="B1349" i="1"/>
  <c r="A1349" i="1"/>
  <c r="B1348" i="1"/>
  <c r="A1348" i="1"/>
  <c r="B1347" i="1"/>
  <c r="A1347" i="1"/>
  <c r="B1346" i="1"/>
  <c r="A1346" i="1"/>
  <c r="B1345" i="1"/>
  <c r="A1345" i="1"/>
  <c r="B1344" i="1"/>
  <c r="A1344" i="1"/>
  <c r="B1343" i="1"/>
  <c r="A1343" i="1"/>
  <c r="B1342" i="1"/>
  <c r="A1342" i="1"/>
  <c r="B1341" i="1"/>
  <c r="A1341" i="1"/>
  <c r="B1340" i="1"/>
  <c r="A1340" i="1"/>
  <c r="B1339" i="1"/>
  <c r="A1339" i="1"/>
  <c r="B1338" i="1"/>
  <c r="A1338" i="1"/>
  <c r="B1337" i="1"/>
  <c r="A1337" i="1"/>
  <c r="B1336" i="1"/>
  <c r="A1336" i="1"/>
  <c r="B1335" i="1"/>
  <c r="A1335" i="1"/>
  <c r="B1334" i="1"/>
  <c r="A1334" i="1"/>
  <c r="B1333" i="1"/>
  <c r="A1333" i="1"/>
  <c r="B1332" i="1"/>
  <c r="A1332" i="1"/>
  <c r="B1331" i="1"/>
  <c r="A1331" i="1"/>
  <c r="B1330" i="1"/>
  <c r="A1330" i="1"/>
  <c r="B1329" i="1"/>
  <c r="A1329" i="1"/>
  <c r="B1328" i="1"/>
  <c r="A1328" i="1"/>
  <c r="B1327" i="1"/>
  <c r="A1327" i="1"/>
  <c r="B1326" i="1"/>
  <c r="A1326" i="1"/>
  <c r="B1325" i="1"/>
  <c r="A1325" i="1"/>
  <c r="B1324" i="1"/>
  <c r="A1324" i="1"/>
  <c r="B1323" i="1"/>
  <c r="A1323" i="1"/>
  <c r="B1322" i="1"/>
  <c r="A1322" i="1"/>
  <c r="B1321" i="1"/>
  <c r="A1321" i="1"/>
  <c r="B1320" i="1"/>
  <c r="A1320" i="1"/>
  <c r="B1319" i="1"/>
  <c r="A1319" i="1"/>
  <c r="B1318" i="1"/>
  <c r="A1318" i="1"/>
  <c r="B1317" i="1"/>
  <c r="A1317" i="1"/>
  <c r="B1316" i="1"/>
  <c r="A1316" i="1"/>
  <c r="B1315" i="1"/>
  <c r="A1315" i="1"/>
  <c r="B1314" i="1"/>
  <c r="A1314" i="1"/>
  <c r="B1313" i="1"/>
  <c r="A1313" i="1"/>
  <c r="B1312" i="1"/>
  <c r="A1312" i="1"/>
  <c r="B1311" i="1"/>
  <c r="A1311" i="1"/>
  <c r="B1310" i="1"/>
  <c r="A1310" i="1"/>
  <c r="B1309" i="1"/>
  <c r="A1309" i="1"/>
  <c r="B1308" i="1"/>
  <c r="A1308" i="1"/>
  <c r="B1307" i="1"/>
  <c r="A1307" i="1"/>
  <c r="B1306" i="1"/>
  <c r="A1306" i="1"/>
  <c r="B1305" i="1"/>
  <c r="A1305" i="1"/>
  <c r="B1304" i="1"/>
  <c r="A1304" i="1"/>
  <c r="B1303" i="1"/>
  <c r="A1303" i="1"/>
  <c r="B1302" i="1"/>
  <c r="A1302" i="1"/>
  <c r="B1301" i="1"/>
  <c r="A1301" i="1"/>
  <c r="B1300" i="1"/>
  <c r="A1300" i="1"/>
  <c r="B1299" i="1"/>
  <c r="A1299" i="1"/>
  <c r="B1298" i="1"/>
  <c r="A1298" i="1"/>
  <c r="B1297" i="1"/>
  <c r="A1297" i="1"/>
  <c r="B1296" i="1"/>
  <c r="A1296" i="1"/>
  <c r="B1295" i="1"/>
  <c r="A1295" i="1"/>
  <c r="B1294" i="1"/>
  <c r="A1294" i="1"/>
  <c r="B1293" i="1"/>
  <c r="A1293" i="1"/>
  <c r="B1292" i="1"/>
  <c r="A1292" i="1"/>
  <c r="B1291" i="1"/>
  <c r="A1291" i="1"/>
  <c r="B1290" i="1"/>
  <c r="A1290" i="1"/>
  <c r="B1289" i="1"/>
  <c r="A1289" i="1"/>
  <c r="B1288" i="1"/>
  <c r="A1288" i="1"/>
  <c r="B1287" i="1"/>
  <c r="A1287" i="1"/>
  <c r="B1286" i="1"/>
  <c r="A1286" i="1"/>
  <c r="B1285" i="1"/>
  <c r="A1285" i="1"/>
  <c r="B1284" i="1"/>
  <c r="A1284" i="1"/>
  <c r="B1283" i="1"/>
  <c r="A1283" i="1"/>
  <c r="B1282" i="1"/>
  <c r="A1282" i="1"/>
  <c r="B1281" i="1"/>
  <c r="A1281" i="1"/>
  <c r="B1280" i="1"/>
  <c r="A1280" i="1"/>
  <c r="B1279" i="1"/>
  <c r="A1279" i="1"/>
  <c r="B1278" i="1"/>
  <c r="A1278" i="1"/>
  <c r="B1277" i="1"/>
  <c r="A1277" i="1"/>
  <c r="B1276" i="1"/>
  <c r="A1276" i="1"/>
  <c r="B1275" i="1"/>
  <c r="A1275" i="1"/>
  <c r="B1274" i="1"/>
  <c r="A1274" i="1"/>
  <c r="B1273" i="1"/>
  <c r="A1273" i="1"/>
  <c r="B1272" i="1"/>
  <c r="A1272" i="1"/>
  <c r="B1271" i="1"/>
  <c r="A1271" i="1"/>
  <c r="B1270" i="1"/>
  <c r="A1270" i="1"/>
  <c r="B1269" i="1"/>
  <c r="A1269" i="1"/>
  <c r="B1268" i="1"/>
  <c r="A1268" i="1"/>
  <c r="B1267" i="1"/>
  <c r="A1267" i="1"/>
  <c r="B1266" i="1"/>
  <c r="A1266" i="1"/>
  <c r="B1265" i="1"/>
  <c r="A1265" i="1"/>
  <c r="B1264" i="1"/>
  <c r="A1264" i="1"/>
  <c r="B1263" i="1"/>
  <c r="A1263" i="1"/>
  <c r="B1262" i="1"/>
  <c r="A1262" i="1"/>
  <c r="B1261" i="1"/>
  <c r="A1261" i="1"/>
  <c r="B1260" i="1"/>
  <c r="A1260" i="1"/>
  <c r="B1259" i="1"/>
  <c r="A1259" i="1"/>
  <c r="B1258" i="1"/>
  <c r="A1258" i="1"/>
  <c r="B1257" i="1"/>
  <c r="A1257" i="1"/>
  <c r="B1256" i="1"/>
  <c r="A1256" i="1"/>
  <c r="B1255" i="1"/>
  <c r="A1255" i="1"/>
  <c r="B1254" i="1"/>
  <c r="A1254" i="1"/>
  <c r="B1253" i="1"/>
  <c r="A1253" i="1"/>
  <c r="B1252" i="1"/>
  <c r="A1252" i="1"/>
  <c r="B1251" i="1"/>
  <c r="A1251" i="1"/>
  <c r="B1250" i="1"/>
  <c r="A1250" i="1"/>
  <c r="B1249" i="1"/>
  <c r="A1249" i="1"/>
  <c r="B1248" i="1"/>
  <c r="A1248" i="1"/>
  <c r="B1247" i="1"/>
  <c r="A1247" i="1"/>
  <c r="B1246" i="1"/>
  <c r="A1246" i="1"/>
  <c r="B1245" i="1"/>
  <c r="A1245" i="1"/>
  <c r="B1244" i="1"/>
  <c r="A1244" i="1"/>
  <c r="B1243" i="1"/>
  <c r="A1243" i="1"/>
  <c r="B1242" i="1"/>
  <c r="A1242" i="1"/>
  <c r="B1241" i="1"/>
  <c r="A1241" i="1"/>
  <c r="B1240" i="1"/>
  <c r="A1240" i="1"/>
  <c r="B1239" i="1"/>
  <c r="A1239" i="1"/>
  <c r="B1238" i="1"/>
  <c r="A1238" i="1"/>
  <c r="B1237" i="1"/>
  <c r="A1237" i="1"/>
  <c r="B1236" i="1"/>
  <c r="A1236" i="1"/>
  <c r="B1235" i="1"/>
  <c r="A1235" i="1"/>
  <c r="B1234" i="1"/>
  <c r="A1234" i="1"/>
  <c r="B1233" i="1"/>
  <c r="A1233" i="1"/>
  <c r="B1232" i="1"/>
  <c r="A1232" i="1"/>
  <c r="B1231" i="1"/>
  <c r="A1231" i="1"/>
  <c r="B1230" i="1"/>
  <c r="A1230" i="1"/>
  <c r="B1229" i="1"/>
  <c r="A1229" i="1"/>
  <c r="B1228" i="1"/>
  <c r="A1228" i="1"/>
  <c r="B1227" i="1"/>
  <c r="A1227" i="1"/>
  <c r="B1226" i="1"/>
  <c r="A1226" i="1"/>
  <c r="B1225" i="1"/>
  <c r="A1225" i="1"/>
  <c r="B1224" i="1"/>
  <c r="A1224" i="1"/>
  <c r="B1223" i="1"/>
  <c r="A1223" i="1"/>
  <c r="B1222" i="1"/>
  <c r="A1222" i="1"/>
  <c r="B1221" i="1"/>
  <c r="A1221" i="1"/>
  <c r="B1220" i="1"/>
  <c r="A1220" i="1"/>
  <c r="B1219" i="1"/>
  <c r="A1219" i="1"/>
  <c r="B1218" i="1"/>
  <c r="A1218" i="1"/>
  <c r="B1217" i="1"/>
  <c r="A1217" i="1"/>
  <c r="B1216" i="1"/>
  <c r="A1216" i="1"/>
  <c r="B1215" i="1"/>
  <c r="A1215" i="1"/>
  <c r="B1214" i="1"/>
  <c r="A1214" i="1"/>
  <c r="B1213" i="1"/>
  <c r="A1213" i="1"/>
  <c r="B1212" i="1"/>
  <c r="A1212" i="1"/>
  <c r="B1211" i="1"/>
  <c r="A1211" i="1"/>
  <c r="B1210" i="1"/>
  <c r="A1210" i="1"/>
  <c r="B1209" i="1"/>
  <c r="A1209" i="1"/>
  <c r="B1208" i="1"/>
  <c r="A1208" i="1"/>
  <c r="B1207" i="1"/>
  <c r="A1207" i="1"/>
  <c r="B1206" i="1"/>
  <c r="A1206" i="1"/>
  <c r="B1205" i="1"/>
  <c r="A1205" i="1"/>
  <c r="B1204" i="1"/>
  <c r="A1204" i="1"/>
  <c r="B1203" i="1"/>
  <c r="A1203" i="1"/>
  <c r="B1202" i="1"/>
  <c r="A1202" i="1"/>
  <c r="B1201" i="1"/>
  <c r="A1201" i="1"/>
  <c r="B1200" i="1"/>
  <c r="A1200" i="1"/>
  <c r="B1199" i="1"/>
  <c r="A1199" i="1"/>
  <c r="B1198" i="1"/>
  <c r="A1198" i="1"/>
  <c r="B1197" i="1"/>
  <c r="A1197" i="1"/>
  <c r="B1196" i="1"/>
  <c r="A1196" i="1"/>
  <c r="B1195" i="1"/>
  <c r="A1195" i="1"/>
  <c r="B1194" i="1"/>
  <c r="A1194" i="1"/>
  <c r="B1193" i="1"/>
  <c r="A1193" i="1"/>
  <c r="B1192" i="1"/>
  <c r="A1192" i="1"/>
  <c r="B1191" i="1"/>
  <c r="A1191" i="1"/>
  <c r="B1190" i="1"/>
  <c r="A1190" i="1"/>
  <c r="B1189" i="1"/>
  <c r="A1189" i="1"/>
  <c r="B1188" i="1"/>
  <c r="A1188" i="1"/>
  <c r="B1187" i="1"/>
  <c r="A1187" i="1"/>
  <c r="B1186" i="1"/>
  <c r="A1186" i="1"/>
  <c r="B1185" i="1"/>
  <c r="A1185" i="1"/>
  <c r="B1184" i="1"/>
  <c r="A1184" i="1"/>
  <c r="B1183" i="1"/>
  <c r="A1183" i="1"/>
  <c r="B1182" i="1"/>
  <c r="A1182" i="1"/>
  <c r="B1181" i="1"/>
  <c r="A1181" i="1"/>
  <c r="B1180" i="1"/>
  <c r="A1180" i="1"/>
  <c r="B1179" i="1"/>
  <c r="A1179" i="1"/>
  <c r="B1178" i="1"/>
  <c r="A1178" i="1"/>
  <c r="B1177" i="1"/>
  <c r="A1177" i="1"/>
  <c r="B1176" i="1"/>
  <c r="A1176" i="1"/>
  <c r="B1175" i="1"/>
  <c r="A1175" i="1"/>
  <c r="B1174" i="1"/>
  <c r="A1174" i="1"/>
  <c r="B1173" i="1"/>
  <c r="A1173" i="1"/>
  <c r="B1172" i="1"/>
  <c r="A1172" i="1"/>
  <c r="B1171" i="1"/>
  <c r="A1171" i="1"/>
  <c r="B1170" i="1"/>
  <c r="A1170" i="1"/>
  <c r="B1169" i="1"/>
  <c r="A1169" i="1"/>
  <c r="B1168" i="1"/>
  <c r="A1168" i="1"/>
  <c r="B1167" i="1"/>
  <c r="A1167" i="1"/>
  <c r="B1166" i="1"/>
  <c r="A1166" i="1"/>
  <c r="B1165" i="1"/>
  <c r="A1165" i="1"/>
  <c r="B1164" i="1"/>
  <c r="A1164" i="1"/>
  <c r="B1163" i="1"/>
  <c r="A1163" i="1"/>
  <c r="B1162" i="1"/>
  <c r="A1162" i="1"/>
  <c r="B1161" i="1"/>
  <c r="A1161" i="1"/>
  <c r="B1160" i="1"/>
  <c r="A1160" i="1"/>
  <c r="B1159" i="1"/>
  <c r="A1159" i="1"/>
  <c r="B1158" i="1"/>
  <c r="A1158" i="1"/>
  <c r="B1157" i="1"/>
  <c r="A1157" i="1"/>
  <c r="B1156" i="1"/>
  <c r="A1156" i="1"/>
  <c r="B1155" i="1"/>
  <c r="A1155" i="1"/>
  <c r="B1154" i="1"/>
  <c r="A1154" i="1"/>
  <c r="B1153" i="1"/>
  <c r="A1153" i="1"/>
  <c r="B1152" i="1"/>
  <c r="A1152" i="1"/>
  <c r="B1151" i="1"/>
  <c r="A1151" i="1"/>
  <c r="B1150" i="1"/>
  <c r="A1150" i="1"/>
  <c r="B1149" i="1"/>
  <c r="A1149" i="1"/>
  <c r="B1148" i="1"/>
  <c r="A1148" i="1"/>
  <c r="B1147" i="1"/>
  <c r="A1147" i="1"/>
  <c r="B1146" i="1"/>
  <c r="A1146" i="1"/>
  <c r="B1145" i="1"/>
  <c r="A1145" i="1"/>
  <c r="B1144" i="1"/>
  <c r="A1144" i="1"/>
  <c r="B1143" i="1"/>
  <c r="A1143" i="1"/>
  <c r="B1142" i="1"/>
  <c r="A1142" i="1"/>
  <c r="B1141" i="1"/>
  <c r="A1141" i="1"/>
  <c r="B1140" i="1"/>
  <c r="A1140" i="1"/>
  <c r="B1139" i="1"/>
  <c r="A1139" i="1"/>
  <c r="B1138" i="1"/>
  <c r="A1138" i="1"/>
  <c r="B1137" i="1"/>
  <c r="A1137" i="1"/>
  <c r="B1136" i="1"/>
  <c r="A1136" i="1"/>
  <c r="B1135" i="1"/>
  <c r="A1135" i="1"/>
  <c r="B1134" i="1"/>
  <c r="A1134" i="1"/>
  <c r="B1133" i="1"/>
  <c r="A1133" i="1"/>
  <c r="B1132" i="1"/>
  <c r="A1132" i="1"/>
  <c r="B1131" i="1"/>
  <c r="A1131" i="1"/>
  <c r="B1130" i="1"/>
  <c r="A1130" i="1"/>
  <c r="B1129" i="1"/>
  <c r="A1129" i="1"/>
  <c r="B1128" i="1"/>
  <c r="A1128" i="1"/>
  <c r="B1127" i="1"/>
  <c r="A1127" i="1"/>
  <c r="B1126" i="1"/>
  <c r="A1126" i="1"/>
  <c r="B1125" i="1"/>
  <c r="A1125" i="1"/>
  <c r="B1124" i="1"/>
  <c r="A1124" i="1"/>
  <c r="B1123" i="1"/>
  <c r="A1123" i="1"/>
  <c r="B1122" i="1"/>
  <c r="A1122" i="1"/>
  <c r="B1121" i="1"/>
  <c r="A1121" i="1"/>
  <c r="B1120" i="1"/>
  <c r="A1120" i="1"/>
  <c r="B1119" i="1"/>
  <c r="A1119" i="1"/>
  <c r="B1118" i="1"/>
  <c r="A1118" i="1"/>
  <c r="B1117" i="1"/>
  <c r="A1117" i="1"/>
  <c r="B1116" i="1"/>
  <c r="A1116" i="1"/>
  <c r="B1115" i="1"/>
  <c r="A1115" i="1"/>
  <c r="B1114" i="1"/>
  <c r="A1114" i="1"/>
  <c r="B1113" i="1"/>
  <c r="A1113" i="1"/>
  <c r="B1112" i="1"/>
  <c r="A1112" i="1"/>
  <c r="B1111" i="1"/>
  <c r="A1111" i="1"/>
  <c r="B1110" i="1"/>
  <c r="A1110" i="1"/>
  <c r="B1109" i="1"/>
  <c r="A1109" i="1"/>
  <c r="B1108" i="1"/>
  <c r="A1108" i="1"/>
  <c r="B1107" i="1"/>
  <c r="A1107" i="1"/>
  <c r="B1106" i="1"/>
  <c r="A1106" i="1"/>
  <c r="B1105" i="1"/>
  <c r="A1105" i="1"/>
  <c r="B1104" i="1"/>
  <c r="A1104" i="1"/>
  <c r="B1103" i="1"/>
  <c r="A1103" i="1"/>
  <c r="B1102" i="1"/>
  <c r="A1102" i="1"/>
  <c r="B1101" i="1"/>
  <c r="A1101" i="1"/>
  <c r="B1100" i="1"/>
  <c r="A1100" i="1"/>
  <c r="B1099" i="1"/>
  <c r="A1099" i="1"/>
  <c r="B1098" i="1"/>
  <c r="A1098" i="1"/>
  <c r="B1097" i="1"/>
  <c r="A1097" i="1"/>
  <c r="B1096" i="1"/>
  <c r="A1096" i="1"/>
  <c r="B1095" i="1"/>
  <c r="A1095" i="1"/>
  <c r="B1094" i="1"/>
  <c r="A1094" i="1"/>
  <c r="B1093" i="1"/>
  <c r="A1093" i="1"/>
  <c r="B1092" i="1"/>
  <c r="A1092" i="1"/>
  <c r="B1091" i="1"/>
  <c r="A1091" i="1"/>
  <c r="B1090" i="1"/>
  <c r="A1090" i="1"/>
  <c r="B1089" i="1"/>
  <c r="A1089" i="1"/>
  <c r="B1088" i="1"/>
  <c r="A1088" i="1"/>
  <c r="B1087" i="1"/>
  <c r="A1087" i="1"/>
  <c r="B1086" i="1"/>
  <c r="A1086" i="1"/>
  <c r="B1085" i="1"/>
  <c r="A1085" i="1"/>
  <c r="B1084" i="1"/>
  <c r="A1084" i="1"/>
  <c r="B1083" i="1"/>
  <c r="A1083" i="1"/>
  <c r="B1082" i="1"/>
  <c r="A1082" i="1"/>
  <c r="B1081" i="1"/>
  <c r="A1081" i="1"/>
  <c r="B1080" i="1"/>
  <c r="A1080" i="1"/>
  <c r="B1079" i="1"/>
  <c r="A1079" i="1"/>
  <c r="B1078" i="1"/>
  <c r="A1078" i="1"/>
  <c r="B1077" i="1"/>
  <c r="A1077" i="1"/>
  <c r="B1076" i="1"/>
  <c r="A1076" i="1"/>
  <c r="B1075" i="1"/>
  <c r="A1075" i="1"/>
  <c r="B1074" i="1"/>
  <c r="A1074" i="1"/>
  <c r="B1073" i="1"/>
  <c r="A1073" i="1"/>
  <c r="B1072" i="1"/>
  <c r="A1072" i="1"/>
  <c r="B1071" i="1"/>
  <c r="A1071" i="1"/>
  <c r="B1070" i="1"/>
  <c r="A1070" i="1"/>
  <c r="B1069" i="1"/>
  <c r="A1069" i="1"/>
  <c r="B1068" i="1"/>
  <c r="A1068" i="1"/>
  <c r="B1067" i="1"/>
  <c r="A1067" i="1"/>
  <c r="B1066" i="1"/>
  <c r="A1066" i="1"/>
  <c r="B1065" i="1"/>
  <c r="A1065" i="1"/>
  <c r="B1064" i="1"/>
  <c r="A1064" i="1"/>
  <c r="B1063" i="1"/>
  <c r="A1063" i="1"/>
  <c r="B1062" i="1"/>
  <c r="A1062" i="1"/>
  <c r="B1061" i="1"/>
  <c r="A1061" i="1"/>
  <c r="B1060" i="1"/>
  <c r="A1060" i="1"/>
  <c r="B1059" i="1"/>
  <c r="A1059" i="1"/>
  <c r="B1058" i="1"/>
  <c r="A1058" i="1"/>
  <c r="B1057" i="1"/>
  <c r="A1057" i="1"/>
  <c r="B1056" i="1"/>
  <c r="A1056" i="1"/>
  <c r="B1055" i="1"/>
  <c r="A1055" i="1"/>
  <c r="B1054" i="1"/>
  <c r="A1054" i="1"/>
  <c r="B1053" i="1"/>
  <c r="A1053" i="1"/>
  <c r="B1052" i="1"/>
  <c r="A1052" i="1"/>
  <c r="B1051" i="1"/>
  <c r="A1051" i="1"/>
  <c r="B1050" i="1"/>
  <c r="A1050" i="1"/>
  <c r="B1049" i="1"/>
  <c r="A1049" i="1"/>
  <c r="B1048" i="1"/>
  <c r="A1048" i="1"/>
  <c r="B1047" i="1"/>
  <c r="A1047" i="1"/>
  <c r="B1046" i="1"/>
  <c r="A1046" i="1"/>
  <c r="B1045" i="1"/>
  <c r="A1045" i="1"/>
  <c r="B1044" i="1"/>
  <c r="A1044" i="1"/>
  <c r="B1043" i="1"/>
  <c r="A1043" i="1"/>
  <c r="B1042" i="1"/>
  <c r="A1042" i="1"/>
  <c r="B1041" i="1"/>
  <c r="A1041" i="1"/>
  <c r="B1040" i="1"/>
  <c r="A1040" i="1"/>
  <c r="B1039" i="1"/>
  <c r="A1039" i="1"/>
  <c r="B1038" i="1"/>
  <c r="A1038" i="1"/>
  <c r="B1037" i="1"/>
  <c r="A1037" i="1"/>
  <c r="B1036" i="1"/>
  <c r="A1036" i="1"/>
  <c r="B1035" i="1"/>
  <c r="A1035" i="1"/>
  <c r="B1034" i="1"/>
  <c r="A1034" i="1"/>
  <c r="B1033" i="1"/>
  <c r="A1033" i="1"/>
  <c r="B1032" i="1"/>
  <c r="A1032" i="1"/>
  <c r="B1031" i="1"/>
  <c r="A1031" i="1"/>
  <c r="B1030" i="1"/>
  <c r="A1030" i="1"/>
  <c r="B1029" i="1"/>
  <c r="A1029" i="1"/>
  <c r="B1028" i="1"/>
  <c r="A1028" i="1"/>
  <c r="B1027" i="1"/>
  <c r="A1027" i="1"/>
  <c r="B1026" i="1"/>
  <c r="A1026" i="1"/>
  <c r="B1025" i="1"/>
  <c r="A1025" i="1"/>
  <c r="B1024" i="1"/>
  <c r="A1024" i="1"/>
  <c r="B1023" i="1"/>
  <c r="A1023" i="1"/>
  <c r="B1022" i="1"/>
  <c r="A1022" i="1"/>
  <c r="B1021" i="1"/>
  <c r="A1021" i="1"/>
  <c r="B1020" i="1"/>
  <c r="A1020" i="1"/>
  <c r="B1019" i="1"/>
  <c r="A1019" i="1"/>
  <c r="B1018" i="1"/>
  <c r="A1018" i="1"/>
  <c r="B1017" i="1"/>
  <c r="A1017" i="1"/>
  <c r="B1016" i="1"/>
  <c r="A1016" i="1"/>
  <c r="B1015" i="1"/>
  <c r="A1015" i="1"/>
  <c r="B1014" i="1"/>
  <c r="A1014" i="1"/>
  <c r="B1013" i="1"/>
  <c r="A1013" i="1"/>
  <c r="B1012" i="1"/>
  <c r="A1012" i="1"/>
  <c r="B1011" i="1"/>
  <c r="A1011" i="1"/>
  <c r="B1010" i="1"/>
  <c r="A1010" i="1"/>
  <c r="B1009" i="1"/>
  <c r="A1009" i="1"/>
  <c r="B1008" i="1"/>
  <c r="A1008" i="1"/>
  <c r="B1007" i="1"/>
  <c r="A1007" i="1"/>
  <c r="B1006" i="1"/>
  <c r="A1006" i="1"/>
  <c r="B1005" i="1"/>
  <c r="A1005" i="1"/>
  <c r="B1004" i="1"/>
  <c r="A1004" i="1"/>
  <c r="B1003" i="1"/>
  <c r="A1003" i="1"/>
  <c r="B1002" i="1"/>
  <c r="A1002" i="1"/>
  <c r="B1001" i="1"/>
  <c r="A1001" i="1"/>
  <c r="B1000" i="1"/>
  <c r="A1000" i="1"/>
  <c r="B999" i="1"/>
  <c r="A999" i="1"/>
  <c r="B998" i="1"/>
  <c r="A998" i="1"/>
  <c r="B997" i="1"/>
  <c r="A997" i="1"/>
  <c r="B996" i="1"/>
  <c r="A996" i="1"/>
  <c r="B995" i="1"/>
  <c r="A995" i="1"/>
  <c r="B994" i="1"/>
  <c r="A994" i="1"/>
  <c r="B993" i="1"/>
  <c r="A993" i="1"/>
  <c r="B992" i="1"/>
  <c r="A992" i="1"/>
  <c r="B991" i="1"/>
  <c r="A991" i="1"/>
  <c r="B990" i="1"/>
  <c r="A990" i="1"/>
  <c r="B989" i="1"/>
  <c r="A989" i="1"/>
  <c r="B988" i="1"/>
  <c r="A988" i="1"/>
  <c r="B987" i="1"/>
  <c r="A987" i="1"/>
  <c r="B986" i="1"/>
  <c r="A986" i="1"/>
  <c r="B985" i="1"/>
  <c r="A985" i="1"/>
  <c r="B984" i="1"/>
  <c r="A984" i="1"/>
  <c r="B983" i="1"/>
  <c r="A983" i="1"/>
  <c r="B982" i="1"/>
  <c r="A982" i="1"/>
  <c r="B981" i="1"/>
  <c r="A981" i="1"/>
  <c r="B980" i="1"/>
  <c r="A980" i="1"/>
  <c r="B979" i="1"/>
  <c r="A979" i="1"/>
  <c r="B978" i="1"/>
  <c r="A978" i="1"/>
  <c r="B977" i="1"/>
  <c r="A977" i="1"/>
  <c r="B976" i="1"/>
  <c r="A976" i="1"/>
  <c r="B975" i="1"/>
  <c r="A975" i="1"/>
  <c r="B974" i="1"/>
  <c r="A974" i="1"/>
  <c r="B973" i="1"/>
  <c r="A973" i="1"/>
  <c r="B972" i="1"/>
  <c r="A972" i="1"/>
  <c r="B971" i="1"/>
  <c r="A971" i="1"/>
  <c r="B970" i="1"/>
  <c r="A970" i="1"/>
  <c r="B969" i="1"/>
  <c r="A969" i="1"/>
  <c r="B968" i="1"/>
  <c r="A968" i="1"/>
  <c r="B967" i="1"/>
  <c r="A967" i="1"/>
  <c r="B966" i="1"/>
  <c r="A966" i="1"/>
  <c r="B965" i="1"/>
  <c r="A965" i="1"/>
  <c r="B964" i="1"/>
  <c r="A964" i="1"/>
  <c r="B963" i="1"/>
  <c r="A963" i="1"/>
  <c r="B962" i="1"/>
  <c r="A962" i="1"/>
  <c r="B961" i="1"/>
  <c r="A961" i="1"/>
  <c r="B960" i="1"/>
  <c r="A960" i="1"/>
  <c r="B959" i="1"/>
  <c r="A959" i="1"/>
  <c r="B958" i="1"/>
  <c r="A958" i="1"/>
  <c r="B957" i="1"/>
  <c r="A957" i="1"/>
  <c r="B956" i="1"/>
  <c r="A956" i="1"/>
  <c r="B955" i="1"/>
  <c r="A955" i="1"/>
  <c r="B954" i="1"/>
  <c r="A954" i="1"/>
  <c r="B953" i="1"/>
  <c r="A953" i="1"/>
  <c r="B952" i="1"/>
  <c r="A952" i="1"/>
  <c r="B951" i="1"/>
  <c r="A951" i="1"/>
  <c r="B950" i="1"/>
  <c r="A950" i="1"/>
  <c r="B949" i="1"/>
  <c r="A949" i="1"/>
  <c r="B948" i="1"/>
  <c r="A948" i="1"/>
  <c r="B947" i="1"/>
  <c r="A947" i="1"/>
  <c r="B946" i="1"/>
  <c r="A946" i="1"/>
  <c r="B945" i="1"/>
  <c r="A945" i="1"/>
  <c r="B944" i="1"/>
  <c r="A944" i="1"/>
  <c r="B943" i="1"/>
  <c r="A943" i="1"/>
  <c r="B942" i="1"/>
  <c r="A942" i="1"/>
  <c r="B941" i="1"/>
  <c r="A941" i="1"/>
  <c r="B940" i="1"/>
  <c r="A940" i="1"/>
  <c r="B939" i="1"/>
  <c r="A939" i="1"/>
  <c r="B938" i="1"/>
  <c r="A938" i="1"/>
  <c r="B937" i="1"/>
  <c r="A937" i="1"/>
  <c r="B936" i="1"/>
  <c r="A936" i="1"/>
  <c r="B935" i="1"/>
  <c r="A935" i="1"/>
  <c r="B934" i="1"/>
  <c r="A934" i="1"/>
  <c r="B933" i="1"/>
  <c r="A933" i="1"/>
  <c r="B932" i="1"/>
  <c r="A932" i="1"/>
  <c r="B931" i="1"/>
  <c r="A931" i="1"/>
  <c r="B930" i="1"/>
  <c r="A930" i="1"/>
  <c r="B929" i="1"/>
  <c r="A929" i="1"/>
  <c r="B928" i="1"/>
  <c r="A928" i="1"/>
  <c r="B927" i="1"/>
  <c r="A927" i="1"/>
  <c r="B926" i="1"/>
  <c r="A926" i="1"/>
  <c r="B925" i="1"/>
  <c r="A925" i="1"/>
  <c r="B924" i="1"/>
  <c r="A924" i="1"/>
  <c r="B923" i="1"/>
  <c r="A923" i="1"/>
  <c r="B922" i="1"/>
  <c r="A922" i="1"/>
  <c r="B921" i="1"/>
  <c r="A921" i="1"/>
  <c r="B920" i="1"/>
  <c r="A920" i="1"/>
  <c r="B919" i="1"/>
  <c r="A919" i="1"/>
  <c r="B918" i="1"/>
  <c r="A918" i="1"/>
  <c r="B917" i="1"/>
  <c r="A917" i="1"/>
  <c r="B916" i="1"/>
  <c r="A916" i="1"/>
  <c r="B915" i="1"/>
  <c r="A915" i="1"/>
  <c r="B914" i="1"/>
  <c r="A914" i="1"/>
  <c r="B913" i="1"/>
  <c r="A913" i="1"/>
  <c r="B912" i="1"/>
  <c r="A912" i="1"/>
  <c r="B911" i="1"/>
  <c r="A911" i="1"/>
  <c r="B910" i="1"/>
  <c r="A910" i="1"/>
  <c r="B909" i="1"/>
  <c r="A909" i="1"/>
  <c r="B908" i="1"/>
  <c r="A908" i="1"/>
  <c r="B907" i="1"/>
  <c r="A907" i="1"/>
  <c r="B906" i="1"/>
  <c r="A906" i="1"/>
  <c r="B905" i="1"/>
  <c r="A905" i="1"/>
  <c r="B904" i="1"/>
  <c r="A904" i="1"/>
  <c r="B903" i="1"/>
  <c r="A903" i="1"/>
  <c r="B902" i="1"/>
  <c r="A902" i="1"/>
  <c r="B901" i="1"/>
  <c r="A901" i="1"/>
  <c r="B900" i="1"/>
  <c r="A900" i="1"/>
  <c r="B899" i="1"/>
  <c r="A899" i="1"/>
  <c r="B898" i="1"/>
  <c r="A898" i="1"/>
  <c r="B897" i="1"/>
  <c r="A897" i="1"/>
  <c r="B896" i="1"/>
  <c r="A896" i="1"/>
  <c r="B895" i="1"/>
  <c r="A895" i="1"/>
  <c r="B894" i="1"/>
  <c r="A894" i="1"/>
  <c r="B893" i="1"/>
  <c r="A893" i="1"/>
  <c r="B892" i="1"/>
  <c r="A892" i="1"/>
  <c r="B891" i="1"/>
  <c r="A891" i="1"/>
  <c r="B890" i="1"/>
  <c r="A890" i="1"/>
  <c r="B889" i="1"/>
  <c r="A889" i="1"/>
  <c r="B888" i="1"/>
  <c r="A888" i="1"/>
  <c r="B887" i="1"/>
  <c r="A887" i="1"/>
  <c r="B886" i="1"/>
  <c r="A886" i="1"/>
  <c r="B885" i="1"/>
  <c r="A885" i="1"/>
  <c r="B884" i="1"/>
  <c r="A884" i="1"/>
  <c r="B883" i="1"/>
  <c r="A883" i="1"/>
  <c r="B882" i="1"/>
  <c r="A882" i="1"/>
  <c r="B881" i="1"/>
  <c r="A881" i="1"/>
  <c r="B880" i="1"/>
  <c r="A880" i="1"/>
  <c r="B879" i="1"/>
  <c r="A879" i="1"/>
  <c r="B878" i="1"/>
  <c r="A878" i="1"/>
  <c r="B877" i="1"/>
  <c r="A877" i="1"/>
  <c r="B876" i="1"/>
  <c r="A876" i="1"/>
  <c r="B875" i="1"/>
  <c r="A875" i="1"/>
  <c r="B874" i="1"/>
  <c r="A874" i="1"/>
  <c r="B873" i="1"/>
  <c r="A873" i="1"/>
  <c r="B872" i="1"/>
  <c r="A872" i="1"/>
  <c r="B871" i="1"/>
  <c r="A871" i="1"/>
  <c r="B870" i="1"/>
  <c r="A870" i="1"/>
  <c r="B869" i="1"/>
  <c r="A869" i="1"/>
  <c r="B868" i="1"/>
  <c r="A868" i="1"/>
  <c r="B867" i="1"/>
  <c r="A867" i="1"/>
  <c r="B866" i="1"/>
  <c r="A866" i="1"/>
  <c r="B865" i="1"/>
  <c r="A865" i="1"/>
  <c r="B864" i="1"/>
  <c r="A864" i="1"/>
  <c r="B863" i="1"/>
  <c r="A863" i="1"/>
  <c r="B862" i="1"/>
  <c r="A862" i="1"/>
  <c r="B861" i="1"/>
  <c r="A861" i="1"/>
  <c r="B860" i="1"/>
  <c r="A860" i="1"/>
  <c r="B859" i="1"/>
  <c r="A859" i="1"/>
  <c r="B858" i="1"/>
  <c r="A858" i="1"/>
  <c r="B857" i="1"/>
  <c r="A857" i="1"/>
  <c r="B856" i="1"/>
  <c r="A856" i="1"/>
  <c r="B855" i="1"/>
  <c r="A855" i="1"/>
  <c r="B854" i="1"/>
  <c r="A854" i="1"/>
  <c r="B853" i="1"/>
  <c r="A853" i="1"/>
  <c r="B852" i="1"/>
  <c r="A852" i="1"/>
  <c r="B851" i="1"/>
  <c r="A851" i="1"/>
  <c r="B850" i="1"/>
  <c r="A850" i="1"/>
  <c r="B849" i="1"/>
  <c r="A849" i="1"/>
  <c r="B848" i="1"/>
  <c r="A848" i="1"/>
  <c r="B847" i="1"/>
  <c r="A847" i="1"/>
  <c r="B846" i="1"/>
  <c r="A846" i="1"/>
  <c r="B845" i="1"/>
  <c r="A845" i="1"/>
  <c r="B844" i="1"/>
  <c r="A844" i="1"/>
  <c r="B843" i="1"/>
  <c r="A843" i="1"/>
  <c r="B842" i="1"/>
  <c r="A842" i="1"/>
  <c r="B841" i="1"/>
  <c r="A841" i="1"/>
  <c r="B840" i="1"/>
  <c r="A840" i="1"/>
  <c r="B839" i="1"/>
  <c r="A839" i="1"/>
  <c r="B838" i="1"/>
  <c r="A838" i="1"/>
  <c r="B837" i="1"/>
  <c r="A837" i="1"/>
  <c r="B836" i="1"/>
  <c r="A836" i="1"/>
  <c r="B835" i="1"/>
  <c r="A835" i="1"/>
  <c r="B834" i="1"/>
  <c r="A834" i="1"/>
  <c r="B833" i="1"/>
  <c r="A833" i="1"/>
  <c r="B832" i="1"/>
  <c r="A832" i="1"/>
  <c r="B831" i="1"/>
  <c r="A831" i="1"/>
  <c r="B830" i="1"/>
  <c r="A830" i="1"/>
  <c r="B829" i="1"/>
  <c r="A829" i="1"/>
  <c r="B828" i="1"/>
  <c r="A828" i="1"/>
  <c r="B827" i="1"/>
  <c r="A827" i="1"/>
  <c r="B826" i="1"/>
  <c r="A826" i="1"/>
  <c r="B825" i="1"/>
  <c r="A825" i="1"/>
  <c r="B824" i="1"/>
  <c r="A824" i="1"/>
  <c r="B823" i="1"/>
  <c r="A823" i="1"/>
  <c r="B822" i="1"/>
  <c r="A822" i="1"/>
  <c r="B821" i="1"/>
  <c r="A821" i="1"/>
  <c r="B820" i="1"/>
  <c r="A820" i="1"/>
  <c r="B819" i="1"/>
  <c r="A819" i="1"/>
  <c r="B818" i="1"/>
  <c r="A818" i="1"/>
  <c r="B817" i="1"/>
  <c r="A817" i="1"/>
  <c r="B816" i="1"/>
  <c r="A816" i="1"/>
  <c r="B815" i="1"/>
  <c r="A815" i="1"/>
  <c r="B814" i="1"/>
  <c r="A814" i="1"/>
  <c r="B813" i="1"/>
  <c r="A813" i="1"/>
  <c r="B812" i="1"/>
  <c r="A812" i="1"/>
  <c r="B811" i="1"/>
  <c r="A811" i="1"/>
  <c r="B810" i="1"/>
  <c r="A810" i="1"/>
  <c r="B809" i="1"/>
  <c r="A809" i="1"/>
  <c r="B808" i="1"/>
  <c r="A808" i="1"/>
  <c r="B807" i="1"/>
  <c r="A807" i="1"/>
  <c r="B806" i="1"/>
  <c r="A806" i="1"/>
  <c r="B805" i="1"/>
  <c r="A805" i="1"/>
  <c r="B804" i="1"/>
  <c r="A804" i="1"/>
  <c r="B803" i="1"/>
  <c r="A803" i="1"/>
  <c r="B802" i="1"/>
  <c r="A802" i="1"/>
  <c r="B801" i="1"/>
  <c r="A801" i="1"/>
  <c r="B800" i="1"/>
  <c r="A800" i="1"/>
  <c r="B799" i="1"/>
  <c r="A799" i="1"/>
  <c r="B798" i="1"/>
  <c r="A798" i="1"/>
  <c r="B797" i="1"/>
  <c r="A797" i="1"/>
  <c r="B796" i="1"/>
  <c r="A796" i="1"/>
  <c r="B795" i="1"/>
  <c r="A795" i="1"/>
  <c r="B794" i="1"/>
  <c r="A794" i="1"/>
  <c r="B793" i="1"/>
  <c r="A793" i="1"/>
  <c r="B792" i="1"/>
  <c r="A792" i="1"/>
  <c r="B791" i="1"/>
  <c r="A791" i="1"/>
  <c r="B790" i="1"/>
  <c r="A790" i="1"/>
  <c r="B789" i="1"/>
  <c r="A789" i="1"/>
  <c r="B788" i="1"/>
  <c r="A788" i="1"/>
  <c r="B787" i="1"/>
  <c r="A787" i="1"/>
  <c r="B786" i="1"/>
  <c r="A786" i="1"/>
  <c r="B785" i="1"/>
  <c r="A785" i="1"/>
  <c r="B784" i="1"/>
  <c r="A784" i="1"/>
  <c r="B783" i="1"/>
  <c r="A783" i="1"/>
  <c r="B782" i="1"/>
  <c r="A782" i="1"/>
  <c r="B781" i="1"/>
  <c r="A781" i="1"/>
  <c r="B780" i="1"/>
  <c r="A780" i="1"/>
  <c r="B779" i="1"/>
  <c r="A779" i="1"/>
  <c r="B778" i="1"/>
  <c r="A778" i="1"/>
  <c r="B777" i="1"/>
  <c r="A777" i="1"/>
  <c r="B776" i="1"/>
  <c r="A776" i="1"/>
  <c r="B775" i="1"/>
  <c r="A775" i="1"/>
  <c r="B774" i="1"/>
  <c r="A774" i="1"/>
  <c r="B773" i="1"/>
  <c r="A773" i="1"/>
  <c r="B772" i="1"/>
  <c r="A772" i="1"/>
  <c r="B771" i="1"/>
  <c r="A771" i="1"/>
  <c r="B770" i="1"/>
  <c r="A770" i="1"/>
  <c r="B769" i="1"/>
  <c r="A769" i="1"/>
  <c r="B768" i="1"/>
  <c r="A768" i="1"/>
  <c r="B767" i="1"/>
  <c r="A767" i="1"/>
  <c r="B766" i="1"/>
  <c r="A766" i="1"/>
  <c r="B765" i="1"/>
  <c r="A765" i="1"/>
  <c r="B764" i="1"/>
  <c r="A764" i="1"/>
  <c r="B763" i="1"/>
  <c r="A763" i="1"/>
  <c r="B762" i="1"/>
  <c r="A762" i="1"/>
  <c r="B761" i="1"/>
  <c r="A761" i="1"/>
  <c r="B760" i="1"/>
  <c r="A760" i="1"/>
  <c r="B759" i="1"/>
  <c r="A759" i="1"/>
  <c r="B758" i="1"/>
  <c r="A758" i="1"/>
  <c r="B757" i="1"/>
  <c r="A757" i="1"/>
  <c r="B756" i="1"/>
  <c r="A756" i="1"/>
  <c r="B755" i="1"/>
  <c r="A755" i="1"/>
  <c r="B754" i="1"/>
  <c r="A754" i="1"/>
  <c r="B753" i="1"/>
  <c r="A753" i="1"/>
  <c r="B752" i="1"/>
  <c r="A752" i="1"/>
  <c r="B751" i="1"/>
  <c r="A751" i="1"/>
  <c r="B750" i="1"/>
  <c r="A750" i="1"/>
  <c r="B749" i="1"/>
  <c r="A749" i="1"/>
  <c r="B748" i="1"/>
  <c r="A748" i="1"/>
  <c r="B747" i="1"/>
  <c r="A747" i="1"/>
  <c r="B746" i="1"/>
  <c r="A746" i="1"/>
  <c r="B745" i="1"/>
  <c r="A745" i="1"/>
  <c r="B744" i="1"/>
  <c r="A744" i="1"/>
  <c r="B743" i="1"/>
  <c r="A743" i="1"/>
  <c r="B742" i="1"/>
  <c r="A742" i="1"/>
  <c r="B741" i="1"/>
  <c r="A741" i="1"/>
  <c r="B740" i="1"/>
  <c r="A740" i="1"/>
  <c r="B739" i="1"/>
  <c r="A739" i="1"/>
  <c r="B738" i="1"/>
  <c r="A738" i="1"/>
  <c r="B737" i="1"/>
  <c r="A737" i="1"/>
  <c r="B736" i="1"/>
  <c r="A736" i="1"/>
  <c r="B735" i="1"/>
  <c r="A735" i="1"/>
  <c r="B734" i="1"/>
  <c r="A734" i="1"/>
  <c r="B733" i="1"/>
  <c r="A733" i="1"/>
  <c r="B732" i="1"/>
  <c r="A732" i="1"/>
  <c r="B731" i="1"/>
  <c r="A731" i="1"/>
  <c r="B730" i="1"/>
  <c r="A730" i="1"/>
  <c r="B729" i="1"/>
  <c r="A729" i="1"/>
  <c r="B728" i="1"/>
  <c r="A728" i="1"/>
  <c r="B727" i="1"/>
  <c r="A727" i="1"/>
  <c r="B726" i="1"/>
  <c r="A726" i="1"/>
  <c r="B725" i="1"/>
  <c r="A725" i="1"/>
  <c r="B724" i="1"/>
  <c r="A724" i="1"/>
  <c r="B723" i="1"/>
  <c r="A723" i="1"/>
  <c r="B722" i="1"/>
  <c r="A722" i="1"/>
  <c r="B721" i="1"/>
  <c r="A721" i="1"/>
  <c r="B720" i="1"/>
  <c r="A720" i="1"/>
  <c r="B719" i="1"/>
  <c r="A719" i="1"/>
  <c r="B718" i="1"/>
  <c r="A718" i="1"/>
  <c r="B717" i="1"/>
  <c r="A717" i="1"/>
  <c r="B716" i="1"/>
  <c r="A716" i="1"/>
  <c r="B715" i="1"/>
  <c r="A715" i="1"/>
  <c r="B714" i="1"/>
  <c r="A714" i="1"/>
  <c r="B713" i="1"/>
  <c r="A713" i="1"/>
  <c r="B712" i="1"/>
  <c r="A712" i="1"/>
  <c r="B711" i="1"/>
  <c r="A711" i="1"/>
  <c r="B710" i="1"/>
  <c r="A710" i="1"/>
  <c r="B709" i="1"/>
  <c r="A709" i="1"/>
  <c r="B708" i="1"/>
  <c r="A708" i="1"/>
  <c r="B707" i="1"/>
  <c r="A707" i="1"/>
  <c r="B706" i="1"/>
  <c r="A706" i="1"/>
  <c r="B705" i="1"/>
  <c r="A705" i="1"/>
  <c r="B704" i="1"/>
  <c r="A704" i="1"/>
  <c r="B703" i="1"/>
  <c r="A703" i="1"/>
  <c r="B702" i="1"/>
  <c r="A702" i="1"/>
  <c r="B701" i="1"/>
  <c r="A701" i="1"/>
  <c r="B700" i="1"/>
  <c r="A700" i="1"/>
  <c r="B699" i="1"/>
  <c r="A699" i="1"/>
  <c r="B698" i="1"/>
  <c r="A698" i="1"/>
  <c r="B697" i="1"/>
  <c r="A697" i="1"/>
  <c r="B696" i="1"/>
  <c r="A696" i="1"/>
  <c r="B695" i="1"/>
  <c r="A695" i="1"/>
  <c r="B694" i="1"/>
  <c r="A694" i="1"/>
  <c r="B693" i="1"/>
  <c r="A693" i="1"/>
  <c r="B692" i="1"/>
  <c r="A692" i="1"/>
  <c r="B691" i="1"/>
  <c r="A691" i="1"/>
  <c r="B690" i="1"/>
  <c r="A690" i="1"/>
  <c r="B689" i="1"/>
  <c r="A689" i="1"/>
  <c r="B688" i="1"/>
  <c r="A688" i="1"/>
  <c r="B687" i="1"/>
  <c r="A687" i="1"/>
  <c r="B686" i="1"/>
  <c r="A686" i="1"/>
  <c r="B685" i="1"/>
  <c r="A685" i="1"/>
  <c r="B684" i="1"/>
  <c r="A684" i="1"/>
  <c r="B683" i="1"/>
  <c r="A683" i="1"/>
  <c r="B682" i="1"/>
  <c r="A682" i="1"/>
  <c r="B681" i="1"/>
  <c r="A681" i="1"/>
  <c r="B680" i="1"/>
  <c r="A680" i="1"/>
  <c r="B679" i="1"/>
  <c r="A679" i="1"/>
  <c r="B678" i="1"/>
  <c r="A678" i="1"/>
  <c r="B677" i="1"/>
  <c r="A677" i="1"/>
  <c r="B676" i="1"/>
  <c r="A676" i="1"/>
  <c r="B675" i="1"/>
  <c r="A675" i="1"/>
  <c r="B674" i="1"/>
  <c r="A674" i="1"/>
  <c r="B673" i="1"/>
  <c r="A673" i="1"/>
  <c r="B672" i="1"/>
  <c r="A672" i="1"/>
  <c r="B671" i="1"/>
  <c r="A671" i="1"/>
  <c r="B670" i="1"/>
  <c r="A670" i="1"/>
  <c r="B669" i="1"/>
  <c r="A669" i="1"/>
  <c r="B668" i="1"/>
  <c r="A668" i="1"/>
  <c r="B667" i="1"/>
  <c r="A667" i="1"/>
  <c r="B666" i="1"/>
  <c r="A666" i="1"/>
  <c r="B665" i="1"/>
  <c r="A665" i="1"/>
  <c r="B664" i="1"/>
  <c r="A664" i="1"/>
  <c r="B663" i="1"/>
  <c r="A663" i="1"/>
  <c r="B662" i="1"/>
  <c r="A662" i="1"/>
  <c r="B661" i="1"/>
  <c r="A661" i="1"/>
  <c r="B660" i="1"/>
  <c r="A660" i="1"/>
  <c r="B659" i="1"/>
  <c r="A659" i="1"/>
  <c r="B658" i="1"/>
  <c r="A658" i="1"/>
  <c r="B657" i="1"/>
  <c r="A657" i="1"/>
  <c r="B656" i="1"/>
  <c r="A656" i="1"/>
  <c r="B655" i="1"/>
  <c r="A655" i="1"/>
  <c r="B654" i="1"/>
  <c r="A654" i="1"/>
  <c r="B653" i="1"/>
  <c r="A653" i="1"/>
  <c r="B652" i="1"/>
  <c r="A652" i="1"/>
  <c r="B651" i="1"/>
  <c r="A651" i="1"/>
  <c r="B650" i="1"/>
  <c r="A650" i="1"/>
  <c r="B649" i="1"/>
  <c r="A649" i="1"/>
  <c r="B648" i="1"/>
  <c r="A648" i="1"/>
  <c r="B647" i="1"/>
  <c r="A647" i="1"/>
  <c r="B646" i="1"/>
  <c r="A646" i="1"/>
  <c r="B645" i="1"/>
  <c r="A645" i="1"/>
  <c r="B644" i="1"/>
  <c r="A644" i="1"/>
  <c r="B643" i="1"/>
  <c r="A643" i="1"/>
  <c r="B642" i="1"/>
  <c r="A642" i="1"/>
  <c r="B641" i="1"/>
  <c r="A641" i="1"/>
  <c r="B640" i="1"/>
  <c r="A640" i="1"/>
  <c r="B639" i="1"/>
  <c r="A639" i="1"/>
  <c r="B638" i="1"/>
  <c r="A638" i="1"/>
  <c r="B637" i="1"/>
  <c r="A637" i="1"/>
  <c r="B636" i="1"/>
  <c r="A636" i="1"/>
  <c r="B635" i="1"/>
  <c r="A635" i="1"/>
  <c r="B634" i="1"/>
  <c r="A634" i="1"/>
  <c r="B633" i="1"/>
  <c r="A633" i="1"/>
  <c r="B632" i="1"/>
  <c r="A632" i="1"/>
  <c r="B631" i="1"/>
  <c r="A631" i="1"/>
  <c r="B630" i="1"/>
  <c r="A630" i="1"/>
  <c r="B629" i="1"/>
  <c r="A629" i="1"/>
  <c r="B628" i="1"/>
  <c r="A628" i="1"/>
  <c r="B627" i="1"/>
  <c r="A627" i="1"/>
  <c r="B626" i="1"/>
  <c r="A626" i="1"/>
  <c r="B625" i="1"/>
  <c r="A625" i="1"/>
  <c r="B624" i="1"/>
  <c r="A624" i="1"/>
  <c r="B623" i="1"/>
  <c r="A623" i="1"/>
  <c r="B622" i="1"/>
  <c r="A622" i="1"/>
  <c r="B621" i="1"/>
  <c r="A621" i="1"/>
  <c r="B620" i="1"/>
  <c r="A620" i="1"/>
  <c r="B619" i="1"/>
  <c r="A619" i="1"/>
  <c r="B618" i="1"/>
  <c r="A618" i="1"/>
  <c r="B617" i="1"/>
  <c r="A617" i="1"/>
  <c r="B616" i="1"/>
  <c r="A616" i="1"/>
  <c r="B615" i="1"/>
  <c r="A615" i="1"/>
  <c r="B614" i="1"/>
  <c r="A614" i="1"/>
  <c r="B613" i="1"/>
  <c r="A613" i="1"/>
  <c r="B612" i="1"/>
  <c r="A612" i="1"/>
  <c r="B611" i="1"/>
  <c r="A611" i="1"/>
  <c r="B610" i="1"/>
  <c r="A610" i="1"/>
  <c r="B609" i="1"/>
  <c r="A609" i="1"/>
  <c r="B608" i="1"/>
  <c r="A608" i="1"/>
  <c r="B607" i="1"/>
  <c r="A607" i="1"/>
  <c r="B606" i="1"/>
  <c r="A606" i="1"/>
  <c r="B605" i="1"/>
  <c r="A605" i="1"/>
  <c r="B604" i="1"/>
  <c r="A604" i="1"/>
  <c r="B603" i="1"/>
  <c r="A603" i="1"/>
  <c r="B602" i="1"/>
  <c r="A602" i="1"/>
  <c r="B601" i="1"/>
  <c r="A601" i="1"/>
  <c r="B600" i="1"/>
  <c r="A600" i="1"/>
  <c r="B599" i="1"/>
  <c r="A599" i="1"/>
  <c r="B598" i="1"/>
  <c r="A598" i="1"/>
  <c r="B597" i="1"/>
  <c r="A597" i="1"/>
  <c r="B596" i="1"/>
  <c r="A596" i="1"/>
  <c r="B595" i="1"/>
  <c r="A595" i="1"/>
  <c r="B594" i="1"/>
  <c r="A594" i="1"/>
  <c r="B593" i="1"/>
  <c r="A593" i="1"/>
  <c r="B592" i="1"/>
  <c r="A592" i="1"/>
  <c r="B591" i="1"/>
  <c r="A591" i="1"/>
  <c r="B590" i="1"/>
  <c r="A590" i="1"/>
  <c r="B589" i="1"/>
  <c r="A589" i="1"/>
  <c r="B588" i="1"/>
  <c r="A588" i="1"/>
  <c r="B587" i="1"/>
  <c r="A587" i="1"/>
  <c r="B586" i="1"/>
  <c r="A586" i="1"/>
  <c r="B585" i="1"/>
  <c r="A585" i="1"/>
  <c r="B584" i="1"/>
  <c r="A584" i="1"/>
  <c r="B583" i="1"/>
  <c r="A583" i="1"/>
  <c r="B582" i="1"/>
  <c r="A582" i="1"/>
  <c r="B581" i="1"/>
  <c r="A581" i="1"/>
  <c r="B580" i="1"/>
  <c r="A580" i="1"/>
  <c r="B579" i="1"/>
  <c r="A579" i="1"/>
  <c r="B578" i="1"/>
  <c r="A578" i="1"/>
  <c r="B577" i="1"/>
  <c r="A577" i="1"/>
  <c r="B576" i="1"/>
  <c r="A576" i="1"/>
  <c r="B575" i="1"/>
  <c r="A575" i="1"/>
  <c r="B574" i="1"/>
  <c r="A574" i="1"/>
  <c r="B573" i="1"/>
  <c r="A573" i="1"/>
  <c r="B572" i="1"/>
  <c r="A572" i="1"/>
  <c r="B571" i="1"/>
  <c r="A571" i="1"/>
  <c r="B570" i="1"/>
  <c r="A570" i="1"/>
  <c r="B569" i="1"/>
  <c r="A569" i="1"/>
  <c r="B568" i="1"/>
  <c r="A568" i="1"/>
  <c r="B567" i="1"/>
  <c r="A567" i="1"/>
  <c r="B566" i="1"/>
  <c r="A566" i="1"/>
  <c r="B565" i="1"/>
  <c r="A565" i="1"/>
  <c r="B564" i="1"/>
  <c r="A564" i="1"/>
  <c r="B563" i="1"/>
  <c r="A563" i="1"/>
  <c r="B562" i="1"/>
  <c r="A562" i="1"/>
  <c r="B561" i="1"/>
  <c r="A561" i="1"/>
  <c r="B560" i="1"/>
  <c r="A560" i="1"/>
  <c r="B559" i="1"/>
  <c r="A559" i="1"/>
  <c r="B558" i="1"/>
  <c r="A558" i="1"/>
  <c r="B557" i="1"/>
  <c r="A557" i="1"/>
  <c r="B556" i="1"/>
  <c r="A556" i="1"/>
  <c r="B555" i="1"/>
  <c r="A555" i="1"/>
  <c r="B554" i="1"/>
  <c r="A554" i="1"/>
  <c r="B553" i="1"/>
  <c r="A553" i="1"/>
  <c r="B552" i="1"/>
  <c r="A552" i="1"/>
  <c r="B551" i="1"/>
  <c r="A551" i="1"/>
  <c r="B550" i="1"/>
  <c r="A550" i="1"/>
  <c r="B549" i="1"/>
  <c r="A549" i="1"/>
  <c r="B548" i="1"/>
  <c r="A548" i="1"/>
  <c r="B547" i="1"/>
  <c r="A547" i="1"/>
  <c r="B546" i="1"/>
  <c r="A546" i="1"/>
  <c r="B545" i="1"/>
  <c r="A545" i="1"/>
  <c r="B544" i="1"/>
  <c r="A544" i="1"/>
  <c r="B543" i="1"/>
  <c r="A543" i="1"/>
  <c r="B542" i="1"/>
  <c r="A542" i="1"/>
  <c r="B541" i="1"/>
  <c r="A541" i="1"/>
  <c r="B540" i="1"/>
  <c r="A540" i="1"/>
  <c r="B539" i="1"/>
  <c r="A539" i="1"/>
  <c r="B538" i="1"/>
  <c r="A538" i="1"/>
  <c r="B537" i="1"/>
  <c r="A537" i="1"/>
  <c r="B536" i="1"/>
  <c r="A536" i="1"/>
  <c r="B535" i="1"/>
  <c r="A535" i="1"/>
  <c r="B534" i="1"/>
  <c r="A534" i="1"/>
  <c r="B533" i="1"/>
  <c r="A533" i="1"/>
  <c r="B532" i="1"/>
  <c r="A532" i="1"/>
  <c r="B531" i="1"/>
  <c r="A531" i="1"/>
  <c r="B530" i="1"/>
  <c r="A530" i="1"/>
  <c r="B529" i="1"/>
  <c r="A529" i="1"/>
  <c r="B528" i="1"/>
  <c r="A528" i="1"/>
  <c r="B527" i="1"/>
  <c r="A527" i="1"/>
  <c r="B526" i="1"/>
  <c r="A526" i="1"/>
  <c r="B525" i="1"/>
  <c r="A525" i="1"/>
  <c r="B524" i="1"/>
  <c r="A524" i="1"/>
  <c r="B523" i="1"/>
  <c r="A523" i="1"/>
  <c r="B522" i="1"/>
  <c r="A522" i="1"/>
  <c r="B521" i="1"/>
  <c r="A521" i="1"/>
  <c r="B520" i="1"/>
  <c r="A520" i="1"/>
  <c r="B519" i="1"/>
  <c r="A519" i="1"/>
  <c r="B518" i="1"/>
  <c r="A518" i="1"/>
  <c r="B517" i="1"/>
  <c r="A517" i="1"/>
  <c r="B516" i="1"/>
  <c r="A516" i="1"/>
  <c r="B515" i="1"/>
  <c r="A515" i="1"/>
  <c r="B514" i="1"/>
  <c r="A514" i="1"/>
  <c r="B513" i="1"/>
  <c r="A513" i="1"/>
  <c r="B512" i="1"/>
  <c r="A512" i="1"/>
  <c r="B511" i="1"/>
  <c r="A511" i="1"/>
  <c r="B510" i="1"/>
  <c r="A510" i="1"/>
  <c r="B509" i="1"/>
  <c r="A509" i="1"/>
  <c r="B508" i="1"/>
  <c r="A508" i="1"/>
  <c r="B507" i="1"/>
  <c r="A507" i="1"/>
  <c r="B506" i="1"/>
  <c r="A506" i="1"/>
  <c r="B505" i="1"/>
  <c r="A505" i="1"/>
  <c r="B504" i="1"/>
  <c r="A504" i="1"/>
  <c r="B503" i="1"/>
  <c r="A503" i="1"/>
  <c r="B502" i="1"/>
  <c r="A502" i="1"/>
  <c r="B501" i="1"/>
  <c r="A501" i="1"/>
  <c r="B500" i="1"/>
  <c r="A500" i="1"/>
  <c r="B499" i="1"/>
  <c r="A499" i="1"/>
  <c r="B498" i="1"/>
  <c r="A498" i="1"/>
  <c r="B497" i="1"/>
  <c r="A497" i="1"/>
  <c r="B496" i="1"/>
  <c r="A496" i="1"/>
  <c r="B495" i="1"/>
  <c r="A495" i="1"/>
  <c r="B494" i="1"/>
  <c r="A494" i="1"/>
  <c r="B493" i="1"/>
  <c r="A493" i="1"/>
  <c r="B492" i="1"/>
  <c r="A492" i="1"/>
  <c r="B491" i="1"/>
  <c r="A491" i="1"/>
  <c r="B490" i="1"/>
  <c r="A490" i="1"/>
  <c r="B489" i="1"/>
  <c r="A489" i="1"/>
  <c r="B488" i="1"/>
  <c r="A488" i="1"/>
  <c r="B487" i="1"/>
  <c r="A487" i="1"/>
  <c r="B486" i="1"/>
  <c r="A486" i="1"/>
  <c r="B485" i="1"/>
  <c r="A485" i="1"/>
  <c r="B484" i="1"/>
  <c r="A484" i="1"/>
  <c r="B483" i="1"/>
  <c r="A483" i="1"/>
  <c r="B482" i="1"/>
  <c r="A482" i="1"/>
  <c r="B481" i="1"/>
  <c r="A481" i="1"/>
  <c r="B480" i="1"/>
  <c r="A480" i="1"/>
  <c r="B479" i="1"/>
  <c r="A479" i="1"/>
  <c r="B478" i="1"/>
  <c r="A478" i="1"/>
  <c r="B477" i="1"/>
  <c r="A477" i="1"/>
  <c r="B476" i="1"/>
  <c r="A476" i="1"/>
  <c r="B475" i="1"/>
  <c r="A475" i="1"/>
  <c r="B474" i="1"/>
  <c r="A474" i="1"/>
  <c r="B473" i="1"/>
  <c r="A473" i="1"/>
  <c r="B472" i="1"/>
  <c r="A472" i="1"/>
  <c r="B471" i="1"/>
  <c r="A471" i="1"/>
  <c r="B470" i="1"/>
  <c r="A470" i="1"/>
  <c r="B469" i="1"/>
  <c r="A469" i="1"/>
  <c r="B468" i="1"/>
  <c r="A468" i="1"/>
  <c r="B467" i="1"/>
  <c r="A467" i="1"/>
  <c r="B466" i="1"/>
  <c r="A466" i="1"/>
  <c r="B465" i="1"/>
  <c r="A465" i="1"/>
  <c r="B464" i="1"/>
  <c r="A464" i="1"/>
  <c r="B463" i="1"/>
  <c r="A463" i="1"/>
  <c r="B462" i="1"/>
  <c r="A462" i="1"/>
  <c r="B461" i="1"/>
  <c r="A461" i="1"/>
  <c r="B460" i="1"/>
  <c r="A460" i="1"/>
  <c r="B459" i="1"/>
  <c r="A459" i="1"/>
  <c r="B458" i="1"/>
  <c r="A458" i="1"/>
  <c r="B457" i="1"/>
  <c r="A457" i="1"/>
  <c r="B456" i="1"/>
  <c r="A456" i="1"/>
  <c r="B455" i="1"/>
  <c r="A455" i="1"/>
  <c r="B454" i="1"/>
  <c r="A454" i="1"/>
  <c r="B453" i="1"/>
  <c r="A453" i="1"/>
  <c r="B452" i="1"/>
  <c r="A452" i="1"/>
  <c r="B451" i="1"/>
  <c r="A451" i="1"/>
  <c r="B450" i="1"/>
  <c r="A450" i="1"/>
  <c r="B449" i="1"/>
  <c r="A449" i="1"/>
  <c r="B448" i="1"/>
  <c r="A448" i="1"/>
  <c r="B447" i="1"/>
  <c r="A447" i="1"/>
  <c r="B446" i="1"/>
  <c r="A446" i="1"/>
  <c r="B445" i="1"/>
  <c r="A445" i="1"/>
  <c r="B444" i="1"/>
  <c r="A444" i="1"/>
  <c r="B443" i="1"/>
  <c r="A443" i="1"/>
  <c r="B442" i="1"/>
  <c r="A442" i="1"/>
  <c r="B441" i="1"/>
  <c r="A441" i="1"/>
  <c r="B440" i="1"/>
  <c r="A440" i="1"/>
  <c r="B439" i="1"/>
  <c r="A439" i="1"/>
  <c r="B438" i="1"/>
  <c r="A438" i="1"/>
  <c r="B437" i="1"/>
  <c r="A437" i="1"/>
  <c r="B436" i="1"/>
  <c r="A436" i="1"/>
  <c r="B435" i="1"/>
  <c r="A435" i="1"/>
  <c r="B434" i="1"/>
  <c r="A434" i="1"/>
  <c r="B433" i="1"/>
  <c r="A433" i="1"/>
  <c r="B432" i="1"/>
  <c r="A432" i="1"/>
  <c r="B431" i="1"/>
  <c r="A431" i="1"/>
  <c r="B430" i="1"/>
  <c r="A430" i="1"/>
  <c r="B429" i="1"/>
  <c r="A429" i="1"/>
  <c r="B428" i="1"/>
  <c r="A428" i="1"/>
  <c r="B427" i="1"/>
  <c r="A427" i="1"/>
  <c r="B426" i="1"/>
  <c r="A426" i="1"/>
  <c r="B425" i="1"/>
  <c r="A425" i="1"/>
  <c r="B424" i="1"/>
  <c r="A424" i="1"/>
  <c r="B423" i="1"/>
  <c r="A423" i="1"/>
  <c r="B422" i="1"/>
  <c r="A422" i="1"/>
  <c r="B421" i="1"/>
  <c r="A421" i="1"/>
  <c r="B420" i="1"/>
  <c r="A420" i="1"/>
  <c r="B419" i="1"/>
  <c r="A419" i="1"/>
  <c r="B418" i="1"/>
  <c r="A418" i="1"/>
  <c r="B417" i="1"/>
  <c r="A417" i="1"/>
  <c r="B416" i="1"/>
  <c r="A416" i="1"/>
  <c r="B415" i="1"/>
  <c r="A415" i="1"/>
  <c r="B414" i="1"/>
  <c r="A414" i="1"/>
  <c r="B413" i="1"/>
  <c r="A413" i="1"/>
  <c r="B412" i="1"/>
  <c r="A412" i="1"/>
  <c r="B411" i="1"/>
  <c r="A411" i="1"/>
  <c r="B410" i="1"/>
  <c r="A410" i="1"/>
  <c r="B409" i="1"/>
  <c r="A409" i="1"/>
  <c r="B408" i="1"/>
  <c r="A408" i="1"/>
  <c r="B407" i="1"/>
  <c r="A407" i="1"/>
  <c r="B406" i="1"/>
  <c r="A406" i="1"/>
  <c r="B405" i="1"/>
  <c r="A405" i="1"/>
  <c r="B404" i="1"/>
  <c r="A404" i="1"/>
  <c r="B403" i="1"/>
  <c r="A403" i="1"/>
  <c r="B402" i="1"/>
  <c r="A402" i="1"/>
  <c r="B401" i="1"/>
  <c r="A401" i="1"/>
  <c r="B400" i="1"/>
  <c r="A400" i="1"/>
  <c r="B399" i="1"/>
  <c r="A399" i="1"/>
  <c r="B398" i="1"/>
  <c r="A398" i="1"/>
  <c r="B397" i="1"/>
  <c r="A397" i="1"/>
  <c r="B396" i="1"/>
  <c r="A396" i="1"/>
  <c r="B395" i="1"/>
  <c r="A395" i="1"/>
  <c r="B394" i="1"/>
  <c r="A394" i="1"/>
  <c r="B393" i="1"/>
  <c r="A393" i="1"/>
  <c r="B392" i="1"/>
  <c r="A392" i="1"/>
  <c r="B391" i="1"/>
  <c r="A391" i="1"/>
  <c r="B390" i="1"/>
  <c r="A390" i="1"/>
  <c r="B389" i="1"/>
  <c r="A389" i="1"/>
  <c r="B388" i="1"/>
  <c r="A388" i="1"/>
  <c r="B387" i="1"/>
  <c r="A387" i="1"/>
  <c r="B386" i="1"/>
  <c r="A386" i="1"/>
  <c r="B385" i="1"/>
  <c r="A385" i="1"/>
  <c r="B384" i="1"/>
  <c r="A384" i="1"/>
  <c r="B383" i="1"/>
  <c r="A383" i="1"/>
  <c r="B382" i="1"/>
  <c r="A382" i="1"/>
  <c r="B381" i="1"/>
  <c r="A381" i="1"/>
  <c r="B380" i="1"/>
  <c r="A380" i="1"/>
  <c r="B379" i="1"/>
  <c r="A379" i="1"/>
  <c r="B378" i="1"/>
  <c r="A378" i="1"/>
  <c r="B377" i="1"/>
  <c r="A377" i="1"/>
  <c r="B376" i="1"/>
  <c r="A376" i="1"/>
  <c r="B375" i="1"/>
  <c r="A375" i="1"/>
  <c r="B374" i="1"/>
  <c r="A374" i="1"/>
  <c r="B373" i="1"/>
  <c r="A373" i="1"/>
  <c r="B372" i="1"/>
  <c r="A372" i="1"/>
  <c r="B371" i="1"/>
  <c r="A371" i="1"/>
  <c r="B370" i="1"/>
  <c r="A370" i="1"/>
  <c r="B369" i="1"/>
  <c r="A369" i="1"/>
  <c r="B368" i="1"/>
  <c r="A368" i="1"/>
  <c r="B367" i="1"/>
  <c r="A367" i="1"/>
  <c r="B366" i="1"/>
  <c r="A366" i="1"/>
  <c r="B365" i="1"/>
  <c r="A365" i="1"/>
  <c r="B364" i="1"/>
  <c r="A364" i="1"/>
  <c r="B363" i="1"/>
  <c r="A363" i="1"/>
  <c r="B362" i="1"/>
  <c r="A362" i="1"/>
  <c r="B361" i="1"/>
  <c r="A361" i="1"/>
  <c r="B360" i="1"/>
  <c r="A360" i="1"/>
  <c r="B359" i="1"/>
  <c r="A359" i="1"/>
  <c r="B358" i="1"/>
  <c r="A358" i="1"/>
  <c r="B357" i="1"/>
  <c r="A357" i="1"/>
  <c r="B356" i="1"/>
  <c r="A356" i="1"/>
  <c r="B355" i="1"/>
  <c r="A355" i="1"/>
  <c r="B354" i="1"/>
  <c r="A354" i="1"/>
  <c r="B353" i="1"/>
  <c r="A353" i="1"/>
  <c r="B352" i="1"/>
  <c r="A352" i="1"/>
  <c r="B351" i="1"/>
  <c r="A351" i="1"/>
  <c r="B350" i="1"/>
  <c r="A350" i="1"/>
  <c r="B349" i="1"/>
  <c r="A349" i="1"/>
  <c r="B348" i="1"/>
  <c r="A348" i="1"/>
  <c r="B347" i="1"/>
  <c r="A347" i="1"/>
  <c r="B346" i="1"/>
  <c r="A346" i="1"/>
  <c r="B345" i="1"/>
  <c r="A345" i="1"/>
  <c r="B344" i="1"/>
  <c r="A344" i="1"/>
  <c r="B343" i="1"/>
  <c r="A343" i="1"/>
  <c r="B342" i="1"/>
  <c r="A342" i="1"/>
  <c r="B341" i="1"/>
  <c r="A341" i="1"/>
  <c r="B340" i="1"/>
  <c r="A340" i="1"/>
  <c r="B339" i="1"/>
  <c r="A339" i="1"/>
  <c r="B338" i="1"/>
  <c r="A338" i="1"/>
  <c r="B337" i="1"/>
  <c r="A337" i="1"/>
  <c r="B336" i="1"/>
  <c r="A336" i="1"/>
  <c r="B335" i="1"/>
  <c r="A335" i="1"/>
  <c r="B334" i="1"/>
  <c r="A334" i="1"/>
  <c r="B333" i="1"/>
  <c r="A333" i="1"/>
  <c r="B332" i="1"/>
  <c r="A332" i="1"/>
  <c r="B331" i="1"/>
  <c r="A331" i="1"/>
  <c r="B330" i="1"/>
  <c r="A330" i="1"/>
  <c r="B329" i="1"/>
  <c r="A329" i="1"/>
  <c r="B328" i="1"/>
  <c r="A328" i="1"/>
  <c r="B327" i="1"/>
  <c r="A327" i="1"/>
  <c r="B326" i="1"/>
  <c r="A326" i="1"/>
  <c r="B325" i="1"/>
  <c r="A325" i="1"/>
  <c r="B324" i="1"/>
  <c r="A324" i="1"/>
  <c r="B323" i="1"/>
  <c r="A323" i="1"/>
  <c r="B322" i="1"/>
  <c r="A322" i="1"/>
  <c r="B321" i="1"/>
  <c r="A321" i="1"/>
  <c r="B320" i="1"/>
  <c r="A320" i="1"/>
  <c r="B319" i="1"/>
  <c r="A319" i="1"/>
  <c r="B318" i="1"/>
  <c r="A318" i="1"/>
  <c r="B317" i="1"/>
  <c r="A317" i="1"/>
  <c r="B316" i="1"/>
  <c r="A316" i="1"/>
  <c r="B315" i="1"/>
  <c r="A315" i="1"/>
  <c r="B314" i="1"/>
  <c r="A314" i="1"/>
  <c r="B313" i="1"/>
  <c r="A313" i="1"/>
  <c r="B312" i="1"/>
  <c r="A312" i="1"/>
  <c r="B311" i="1"/>
  <c r="A311" i="1"/>
  <c r="B310" i="1"/>
  <c r="A310" i="1"/>
  <c r="B309" i="1"/>
  <c r="A309" i="1"/>
  <c r="B308" i="1"/>
  <c r="A308" i="1"/>
  <c r="B307" i="1"/>
  <c r="A307" i="1"/>
  <c r="B306" i="1"/>
  <c r="A306" i="1"/>
  <c r="B305" i="1"/>
  <c r="A305" i="1"/>
  <c r="B304" i="1"/>
  <c r="A304" i="1"/>
  <c r="B303" i="1"/>
  <c r="A303" i="1"/>
  <c r="B302" i="1"/>
  <c r="A302" i="1"/>
  <c r="B301" i="1"/>
  <c r="A301" i="1"/>
  <c r="B300" i="1"/>
  <c r="A300" i="1"/>
  <c r="B299" i="1"/>
  <c r="A299" i="1"/>
  <c r="B298" i="1"/>
  <c r="A298" i="1"/>
  <c r="B297" i="1"/>
  <c r="A297" i="1"/>
  <c r="B296" i="1"/>
  <c r="A296" i="1"/>
  <c r="B295" i="1"/>
  <c r="A295" i="1"/>
  <c r="B294" i="1"/>
  <c r="A294" i="1"/>
  <c r="B293" i="1"/>
  <c r="A293" i="1"/>
  <c r="B292" i="1"/>
  <c r="A292" i="1"/>
  <c r="B291" i="1"/>
  <c r="A291" i="1"/>
  <c r="B290" i="1"/>
  <c r="A290" i="1"/>
  <c r="B289" i="1"/>
  <c r="A289" i="1"/>
  <c r="B288" i="1"/>
  <c r="A288" i="1"/>
  <c r="B287" i="1"/>
  <c r="A287" i="1"/>
  <c r="B286" i="1"/>
  <c r="A286" i="1"/>
  <c r="B285" i="1"/>
  <c r="A285" i="1"/>
  <c r="B284" i="1"/>
  <c r="A284" i="1"/>
  <c r="B283" i="1"/>
  <c r="A283" i="1"/>
  <c r="B282" i="1"/>
  <c r="A282" i="1"/>
  <c r="B281" i="1"/>
  <c r="A281" i="1"/>
  <c r="B280" i="1"/>
  <c r="A280" i="1"/>
  <c r="B279" i="1"/>
  <c r="A279" i="1"/>
  <c r="B278" i="1"/>
  <c r="A278" i="1"/>
  <c r="B277" i="1"/>
  <c r="A277" i="1"/>
  <c r="B276" i="1"/>
  <c r="A276" i="1"/>
  <c r="B275" i="1"/>
  <c r="A275" i="1"/>
  <c r="B274" i="1"/>
  <c r="A274" i="1"/>
  <c r="B273" i="1"/>
  <c r="A273" i="1"/>
  <c r="B272" i="1"/>
  <c r="A272" i="1"/>
  <c r="B271" i="1"/>
  <c r="A271" i="1"/>
  <c r="B270" i="1"/>
  <c r="A270" i="1"/>
  <c r="B269" i="1"/>
  <c r="A269" i="1"/>
  <c r="B268" i="1"/>
  <c r="A268" i="1"/>
  <c r="B267" i="1"/>
  <c r="A267" i="1"/>
  <c r="B266" i="1"/>
  <c r="A266" i="1"/>
  <c r="B265" i="1"/>
  <c r="A265" i="1"/>
  <c r="B264" i="1"/>
  <c r="A264" i="1"/>
  <c r="B263" i="1"/>
  <c r="A263" i="1"/>
  <c r="B262" i="1"/>
  <c r="A262" i="1"/>
  <c r="B261" i="1"/>
  <c r="A261" i="1"/>
  <c r="B260" i="1"/>
  <c r="A260" i="1"/>
  <c r="B259" i="1"/>
  <c r="A259" i="1"/>
  <c r="B258" i="1"/>
  <c r="A258" i="1"/>
  <c r="B257" i="1"/>
  <c r="A257" i="1"/>
  <c r="B256" i="1"/>
  <c r="A256" i="1"/>
  <c r="B255" i="1"/>
  <c r="A255" i="1"/>
  <c r="B254" i="1"/>
  <c r="A254" i="1"/>
  <c r="B253" i="1"/>
  <c r="A253" i="1"/>
  <c r="B252" i="1"/>
  <c r="A252" i="1"/>
  <c r="B251" i="1"/>
  <c r="A251" i="1"/>
  <c r="B250" i="1"/>
  <c r="A250" i="1"/>
  <c r="B249" i="1"/>
  <c r="A249" i="1"/>
  <c r="B248" i="1"/>
  <c r="A248" i="1"/>
  <c r="B247" i="1"/>
  <c r="A247" i="1"/>
  <c r="B246" i="1"/>
  <c r="A246" i="1"/>
  <c r="B245" i="1"/>
  <c r="A245" i="1"/>
  <c r="B244" i="1"/>
  <c r="A244" i="1"/>
  <c r="B243" i="1"/>
  <c r="A243" i="1"/>
  <c r="B242" i="1"/>
  <c r="A242" i="1"/>
  <c r="B241" i="1"/>
  <c r="A241" i="1"/>
  <c r="B240" i="1"/>
  <c r="A240" i="1"/>
  <c r="B239" i="1"/>
  <c r="A239" i="1"/>
  <c r="B238" i="1"/>
  <c r="A238" i="1"/>
  <c r="B237" i="1"/>
  <c r="A237" i="1"/>
  <c r="B236" i="1"/>
  <c r="A236" i="1"/>
  <c r="B235" i="1"/>
  <c r="A235" i="1"/>
  <c r="B234" i="1"/>
  <c r="A234" i="1"/>
  <c r="B233" i="1"/>
  <c r="A233" i="1"/>
  <c r="B232" i="1"/>
  <c r="A232" i="1"/>
  <c r="B231" i="1"/>
  <c r="A231" i="1"/>
  <c r="B230" i="1"/>
  <c r="A230" i="1"/>
  <c r="B229" i="1"/>
  <c r="A229" i="1"/>
  <c r="B228" i="1"/>
  <c r="A228" i="1"/>
  <c r="B227" i="1"/>
  <c r="A227" i="1"/>
  <c r="B226" i="1"/>
  <c r="A226" i="1"/>
  <c r="B225" i="1"/>
  <c r="A225" i="1"/>
  <c r="B224" i="1"/>
  <c r="A224" i="1"/>
  <c r="B223" i="1"/>
  <c r="A223" i="1"/>
  <c r="B222" i="1"/>
  <c r="A222" i="1"/>
  <c r="B221" i="1"/>
  <c r="A221" i="1"/>
  <c r="B220" i="1"/>
  <c r="A220" i="1"/>
  <c r="B219" i="1"/>
  <c r="A219" i="1"/>
  <c r="B218" i="1"/>
  <c r="A218" i="1"/>
  <c r="B217" i="1"/>
  <c r="A217" i="1"/>
  <c r="B216" i="1"/>
  <c r="A216" i="1"/>
  <c r="B215" i="1"/>
  <c r="A215" i="1"/>
  <c r="B214" i="1"/>
  <c r="A214" i="1"/>
  <c r="B213" i="1"/>
  <c r="A213" i="1"/>
  <c r="B212" i="1"/>
  <c r="A212" i="1"/>
  <c r="B211" i="1"/>
  <c r="A211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8" i="1"/>
  <c r="A68" i="1"/>
  <c r="B67" i="1"/>
  <c r="A67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F105" i="5" l="1"/>
  <c r="F106" i="5"/>
  <c r="F107" i="5"/>
  <c r="F108" i="5"/>
  <c r="F109" i="5"/>
  <c r="F104" i="5"/>
  <c r="F102" i="5" l="1"/>
  <c r="F100" i="5"/>
  <c r="F101" i="5"/>
  <c r="AI71" i="5" l="1"/>
  <c r="AI72" i="5"/>
  <c r="AI73" i="5"/>
  <c r="AI70" i="5"/>
  <c r="AB95" i="5"/>
  <c r="AB71" i="5"/>
  <c r="AB72" i="5"/>
  <c r="AB73" i="5"/>
  <c r="AB74" i="5"/>
  <c r="AB75" i="5"/>
  <c r="AB76" i="5"/>
  <c r="AB77" i="5"/>
  <c r="AB78" i="5"/>
  <c r="AB79" i="5"/>
  <c r="AB80" i="5"/>
  <c r="AB70" i="5"/>
  <c r="AB81" i="5"/>
  <c r="T75" i="5" l="1"/>
  <c r="T76" i="5"/>
  <c r="T74" i="5"/>
  <c r="T71" i="5"/>
  <c r="T72" i="5"/>
  <c r="T73" i="5"/>
  <c r="T70" i="5"/>
  <c r="L34" i="2" l="1"/>
  <c r="M34" i="2"/>
  <c r="N34" i="2"/>
  <c r="O34" i="2"/>
  <c r="P34" i="2"/>
  <c r="Q34" i="2"/>
  <c r="S34" i="2"/>
  <c r="T34" i="2"/>
  <c r="U34" i="2"/>
  <c r="L35" i="2"/>
  <c r="M35" i="2"/>
  <c r="N35" i="2"/>
  <c r="O35" i="2"/>
  <c r="P35" i="2"/>
  <c r="Q35" i="2"/>
  <c r="R35" i="2"/>
  <c r="S35" i="2"/>
  <c r="T35" i="2"/>
  <c r="U35" i="2"/>
  <c r="L36" i="2"/>
  <c r="M36" i="2"/>
  <c r="N36" i="2"/>
  <c r="O36" i="2"/>
  <c r="P36" i="2"/>
  <c r="Q36" i="2"/>
  <c r="R36" i="2"/>
  <c r="S36" i="2"/>
  <c r="T36" i="2"/>
  <c r="U36" i="2"/>
  <c r="L37" i="2"/>
  <c r="M37" i="2"/>
  <c r="N37" i="2"/>
  <c r="O37" i="2"/>
  <c r="P37" i="2"/>
  <c r="Q37" i="2"/>
  <c r="R37" i="2"/>
  <c r="S37" i="2"/>
  <c r="T37" i="2"/>
  <c r="U37" i="2"/>
  <c r="L38" i="2"/>
  <c r="M38" i="2"/>
  <c r="N38" i="2"/>
  <c r="O38" i="2"/>
  <c r="P38" i="2"/>
  <c r="Q38" i="2"/>
  <c r="R38" i="2"/>
  <c r="S38" i="2"/>
  <c r="T38" i="2"/>
  <c r="U38" i="2"/>
  <c r="L39" i="2"/>
  <c r="M39" i="2"/>
  <c r="N39" i="2"/>
  <c r="O39" i="2"/>
  <c r="P39" i="2"/>
  <c r="Q39" i="2"/>
  <c r="R39" i="2"/>
  <c r="S39" i="2"/>
  <c r="T39" i="2"/>
  <c r="U39" i="2"/>
  <c r="L40" i="2"/>
  <c r="M40" i="2"/>
  <c r="N40" i="2"/>
  <c r="O40" i="2"/>
  <c r="P40" i="2"/>
  <c r="Q40" i="2"/>
  <c r="R40" i="2"/>
  <c r="S40" i="2"/>
  <c r="T40" i="2"/>
  <c r="U40" i="2"/>
  <c r="L41" i="2"/>
  <c r="M41" i="2"/>
  <c r="N41" i="2"/>
  <c r="O41" i="2"/>
  <c r="P41" i="2"/>
  <c r="Q41" i="2"/>
  <c r="R41" i="2"/>
  <c r="S41" i="2"/>
  <c r="T41" i="2"/>
  <c r="U41" i="2"/>
  <c r="L42" i="2"/>
  <c r="M42" i="2"/>
  <c r="N42" i="2"/>
  <c r="O42" i="2"/>
  <c r="P42" i="2"/>
  <c r="Q42" i="2"/>
  <c r="R42" i="2"/>
  <c r="S42" i="2"/>
  <c r="T42" i="2"/>
  <c r="U42" i="2"/>
  <c r="L43" i="2"/>
  <c r="M43" i="2"/>
  <c r="N43" i="2"/>
  <c r="O43" i="2"/>
  <c r="P43" i="2"/>
  <c r="Q43" i="2"/>
  <c r="R43" i="2"/>
  <c r="S43" i="2"/>
  <c r="T43" i="2"/>
  <c r="U43" i="2"/>
  <c r="L44" i="2"/>
  <c r="M44" i="2"/>
  <c r="N44" i="2"/>
  <c r="O44" i="2"/>
  <c r="P44" i="2"/>
  <c r="Q44" i="2"/>
  <c r="R44" i="2"/>
  <c r="S44" i="2"/>
  <c r="T44" i="2"/>
  <c r="U44" i="2"/>
  <c r="L45" i="2"/>
  <c r="M45" i="2"/>
  <c r="N45" i="2"/>
  <c r="O45" i="2"/>
  <c r="P45" i="2"/>
  <c r="Q45" i="2"/>
  <c r="R45" i="2"/>
  <c r="S45" i="2"/>
  <c r="T45" i="2"/>
  <c r="U45" i="2"/>
  <c r="L46" i="2"/>
  <c r="M46" i="2"/>
  <c r="N46" i="2"/>
  <c r="O46" i="2"/>
  <c r="P46" i="2"/>
  <c r="Q46" i="2"/>
  <c r="R46" i="2"/>
  <c r="S46" i="2"/>
  <c r="T46" i="2"/>
  <c r="U46" i="2"/>
  <c r="L47" i="2"/>
  <c r="M47" i="2"/>
  <c r="N47" i="2"/>
  <c r="O47" i="2"/>
  <c r="P47" i="2"/>
  <c r="Q47" i="2"/>
  <c r="R47" i="2"/>
  <c r="S47" i="2"/>
  <c r="T47" i="2"/>
  <c r="U47" i="2"/>
  <c r="L48" i="2"/>
  <c r="M48" i="2"/>
  <c r="N48" i="2"/>
  <c r="O48" i="2"/>
  <c r="P48" i="2"/>
  <c r="Q48" i="2"/>
  <c r="R48" i="2"/>
  <c r="S48" i="2"/>
  <c r="T48" i="2"/>
  <c r="U48" i="2"/>
  <c r="L49" i="2"/>
  <c r="M49" i="2"/>
  <c r="N49" i="2"/>
  <c r="O49" i="2"/>
  <c r="P49" i="2"/>
  <c r="Q49" i="2"/>
  <c r="R49" i="2"/>
  <c r="S49" i="2"/>
  <c r="T49" i="2"/>
  <c r="U49" i="2"/>
  <c r="L50" i="2"/>
  <c r="M50" i="2"/>
  <c r="N50" i="2"/>
  <c r="O50" i="2"/>
  <c r="P50" i="2"/>
  <c r="Q50" i="2"/>
  <c r="R50" i="2"/>
  <c r="S50" i="2"/>
  <c r="T50" i="2"/>
  <c r="U50" i="2"/>
  <c r="L51" i="2"/>
  <c r="M51" i="2"/>
  <c r="N51" i="2"/>
  <c r="O51" i="2"/>
  <c r="P51" i="2"/>
  <c r="Q51" i="2"/>
  <c r="R51" i="2"/>
  <c r="S51" i="2"/>
  <c r="T51" i="2"/>
  <c r="U51" i="2"/>
  <c r="L52" i="2"/>
  <c r="M52" i="2"/>
  <c r="N52" i="2"/>
  <c r="O52" i="2"/>
  <c r="P52" i="2"/>
  <c r="Q52" i="2"/>
  <c r="R52" i="2"/>
  <c r="S52" i="2"/>
  <c r="T52" i="2"/>
  <c r="U52" i="2"/>
  <c r="L53" i="2"/>
  <c r="M53" i="2"/>
  <c r="N53" i="2"/>
  <c r="O53" i="2"/>
  <c r="P53" i="2"/>
  <c r="Q53" i="2"/>
  <c r="R53" i="2"/>
  <c r="S53" i="2"/>
  <c r="T53" i="2"/>
  <c r="U53" i="2"/>
  <c r="L54" i="2"/>
  <c r="M54" i="2"/>
  <c r="N54" i="2"/>
  <c r="O54" i="2"/>
  <c r="P54" i="2"/>
  <c r="Q54" i="2"/>
  <c r="R54" i="2"/>
  <c r="S54" i="2"/>
  <c r="T54" i="2"/>
  <c r="U54" i="2"/>
  <c r="L55" i="2"/>
  <c r="M55" i="2"/>
  <c r="N55" i="2"/>
  <c r="O55" i="2"/>
  <c r="P55" i="2"/>
  <c r="Q55" i="2"/>
  <c r="R55" i="2"/>
  <c r="S55" i="2"/>
  <c r="T55" i="2"/>
  <c r="U55" i="2"/>
  <c r="L56" i="2"/>
  <c r="M56" i="2"/>
  <c r="N56" i="2"/>
  <c r="O56" i="2"/>
  <c r="P56" i="2"/>
  <c r="Q56" i="2"/>
  <c r="R56" i="2"/>
  <c r="S56" i="2"/>
  <c r="T56" i="2"/>
  <c r="U56" i="2"/>
  <c r="L57" i="2"/>
  <c r="M57" i="2"/>
  <c r="N57" i="2"/>
  <c r="O57" i="2"/>
  <c r="P57" i="2"/>
  <c r="Q57" i="2"/>
  <c r="R57" i="2"/>
  <c r="S57" i="2"/>
  <c r="T57" i="2"/>
  <c r="U57" i="2"/>
  <c r="L58" i="2"/>
  <c r="M58" i="2"/>
  <c r="N58" i="2"/>
  <c r="O58" i="2"/>
  <c r="P58" i="2"/>
  <c r="Q58" i="2"/>
  <c r="R58" i="2"/>
  <c r="S58" i="2"/>
  <c r="T58" i="2"/>
  <c r="U58" i="2"/>
  <c r="L59" i="2"/>
  <c r="M59" i="2"/>
  <c r="N59" i="2"/>
  <c r="O59" i="2"/>
  <c r="P59" i="2"/>
  <c r="Q59" i="2"/>
  <c r="R59" i="2"/>
  <c r="S59" i="2"/>
  <c r="T59" i="2"/>
  <c r="U59" i="2"/>
  <c r="L60" i="2"/>
  <c r="M60" i="2"/>
  <c r="N60" i="2"/>
  <c r="O60" i="2"/>
  <c r="P60" i="2"/>
  <c r="Q60" i="2"/>
  <c r="R60" i="2"/>
  <c r="S60" i="2"/>
  <c r="T60" i="2"/>
  <c r="U60" i="2"/>
  <c r="L61" i="2"/>
  <c r="M61" i="2"/>
  <c r="N61" i="2"/>
  <c r="O61" i="2"/>
  <c r="P61" i="2"/>
  <c r="Q61" i="2"/>
  <c r="R61" i="2"/>
  <c r="S61" i="2"/>
  <c r="T61" i="2"/>
  <c r="U61" i="2"/>
  <c r="L62" i="2"/>
  <c r="M62" i="2"/>
  <c r="N62" i="2"/>
  <c r="O62" i="2"/>
  <c r="P62" i="2"/>
  <c r="Q62" i="2"/>
  <c r="R62" i="2"/>
  <c r="S62" i="2"/>
  <c r="T62" i="2"/>
  <c r="U62" i="2"/>
  <c r="L63" i="2"/>
  <c r="M63" i="2"/>
  <c r="N63" i="2"/>
  <c r="O63" i="2"/>
  <c r="P63" i="2"/>
  <c r="Q63" i="2"/>
  <c r="R63" i="2"/>
  <c r="S63" i="2"/>
  <c r="T63" i="2"/>
  <c r="U63" i="2"/>
  <c r="L64" i="2"/>
  <c r="M64" i="2"/>
  <c r="N64" i="2"/>
  <c r="O64" i="2"/>
  <c r="P64" i="2"/>
  <c r="Q64" i="2"/>
  <c r="R64" i="2"/>
  <c r="S64" i="2"/>
  <c r="T64" i="2"/>
  <c r="U64" i="2"/>
  <c r="L65" i="2"/>
  <c r="M65" i="2"/>
  <c r="N65" i="2"/>
  <c r="O65" i="2"/>
  <c r="P65" i="2"/>
  <c r="Q65" i="2"/>
  <c r="R65" i="2"/>
  <c r="S65" i="2"/>
  <c r="T65" i="2"/>
  <c r="U65" i="2"/>
  <c r="L66" i="2"/>
  <c r="M66" i="2"/>
  <c r="N66" i="2"/>
  <c r="O66" i="2"/>
  <c r="P66" i="2"/>
  <c r="Q66" i="2"/>
  <c r="R66" i="2"/>
  <c r="S66" i="2"/>
  <c r="T66" i="2"/>
  <c r="U66" i="2"/>
  <c r="L67" i="2"/>
  <c r="M67" i="2"/>
  <c r="N67" i="2"/>
  <c r="O67" i="2"/>
  <c r="P67" i="2"/>
  <c r="Q67" i="2"/>
  <c r="R67" i="2"/>
  <c r="S67" i="2"/>
  <c r="T67" i="2"/>
  <c r="U67" i="2"/>
  <c r="L68" i="2"/>
  <c r="M68" i="2"/>
  <c r="N68" i="2"/>
  <c r="O68" i="2"/>
  <c r="P68" i="2"/>
  <c r="Q68" i="2"/>
  <c r="R68" i="2"/>
  <c r="S68" i="2"/>
  <c r="T68" i="2"/>
  <c r="U68" i="2"/>
  <c r="L69" i="2"/>
  <c r="M69" i="2"/>
  <c r="N69" i="2"/>
  <c r="O69" i="2"/>
  <c r="P69" i="2"/>
  <c r="Q69" i="2"/>
  <c r="R69" i="2"/>
  <c r="S69" i="2"/>
  <c r="T69" i="2"/>
  <c r="U69" i="2"/>
  <c r="L70" i="2"/>
  <c r="M70" i="2"/>
  <c r="N70" i="2"/>
  <c r="O70" i="2"/>
  <c r="P70" i="2"/>
  <c r="Q70" i="2"/>
  <c r="R70" i="2"/>
  <c r="S70" i="2"/>
  <c r="T70" i="2"/>
  <c r="U70" i="2"/>
  <c r="L71" i="2"/>
  <c r="M71" i="2"/>
  <c r="N71" i="2"/>
  <c r="O71" i="2"/>
  <c r="P71" i="2"/>
  <c r="Q71" i="2"/>
  <c r="R71" i="2"/>
  <c r="S71" i="2"/>
  <c r="T71" i="2"/>
  <c r="U71" i="2"/>
  <c r="L72" i="2"/>
  <c r="M72" i="2"/>
  <c r="N72" i="2"/>
  <c r="O72" i="2"/>
  <c r="P72" i="2"/>
  <c r="Q72" i="2"/>
  <c r="R72" i="2"/>
  <c r="S72" i="2"/>
  <c r="T72" i="2"/>
  <c r="U72" i="2"/>
  <c r="L73" i="2"/>
  <c r="M73" i="2"/>
  <c r="N73" i="2"/>
  <c r="O73" i="2"/>
  <c r="P73" i="2"/>
  <c r="Q73" i="2"/>
  <c r="R73" i="2"/>
  <c r="S73" i="2"/>
  <c r="T73" i="2"/>
  <c r="U73" i="2"/>
  <c r="L74" i="2"/>
  <c r="M74" i="2"/>
  <c r="N74" i="2"/>
  <c r="O74" i="2"/>
  <c r="P74" i="2"/>
  <c r="Q74" i="2"/>
  <c r="R74" i="2"/>
  <c r="S74" i="2"/>
  <c r="T74" i="2"/>
  <c r="U74" i="2"/>
  <c r="L75" i="2"/>
  <c r="M75" i="2"/>
  <c r="N75" i="2"/>
  <c r="O75" i="2"/>
  <c r="P75" i="2"/>
  <c r="Q75" i="2"/>
  <c r="R75" i="2"/>
  <c r="S75" i="2"/>
  <c r="T75" i="2"/>
  <c r="U75" i="2"/>
  <c r="L76" i="2"/>
  <c r="M76" i="2"/>
  <c r="N76" i="2"/>
  <c r="O76" i="2"/>
  <c r="P76" i="2"/>
  <c r="Q76" i="2"/>
  <c r="R76" i="2"/>
  <c r="S76" i="2"/>
  <c r="T76" i="2"/>
  <c r="U76" i="2"/>
  <c r="L77" i="2"/>
  <c r="M77" i="2"/>
  <c r="N77" i="2"/>
  <c r="O77" i="2"/>
  <c r="P77" i="2"/>
  <c r="Q77" i="2"/>
  <c r="R77" i="2"/>
  <c r="S77" i="2"/>
  <c r="T77" i="2"/>
  <c r="U77" i="2"/>
  <c r="L78" i="2"/>
  <c r="M78" i="2"/>
  <c r="N78" i="2"/>
  <c r="O78" i="2"/>
  <c r="P78" i="2"/>
  <c r="Q78" i="2"/>
  <c r="R78" i="2"/>
  <c r="S78" i="2"/>
  <c r="T78" i="2"/>
  <c r="U78" i="2"/>
  <c r="L79" i="2"/>
  <c r="M79" i="2"/>
  <c r="N79" i="2"/>
  <c r="O79" i="2"/>
  <c r="P79" i="2"/>
  <c r="Q79" i="2"/>
  <c r="R79" i="2"/>
  <c r="S79" i="2"/>
  <c r="T79" i="2"/>
  <c r="U79" i="2"/>
  <c r="L80" i="2"/>
  <c r="M80" i="2"/>
  <c r="N80" i="2"/>
  <c r="O80" i="2"/>
  <c r="P80" i="2"/>
  <c r="Q80" i="2"/>
  <c r="R80" i="2"/>
  <c r="S80" i="2"/>
  <c r="T80" i="2"/>
  <c r="U80" i="2"/>
  <c r="L81" i="2"/>
  <c r="M81" i="2"/>
  <c r="N81" i="2"/>
  <c r="O81" i="2"/>
  <c r="P81" i="2"/>
  <c r="Q81" i="2"/>
  <c r="R81" i="2"/>
  <c r="S81" i="2"/>
  <c r="T81" i="2"/>
  <c r="U81" i="2"/>
  <c r="L82" i="2"/>
  <c r="M82" i="2"/>
  <c r="N82" i="2"/>
  <c r="O82" i="2"/>
  <c r="P82" i="2"/>
  <c r="Q82" i="2"/>
  <c r="R82" i="2"/>
  <c r="S82" i="2"/>
  <c r="T82" i="2"/>
  <c r="U82" i="2"/>
  <c r="L83" i="2"/>
  <c r="M83" i="2"/>
  <c r="N83" i="2"/>
  <c r="O83" i="2"/>
  <c r="P83" i="2"/>
  <c r="Q83" i="2"/>
  <c r="R83" i="2"/>
  <c r="S83" i="2"/>
  <c r="T83" i="2"/>
  <c r="U83" i="2"/>
  <c r="L84" i="2"/>
  <c r="M84" i="2"/>
  <c r="N84" i="2"/>
  <c r="O84" i="2"/>
  <c r="P84" i="2"/>
  <c r="Q84" i="2"/>
  <c r="R84" i="2"/>
  <c r="S84" i="2"/>
  <c r="T84" i="2"/>
  <c r="U84" i="2"/>
  <c r="L85" i="2"/>
  <c r="M85" i="2"/>
  <c r="N85" i="2"/>
  <c r="O85" i="2"/>
  <c r="P85" i="2"/>
  <c r="Q85" i="2"/>
  <c r="R85" i="2"/>
  <c r="S85" i="2"/>
  <c r="T85" i="2"/>
  <c r="U85" i="2"/>
  <c r="L86" i="2"/>
  <c r="M86" i="2"/>
  <c r="N86" i="2"/>
  <c r="O86" i="2"/>
  <c r="P86" i="2"/>
  <c r="Q86" i="2"/>
  <c r="R86" i="2"/>
  <c r="S86" i="2"/>
  <c r="T86" i="2"/>
  <c r="U86" i="2"/>
  <c r="L87" i="2"/>
  <c r="M87" i="2"/>
  <c r="N87" i="2"/>
  <c r="O87" i="2"/>
  <c r="P87" i="2"/>
  <c r="Q87" i="2"/>
  <c r="R87" i="2"/>
  <c r="S87" i="2"/>
  <c r="T87" i="2"/>
  <c r="U87" i="2"/>
  <c r="L88" i="2"/>
  <c r="M88" i="2"/>
  <c r="N88" i="2"/>
  <c r="O88" i="2"/>
  <c r="P88" i="2"/>
  <c r="Q88" i="2"/>
  <c r="R88" i="2"/>
  <c r="S88" i="2"/>
  <c r="T88" i="2"/>
  <c r="U88" i="2"/>
  <c r="L89" i="2"/>
  <c r="M89" i="2"/>
  <c r="N89" i="2"/>
  <c r="O89" i="2"/>
  <c r="P89" i="2"/>
  <c r="Q89" i="2"/>
  <c r="R89" i="2"/>
  <c r="S89" i="2"/>
  <c r="T89" i="2"/>
  <c r="U89" i="2"/>
  <c r="L90" i="2"/>
  <c r="M90" i="2"/>
  <c r="N90" i="2"/>
  <c r="O90" i="2"/>
  <c r="P90" i="2"/>
  <c r="Q90" i="2"/>
  <c r="R90" i="2"/>
  <c r="S90" i="2"/>
  <c r="T90" i="2"/>
  <c r="U90" i="2"/>
  <c r="L91" i="2"/>
  <c r="M91" i="2"/>
  <c r="N91" i="2"/>
  <c r="O91" i="2"/>
  <c r="P91" i="2"/>
  <c r="Q91" i="2"/>
  <c r="R91" i="2"/>
  <c r="S91" i="2"/>
  <c r="T91" i="2"/>
  <c r="U91" i="2"/>
  <c r="L92" i="2"/>
  <c r="M92" i="2"/>
  <c r="N92" i="2"/>
  <c r="O92" i="2"/>
  <c r="P92" i="2"/>
  <c r="Q92" i="2"/>
  <c r="R92" i="2"/>
  <c r="S92" i="2"/>
  <c r="T92" i="2"/>
  <c r="U92" i="2"/>
  <c r="L93" i="2"/>
  <c r="M93" i="2"/>
  <c r="N93" i="2"/>
  <c r="O93" i="2"/>
  <c r="P93" i="2"/>
  <c r="Q93" i="2"/>
  <c r="R93" i="2"/>
  <c r="S93" i="2"/>
  <c r="T93" i="2"/>
  <c r="U93" i="2"/>
  <c r="L94" i="2"/>
  <c r="M94" i="2"/>
  <c r="N94" i="2"/>
  <c r="O94" i="2"/>
  <c r="P94" i="2"/>
  <c r="Q94" i="2"/>
  <c r="R94" i="2"/>
  <c r="S94" i="2"/>
  <c r="T94" i="2"/>
  <c r="U94" i="2"/>
  <c r="L95" i="2"/>
  <c r="M95" i="2"/>
  <c r="N95" i="2"/>
  <c r="O95" i="2"/>
  <c r="P95" i="2"/>
  <c r="Q95" i="2"/>
  <c r="R95" i="2"/>
  <c r="S95" i="2"/>
  <c r="T95" i="2"/>
  <c r="U95" i="2"/>
  <c r="L96" i="2"/>
  <c r="M96" i="2"/>
  <c r="N96" i="2"/>
  <c r="O96" i="2"/>
  <c r="P96" i="2"/>
  <c r="Q96" i="2"/>
  <c r="R96" i="2"/>
  <c r="S96" i="2"/>
  <c r="T96" i="2"/>
  <c r="U96" i="2"/>
  <c r="L97" i="2"/>
  <c r="M97" i="2"/>
  <c r="N97" i="2"/>
  <c r="O97" i="2"/>
  <c r="P97" i="2"/>
  <c r="Q97" i="2"/>
  <c r="R97" i="2"/>
  <c r="S97" i="2"/>
  <c r="T97" i="2"/>
  <c r="U97" i="2"/>
  <c r="L98" i="2"/>
  <c r="M98" i="2"/>
  <c r="N98" i="2"/>
  <c r="O98" i="2"/>
  <c r="P98" i="2"/>
  <c r="Q98" i="2"/>
  <c r="R98" i="2"/>
  <c r="S98" i="2"/>
  <c r="T98" i="2"/>
  <c r="U98" i="2"/>
  <c r="L99" i="2"/>
  <c r="M99" i="2"/>
  <c r="N99" i="2"/>
  <c r="O99" i="2"/>
  <c r="P99" i="2"/>
  <c r="Q99" i="2"/>
  <c r="R99" i="2"/>
  <c r="S99" i="2"/>
  <c r="T99" i="2"/>
  <c r="U99" i="2"/>
  <c r="L100" i="2"/>
  <c r="M100" i="2"/>
  <c r="N100" i="2"/>
  <c r="O100" i="2"/>
  <c r="P100" i="2"/>
  <c r="Q100" i="2"/>
  <c r="R100" i="2"/>
  <c r="S100" i="2"/>
  <c r="T100" i="2"/>
  <c r="U100" i="2"/>
  <c r="L101" i="2"/>
  <c r="M101" i="2"/>
  <c r="N101" i="2"/>
  <c r="O101" i="2"/>
  <c r="P101" i="2"/>
  <c r="Q101" i="2"/>
  <c r="R101" i="2"/>
  <c r="S101" i="2"/>
  <c r="T101" i="2"/>
  <c r="U101" i="2"/>
  <c r="L102" i="2"/>
  <c r="M102" i="2"/>
  <c r="N102" i="2"/>
  <c r="O102" i="2"/>
  <c r="P102" i="2"/>
  <c r="Q102" i="2"/>
  <c r="R102" i="2"/>
  <c r="S102" i="2"/>
  <c r="T102" i="2"/>
  <c r="U102" i="2"/>
  <c r="L103" i="2"/>
  <c r="M103" i="2"/>
  <c r="N103" i="2"/>
  <c r="O103" i="2"/>
  <c r="P103" i="2"/>
  <c r="Q103" i="2"/>
  <c r="R103" i="2"/>
  <c r="S103" i="2"/>
  <c r="T103" i="2"/>
  <c r="U103" i="2"/>
  <c r="L104" i="2"/>
  <c r="M104" i="2"/>
  <c r="N104" i="2"/>
  <c r="O104" i="2"/>
  <c r="P104" i="2"/>
  <c r="Q104" i="2"/>
  <c r="R104" i="2"/>
  <c r="S104" i="2"/>
  <c r="T104" i="2"/>
  <c r="U104" i="2"/>
  <c r="L105" i="2"/>
  <c r="M105" i="2"/>
  <c r="N105" i="2"/>
  <c r="O105" i="2"/>
  <c r="P105" i="2"/>
  <c r="Q105" i="2"/>
  <c r="R105" i="2"/>
  <c r="S105" i="2"/>
  <c r="T105" i="2"/>
  <c r="U105" i="2"/>
  <c r="L106" i="2"/>
  <c r="M106" i="2"/>
  <c r="N106" i="2"/>
  <c r="O106" i="2"/>
  <c r="P106" i="2"/>
  <c r="Q106" i="2"/>
  <c r="R106" i="2"/>
  <c r="S106" i="2"/>
  <c r="T106" i="2"/>
  <c r="U106" i="2"/>
  <c r="L107" i="2"/>
  <c r="M107" i="2"/>
  <c r="N107" i="2"/>
  <c r="O107" i="2"/>
  <c r="P107" i="2"/>
  <c r="Q107" i="2"/>
  <c r="R107" i="2"/>
  <c r="S107" i="2"/>
  <c r="T107" i="2"/>
  <c r="U107" i="2"/>
  <c r="L108" i="2"/>
  <c r="M108" i="2"/>
  <c r="N108" i="2"/>
  <c r="O108" i="2"/>
  <c r="P108" i="2"/>
  <c r="Q108" i="2"/>
  <c r="R108" i="2"/>
  <c r="S108" i="2"/>
  <c r="T108" i="2"/>
  <c r="U108" i="2"/>
  <c r="L109" i="2"/>
  <c r="M109" i="2"/>
  <c r="N109" i="2"/>
  <c r="O109" i="2"/>
  <c r="P109" i="2"/>
  <c r="Q109" i="2"/>
  <c r="R109" i="2"/>
  <c r="S109" i="2"/>
  <c r="T109" i="2"/>
  <c r="U109" i="2"/>
  <c r="L110" i="2"/>
  <c r="M110" i="2"/>
  <c r="N110" i="2"/>
  <c r="O110" i="2"/>
  <c r="P110" i="2"/>
  <c r="Q110" i="2"/>
  <c r="R110" i="2"/>
  <c r="S110" i="2"/>
  <c r="T110" i="2"/>
  <c r="U110" i="2"/>
  <c r="L111" i="2"/>
  <c r="M111" i="2"/>
  <c r="N111" i="2"/>
  <c r="O111" i="2"/>
  <c r="P111" i="2"/>
  <c r="Q111" i="2"/>
  <c r="R111" i="2"/>
  <c r="S111" i="2"/>
  <c r="T111" i="2"/>
  <c r="U111" i="2"/>
  <c r="L112" i="2"/>
  <c r="M112" i="2"/>
  <c r="N112" i="2"/>
  <c r="O112" i="2"/>
  <c r="P112" i="2"/>
  <c r="Q112" i="2"/>
  <c r="R112" i="2"/>
  <c r="S112" i="2"/>
  <c r="T112" i="2"/>
  <c r="U112" i="2"/>
  <c r="L113" i="2"/>
  <c r="M113" i="2"/>
  <c r="N113" i="2"/>
  <c r="O113" i="2"/>
  <c r="P113" i="2"/>
  <c r="Q113" i="2"/>
  <c r="R113" i="2"/>
  <c r="S113" i="2"/>
  <c r="T113" i="2"/>
  <c r="U113" i="2"/>
  <c r="L114" i="2"/>
  <c r="M114" i="2"/>
  <c r="N114" i="2"/>
  <c r="O114" i="2"/>
  <c r="P114" i="2"/>
  <c r="Q114" i="2"/>
  <c r="R114" i="2"/>
  <c r="S114" i="2"/>
  <c r="T114" i="2"/>
  <c r="U114" i="2"/>
  <c r="L115" i="2"/>
  <c r="M115" i="2"/>
  <c r="N115" i="2"/>
  <c r="O115" i="2"/>
  <c r="P115" i="2"/>
  <c r="Q115" i="2"/>
  <c r="R115" i="2"/>
  <c r="S115" i="2"/>
  <c r="T115" i="2"/>
  <c r="U115" i="2"/>
  <c r="L116" i="2"/>
  <c r="M116" i="2"/>
  <c r="N116" i="2"/>
  <c r="O116" i="2"/>
  <c r="P116" i="2"/>
  <c r="Q116" i="2"/>
  <c r="R116" i="2"/>
  <c r="S116" i="2"/>
  <c r="T116" i="2"/>
  <c r="U116" i="2"/>
  <c r="L117" i="2"/>
  <c r="M117" i="2"/>
  <c r="N117" i="2"/>
  <c r="O117" i="2"/>
  <c r="P117" i="2"/>
  <c r="Q117" i="2"/>
  <c r="R117" i="2"/>
  <c r="S117" i="2"/>
  <c r="T117" i="2"/>
  <c r="U117" i="2"/>
  <c r="L118" i="2"/>
  <c r="M118" i="2"/>
  <c r="N118" i="2"/>
  <c r="O118" i="2"/>
  <c r="P118" i="2"/>
  <c r="Q118" i="2"/>
  <c r="R118" i="2"/>
  <c r="S118" i="2"/>
  <c r="T118" i="2"/>
  <c r="U118" i="2"/>
  <c r="L119" i="2"/>
  <c r="M119" i="2"/>
  <c r="N119" i="2"/>
  <c r="O119" i="2"/>
  <c r="P119" i="2"/>
  <c r="Q119" i="2"/>
  <c r="R119" i="2"/>
  <c r="S119" i="2"/>
  <c r="T119" i="2"/>
  <c r="U119" i="2"/>
  <c r="L120" i="2"/>
  <c r="M120" i="2"/>
  <c r="N120" i="2"/>
  <c r="O120" i="2"/>
  <c r="P120" i="2"/>
  <c r="Q120" i="2"/>
  <c r="R120" i="2"/>
  <c r="S120" i="2"/>
  <c r="T120" i="2"/>
  <c r="U120" i="2"/>
  <c r="L121" i="2"/>
  <c r="M121" i="2"/>
  <c r="N121" i="2"/>
  <c r="O121" i="2"/>
  <c r="P121" i="2"/>
  <c r="Q121" i="2"/>
  <c r="R121" i="2"/>
  <c r="S121" i="2"/>
  <c r="T121" i="2"/>
  <c r="U121" i="2"/>
  <c r="L122" i="2"/>
  <c r="M122" i="2"/>
  <c r="N122" i="2"/>
  <c r="O122" i="2"/>
  <c r="P122" i="2"/>
  <c r="Q122" i="2"/>
  <c r="R122" i="2"/>
  <c r="S122" i="2"/>
  <c r="T122" i="2"/>
  <c r="U122" i="2"/>
  <c r="L123" i="2"/>
  <c r="M123" i="2"/>
  <c r="N123" i="2"/>
  <c r="O123" i="2"/>
  <c r="P123" i="2"/>
  <c r="Q123" i="2"/>
  <c r="R123" i="2"/>
  <c r="S123" i="2"/>
  <c r="T123" i="2"/>
  <c r="U123" i="2"/>
  <c r="L124" i="2"/>
  <c r="M124" i="2"/>
  <c r="N124" i="2"/>
  <c r="O124" i="2"/>
  <c r="P124" i="2"/>
  <c r="Q124" i="2"/>
  <c r="R124" i="2"/>
  <c r="S124" i="2"/>
  <c r="T124" i="2"/>
  <c r="U124" i="2"/>
  <c r="L125" i="2"/>
  <c r="M125" i="2"/>
  <c r="N125" i="2"/>
  <c r="O125" i="2"/>
  <c r="P125" i="2"/>
  <c r="Q125" i="2"/>
  <c r="R125" i="2"/>
  <c r="S125" i="2"/>
  <c r="T125" i="2"/>
  <c r="U125" i="2"/>
  <c r="L126" i="2"/>
  <c r="M126" i="2"/>
  <c r="N126" i="2"/>
  <c r="O126" i="2"/>
  <c r="P126" i="2"/>
  <c r="Q126" i="2"/>
  <c r="R126" i="2"/>
  <c r="S126" i="2"/>
  <c r="T126" i="2"/>
  <c r="U126" i="2"/>
  <c r="L127" i="2"/>
  <c r="M127" i="2"/>
  <c r="N127" i="2"/>
  <c r="O127" i="2"/>
  <c r="P127" i="2"/>
  <c r="Q127" i="2"/>
  <c r="R127" i="2"/>
  <c r="S127" i="2"/>
  <c r="T127" i="2"/>
  <c r="U127" i="2"/>
  <c r="L128" i="2"/>
  <c r="M128" i="2"/>
  <c r="N128" i="2"/>
  <c r="O128" i="2"/>
  <c r="P128" i="2"/>
  <c r="Q128" i="2"/>
  <c r="R128" i="2"/>
  <c r="S128" i="2"/>
  <c r="T128" i="2"/>
  <c r="U128" i="2"/>
  <c r="L129" i="2"/>
  <c r="M129" i="2"/>
  <c r="N129" i="2"/>
  <c r="O129" i="2"/>
  <c r="P129" i="2"/>
  <c r="Q129" i="2"/>
  <c r="R129" i="2"/>
  <c r="S129" i="2"/>
  <c r="T129" i="2"/>
  <c r="U129" i="2"/>
  <c r="L130" i="2"/>
  <c r="M130" i="2"/>
  <c r="N130" i="2"/>
  <c r="O130" i="2"/>
  <c r="P130" i="2"/>
  <c r="Q130" i="2"/>
  <c r="R130" i="2"/>
  <c r="S130" i="2"/>
  <c r="T130" i="2"/>
  <c r="U130" i="2"/>
  <c r="L131" i="2"/>
  <c r="M131" i="2"/>
  <c r="N131" i="2"/>
  <c r="O131" i="2"/>
  <c r="P131" i="2"/>
  <c r="Q131" i="2"/>
  <c r="R131" i="2"/>
  <c r="S131" i="2"/>
  <c r="T131" i="2"/>
  <c r="U131" i="2"/>
  <c r="L132" i="2"/>
  <c r="M132" i="2"/>
  <c r="N132" i="2"/>
  <c r="O132" i="2"/>
  <c r="P132" i="2"/>
  <c r="Q132" i="2"/>
  <c r="R132" i="2"/>
  <c r="S132" i="2"/>
  <c r="T132" i="2"/>
  <c r="U132" i="2"/>
  <c r="L133" i="2"/>
  <c r="M133" i="2"/>
  <c r="N133" i="2"/>
  <c r="O133" i="2"/>
  <c r="P133" i="2"/>
  <c r="Q133" i="2"/>
  <c r="R133" i="2"/>
  <c r="S133" i="2"/>
  <c r="T133" i="2"/>
  <c r="U133" i="2"/>
  <c r="L134" i="2"/>
  <c r="M134" i="2"/>
  <c r="N134" i="2"/>
  <c r="O134" i="2"/>
  <c r="P134" i="2"/>
  <c r="Q134" i="2"/>
  <c r="R134" i="2"/>
  <c r="S134" i="2"/>
  <c r="T134" i="2"/>
  <c r="U134" i="2"/>
  <c r="L135" i="2"/>
  <c r="M135" i="2"/>
  <c r="N135" i="2"/>
  <c r="O135" i="2"/>
  <c r="P135" i="2"/>
  <c r="Q135" i="2"/>
  <c r="R135" i="2"/>
  <c r="S135" i="2"/>
  <c r="T135" i="2"/>
  <c r="U135" i="2"/>
  <c r="L136" i="2"/>
  <c r="M136" i="2"/>
  <c r="N136" i="2"/>
  <c r="O136" i="2"/>
  <c r="P136" i="2"/>
  <c r="Q136" i="2"/>
  <c r="R136" i="2"/>
  <c r="S136" i="2"/>
  <c r="T136" i="2"/>
  <c r="U136" i="2"/>
  <c r="L137" i="2"/>
  <c r="M137" i="2"/>
  <c r="N137" i="2"/>
  <c r="O137" i="2"/>
  <c r="P137" i="2"/>
  <c r="Q137" i="2"/>
  <c r="R137" i="2"/>
  <c r="S137" i="2"/>
  <c r="T137" i="2"/>
  <c r="U137" i="2"/>
  <c r="L138" i="2"/>
  <c r="M138" i="2"/>
  <c r="N138" i="2"/>
  <c r="O138" i="2"/>
  <c r="P138" i="2"/>
  <c r="Q138" i="2"/>
  <c r="R138" i="2"/>
  <c r="S138" i="2"/>
  <c r="T138" i="2"/>
  <c r="U138" i="2"/>
  <c r="L139" i="2"/>
  <c r="M139" i="2"/>
  <c r="N139" i="2"/>
  <c r="O139" i="2"/>
  <c r="P139" i="2"/>
  <c r="Q139" i="2"/>
  <c r="R139" i="2"/>
  <c r="S139" i="2"/>
  <c r="T139" i="2"/>
  <c r="U139" i="2"/>
  <c r="L140" i="2"/>
  <c r="M140" i="2"/>
  <c r="N140" i="2"/>
  <c r="O140" i="2"/>
  <c r="P140" i="2"/>
  <c r="Q140" i="2"/>
  <c r="R140" i="2"/>
  <c r="S140" i="2"/>
  <c r="T140" i="2"/>
  <c r="U140" i="2"/>
  <c r="L141" i="2"/>
  <c r="M141" i="2"/>
  <c r="N141" i="2"/>
  <c r="O141" i="2"/>
  <c r="P141" i="2"/>
  <c r="Q141" i="2"/>
  <c r="R141" i="2"/>
  <c r="S141" i="2"/>
  <c r="T141" i="2"/>
  <c r="U141" i="2"/>
  <c r="L142" i="2"/>
  <c r="M142" i="2"/>
  <c r="N142" i="2"/>
  <c r="O142" i="2"/>
  <c r="P142" i="2"/>
  <c r="Q142" i="2"/>
  <c r="R142" i="2"/>
  <c r="S142" i="2"/>
  <c r="T142" i="2"/>
  <c r="U142" i="2"/>
  <c r="L143" i="2"/>
  <c r="M143" i="2"/>
  <c r="N143" i="2"/>
  <c r="O143" i="2"/>
  <c r="P143" i="2"/>
  <c r="Q143" i="2"/>
  <c r="R143" i="2"/>
  <c r="S143" i="2"/>
  <c r="T143" i="2"/>
  <c r="U143" i="2"/>
  <c r="L144" i="2"/>
  <c r="M144" i="2"/>
  <c r="N144" i="2"/>
  <c r="O144" i="2"/>
  <c r="P144" i="2"/>
  <c r="Q144" i="2"/>
  <c r="R144" i="2"/>
  <c r="S144" i="2"/>
  <c r="T144" i="2"/>
  <c r="U144" i="2"/>
  <c r="L145" i="2"/>
  <c r="M145" i="2"/>
  <c r="N145" i="2"/>
  <c r="O145" i="2"/>
  <c r="P145" i="2"/>
  <c r="Q145" i="2"/>
  <c r="R145" i="2"/>
  <c r="S145" i="2"/>
  <c r="T145" i="2"/>
  <c r="U145" i="2"/>
  <c r="L146" i="2"/>
  <c r="M146" i="2"/>
  <c r="N146" i="2"/>
  <c r="O146" i="2"/>
  <c r="P146" i="2"/>
  <c r="Q146" i="2"/>
  <c r="R146" i="2"/>
  <c r="S146" i="2"/>
  <c r="T146" i="2"/>
  <c r="U146" i="2"/>
  <c r="L147" i="2"/>
  <c r="M147" i="2"/>
  <c r="N147" i="2"/>
  <c r="O147" i="2"/>
  <c r="P147" i="2"/>
  <c r="Q147" i="2"/>
  <c r="R147" i="2"/>
  <c r="S147" i="2"/>
  <c r="T147" i="2"/>
  <c r="U147" i="2"/>
  <c r="L148" i="2"/>
  <c r="M148" i="2"/>
  <c r="N148" i="2"/>
  <c r="O148" i="2"/>
  <c r="P148" i="2"/>
  <c r="Q148" i="2"/>
  <c r="R148" i="2"/>
  <c r="S148" i="2"/>
  <c r="T148" i="2"/>
  <c r="U148" i="2"/>
  <c r="L149" i="2"/>
  <c r="M149" i="2"/>
  <c r="N149" i="2"/>
  <c r="O149" i="2"/>
  <c r="P149" i="2"/>
  <c r="Q149" i="2"/>
  <c r="R149" i="2"/>
  <c r="S149" i="2"/>
  <c r="T149" i="2"/>
  <c r="U149" i="2"/>
  <c r="L150" i="2"/>
  <c r="M150" i="2"/>
  <c r="N150" i="2"/>
  <c r="O150" i="2"/>
  <c r="P150" i="2"/>
  <c r="Q150" i="2"/>
  <c r="R150" i="2"/>
  <c r="S150" i="2"/>
  <c r="T150" i="2"/>
  <c r="U150" i="2"/>
  <c r="L151" i="2"/>
  <c r="M151" i="2"/>
  <c r="N151" i="2"/>
  <c r="O151" i="2"/>
  <c r="P151" i="2"/>
  <c r="Q151" i="2"/>
  <c r="R151" i="2"/>
  <c r="S151" i="2"/>
  <c r="T151" i="2"/>
  <c r="U151" i="2"/>
  <c r="L152" i="2"/>
  <c r="M152" i="2"/>
  <c r="N152" i="2"/>
  <c r="O152" i="2"/>
  <c r="P152" i="2"/>
  <c r="Q152" i="2"/>
  <c r="R152" i="2"/>
  <c r="S152" i="2"/>
  <c r="T152" i="2"/>
  <c r="U152" i="2"/>
  <c r="L153" i="2"/>
  <c r="M153" i="2"/>
  <c r="N153" i="2"/>
  <c r="O153" i="2"/>
  <c r="P153" i="2"/>
  <c r="Q153" i="2"/>
  <c r="R153" i="2"/>
  <c r="S153" i="2"/>
  <c r="T153" i="2"/>
  <c r="U153" i="2"/>
  <c r="L154" i="2"/>
  <c r="M154" i="2"/>
  <c r="N154" i="2"/>
  <c r="O154" i="2"/>
  <c r="P154" i="2"/>
  <c r="Q154" i="2"/>
  <c r="R154" i="2"/>
  <c r="S154" i="2"/>
  <c r="T154" i="2"/>
  <c r="U154" i="2"/>
  <c r="L155" i="2"/>
  <c r="M155" i="2"/>
  <c r="N155" i="2"/>
  <c r="O155" i="2"/>
  <c r="P155" i="2"/>
  <c r="Q155" i="2"/>
  <c r="R155" i="2"/>
  <c r="S155" i="2"/>
  <c r="T155" i="2"/>
  <c r="U155" i="2"/>
  <c r="L156" i="2"/>
  <c r="M156" i="2"/>
  <c r="N156" i="2"/>
  <c r="O156" i="2"/>
  <c r="P156" i="2"/>
  <c r="Q156" i="2"/>
  <c r="R156" i="2"/>
  <c r="S156" i="2"/>
  <c r="T156" i="2"/>
  <c r="U156" i="2"/>
  <c r="L157" i="2"/>
  <c r="M157" i="2"/>
  <c r="N157" i="2"/>
  <c r="O157" i="2"/>
  <c r="P157" i="2"/>
  <c r="Q157" i="2"/>
  <c r="R157" i="2"/>
  <c r="S157" i="2"/>
  <c r="T157" i="2"/>
  <c r="U157" i="2"/>
  <c r="L158" i="2"/>
  <c r="M158" i="2"/>
  <c r="N158" i="2"/>
  <c r="O158" i="2"/>
  <c r="P158" i="2"/>
  <c r="Q158" i="2"/>
  <c r="R158" i="2"/>
  <c r="S158" i="2"/>
  <c r="T158" i="2"/>
  <c r="U158" i="2"/>
  <c r="L159" i="2"/>
  <c r="M159" i="2"/>
  <c r="N159" i="2"/>
  <c r="O159" i="2"/>
  <c r="P159" i="2"/>
  <c r="Q159" i="2"/>
  <c r="R159" i="2"/>
  <c r="S159" i="2"/>
  <c r="T159" i="2"/>
  <c r="U159" i="2"/>
  <c r="L160" i="2"/>
  <c r="M160" i="2"/>
  <c r="N160" i="2"/>
  <c r="O160" i="2"/>
  <c r="P160" i="2"/>
  <c r="Q160" i="2"/>
  <c r="R160" i="2"/>
  <c r="S160" i="2"/>
  <c r="T160" i="2"/>
  <c r="U160" i="2"/>
  <c r="L161" i="2"/>
  <c r="M161" i="2"/>
  <c r="N161" i="2"/>
  <c r="O161" i="2"/>
  <c r="P161" i="2"/>
  <c r="Q161" i="2"/>
  <c r="R161" i="2"/>
  <c r="S161" i="2"/>
  <c r="T161" i="2"/>
  <c r="U161" i="2"/>
  <c r="L162" i="2"/>
  <c r="M162" i="2"/>
  <c r="N162" i="2"/>
  <c r="O162" i="2"/>
  <c r="P162" i="2"/>
  <c r="Q162" i="2"/>
  <c r="R162" i="2"/>
  <c r="S162" i="2"/>
  <c r="T162" i="2"/>
  <c r="U162" i="2"/>
  <c r="L163" i="2"/>
  <c r="M163" i="2"/>
  <c r="N163" i="2"/>
  <c r="O163" i="2"/>
  <c r="P163" i="2"/>
  <c r="Q163" i="2"/>
  <c r="R163" i="2"/>
  <c r="S163" i="2"/>
  <c r="T163" i="2"/>
  <c r="U163" i="2"/>
  <c r="L164" i="2"/>
  <c r="M164" i="2"/>
  <c r="N164" i="2"/>
  <c r="O164" i="2"/>
  <c r="P164" i="2"/>
  <c r="Q164" i="2"/>
  <c r="R164" i="2"/>
  <c r="S164" i="2"/>
  <c r="T164" i="2"/>
  <c r="U164" i="2"/>
  <c r="L165" i="2"/>
  <c r="M165" i="2"/>
  <c r="N165" i="2"/>
  <c r="O165" i="2"/>
  <c r="P165" i="2"/>
  <c r="Q165" i="2"/>
  <c r="R165" i="2"/>
  <c r="S165" i="2"/>
  <c r="T165" i="2"/>
  <c r="U165" i="2"/>
  <c r="L166" i="2"/>
  <c r="M166" i="2"/>
  <c r="N166" i="2"/>
  <c r="O166" i="2"/>
  <c r="P166" i="2"/>
  <c r="Q166" i="2"/>
  <c r="R166" i="2"/>
  <c r="S166" i="2"/>
  <c r="T166" i="2"/>
  <c r="U166" i="2"/>
  <c r="L167" i="2"/>
  <c r="M167" i="2"/>
  <c r="N167" i="2"/>
  <c r="O167" i="2"/>
  <c r="P167" i="2"/>
  <c r="Q167" i="2"/>
  <c r="R167" i="2"/>
  <c r="S167" i="2"/>
  <c r="T167" i="2"/>
  <c r="U167" i="2"/>
  <c r="L168" i="2"/>
  <c r="M168" i="2"/>
  <c r="N168" i="2"/>
  <c r="O168" i="2"/>
  <c r="P168" i="2"/>
  <c r="Q168" i="2"/>
  <c r="R168" i="2"/>
  <c r="S168" i="2"/>
  <c r="T168" i="2"/>
  <c r="U168" i="2"/>
  <c r="L169" i="2"/>
  <c r="M169" i="2"/>
  <c r="N169" i="2"/>
  <c r="O169" i="2"/>
  <c r="P169" i="2"/>
  <c r="Q169" i="2"/>
  <c r="R169" i="2"/>
  <c r="S169" i="2"/>
  <c r="T169" i="2"/>
  <c r="U169" i="2"/>
  <c r="L170" i="2"/>
  <c r="M170" i="2"/>
  <c r="N170" i="2"/>
  <c r="O170" i="2"/>
  <c r="P170" i="2"/>
  <c r="Q170" i="2"/>
  <c r="R170" i="2"/>
  <c r="S170" i="2"/>
  <c r="T170" i="2"/>
  <c r="U170" i="2"/>
  <c r="L171" i="2"/>
  <c r="M171" i="2"/>
  <c r="N171" i="2"/>
  <c r="O171" i="2"/>
  <c r="P171" i="2"/>
  <c r="Q171" i="2"/>
  <c r="R171" i="2"/>
  <c r="S171" i="2"/>
  <c r="T171" i="2"/>
  <c r="U171" i="2"/>
  <c r="L172" i="2"/>
  <c r="M172" i="2"/>
  <c r="N172" i="2"/>
  <c r="O172" i="2"/>
  <c r="P172" i="2"/>
  <c r="Q172" i="2"/>
  <c r="R172" i="2"/>
  <c r="S172" i="2"/>
  <c r="T172" i="2"/>
  <c r="U172" i="2"/>
  <c r="L173" i="2"/>
  <c r="M173" i="2"/>
  <c r="N173" i="2"/>
  <c r="O173" i="2"/>
  <c r="P173" i="2"/>
  <c r="Q173" i="2"/>
  <c r="R173" i="2"/>
  <c r="S173" i="2"/>
  <c r="T173" i="2"/>
  <c r="U173" i="2"/>
  <c r="L174" i="2"/>
  <c r="M174" i="2"/>
  <c r="N174" i="2"/>
  <c r="O174" i="2"/>
  <c r="P174" i="2"/>
  <c r="Q174" i="2"/>
  <c r="R174" i="2"/>
  <c r="S174" i="2"/>
  <c r="T174" i="2"/>
  <c r="U174" i="2"/>
  <c r="L175" i="2"/>
  <c r="M175" i="2"/>
  <c r="N175" i="2"/>
  <c r="O175" i="2"/>
  <c r="P175" i="2"/>
  <c r="Q175" i="2"/>
  <c r="R175" i="2"/>
  <c r="S175" i="2"/>
  <c r="T175" i="2"/>
  <c r="U175" i="2"/>
  <c r="L176" i="2"/>
  <c r="M176" i="2"/>
  <c r="N176" i="2"/>
  <c r="O176" i="2"/>
  <c r="P176" i="2"/>
  <c r="Q176" i="2"/>
  <c r="R176" i="2"/>
  <c r="S176" i="2"/>
  <c r="T176" i="2"/>
  <c r="U176" i="2"/>
  <c r="L177" i="2"/>
  <c r="M177" i="2"/>
  <c r="N177" i="2"/>
  <c r="O177" i="2"/>
  <c r="P177" i="2"/>
  <c r="Q177" i="2"/>
  <c r="R177" i="2"/>
  <c r="S177" i="2"/>
  <c r="T177" i="2"/>
  <c r="U177" i="2"/>
  <c r="L178" i="2"/>
  <c r="M178" i="2"/>
  <c r="N178" i="2"/>
  <c r="O178" i="2"/>
  <c r="P178" i="2"/>
  <c r="Q178" i="2"/>
  <c r="R178" i="2"/>
  <c r="S178" i="2"/>
  <c r="T178" i="2"/>
  <c r="U178" i="2"/>
  <c r="L179" i="2"/>
  <c r="M179" i="2"/>
  <c r="N179" i="2"/>
  <c r="O179" i="2"/>
  <c r="P179" i="2"/>
  <c r="Q179" i="2"/>
  <c r="R179" i="2"/>
  <c r="S179" i="2"/>
  <c r="T179" i="2"/>
  <c r="U179" i="2"/>
  <c r="L180" i="2"/>
  <c r="M180" i="2"/>
  <c r="N180" i="2"/>
  <c r="O180" i="2"/>
  <c r="P180" i="2"/>
  <c r="Q180" i="2"/>
  <c r="R180" i="2"/>
  <c r="S180" i="2"/>
  <c r="T180" i="2"/>
  <c r="U180" i="2"/>
  <c r="L181" i="2"/>
  <c r="M181" i="2"/>
  <c r="N181" i="2"/>
  <c r="O181" i="2"/>
  <c r="P181" i="2"/>
  <c r="Q181" i="2"/>
  <c r="R181" i="2"/>
  <c r="S181" i="2"/>
  <c r="T181" i="2"/>
  <c r="U181" i="2"/>
  <c r="L182" i="2"/>
  <c r="M182" i="2"/>
  <c r="N182" i="2"/>
  <c r="O182" i="2"/>
  <c r="P182" i="2"/>
  <c r="Q182" i="2"/>
  <c r="R182" i="2"/>
  <c r="S182" i="2"/>
  <c r="T182" i="2"/>
  <c r="U182" i="2"/>
  <c r="L183" i="2"/>
  <c r="M183" i="2"/>
  <c r="N183" i="2"/>
  <c r="O183" i="2"/>
  <c r="P183" i="2"/>
  <c r="Q183" i="2"/>
  <c r="R183" i="2"/>
  <c r="S183" i="2"/>
  <c r="T183" i="2"/>
  <c r="U183" i="2"/>
  <c r="L184" i="2"/>
  <c r="M184" i="2"/>
  <c r="N184" i="2"/>
  <c r="O184" i="2"/>
  <c r="P184" i="2"/>
  <c r="Q184" i="2"/>
  <c r="R184" i="2"/>
  <c r="S184" i="2"/>
  <c r="T184" i="2"/>
  <c r="U184" i="2"/>
  <c r="L185" i="2"/>
  <c r="M185" i="2"/>
  <c r="N185" i="2"/>
  <c r="O185" i="2"/>
  <c r="P185" i="2"/>
  <c r="Q185" i="2"/>
  <c r="R185" i="2"/>
  <c r="S185" i="2"/>
  <c r="T185" i="2"/>
  <c r="U185" i="2"/>
  <c r="L186" i="2"/>
  <c r="M186" i="2"/>
  <c r="N186" i="2"/>
  <c r="O186" i="2"/>
  <c r="P186" i="2"/>
  <c r="Q186" i="2"/>
  <c r="R186" i="2"/>
  <c r="S186" i="2"/>
  <c r="T186" i="2"/>
  <c r="U186" i="2"/>
  <c r="L187" i="2"/>
  <c r="M187" i="2"/>
  <c r="N187" i="2"/>
  <c r="O187" i="2"/>
  <c r="P187" i="2"/>
  <c r="Q187" i="2"/>
  <c r="R187" i="2"/>
  <c r="S187" i="2"/>
  <c r="T187" i="2"/>
  <c r="U187" i="2"/>
  <c r="L188" i="2"/>
  <c r="M188" i="2"/>
  <c r="N188" i="2"/>
  <c r="O188" i="2"/>
  <c r="P188" i="2"/>
  <c r="Q188" i="2"/>
  <c r="R188" i="2"/>
  <c r="S188" i="2"/>
  <c r="T188" i="2"/>
  <c r="U188" i="2"/>
  <c r="L189" i="2"/>
  <c r="M189" i="2"/>
  <c r="N189" i="2"/>
  <c r="O189" i="2"/>
  <c r="P189" i="2"/>
  <c r="Q189" i="2"/>
  <c r="R189" i="2"/>
  <c r="S189" i="2"/>
  <c r="T189" i="2"/>
  <c r="U189" i="2"/>
  <c r="L190" i="2"/>
  <c r="M190" i="2"/>
  <c r="N190" i="2"/>
  <c r="O190" i="2"/>
  <c r="P190" i="2"/>
  <c r="Q190" i="2"/>
  <c r="R190" i="2"/>
  <c r="S190" i="2"/>
  <c r="T190" i="2"/>
  <c r="U190" i="2"/>
  <c r="L191" i="2"/>
  <c r="M191" i="2"/>
  <c r="N191" i="2"/>
  <c r="O191" i="2"/>
  <c r="P191" i="2"/>
  <c r="Q191" i="2"/>
  <c r="R191" i="2"/>
  <c r="S191" i="2"/>
  <c r="T191" i="2"/>
  <c r="U191" i="2"/>
  <c r="L192" i="2"/>
  <c r="M192" i="2"/>
  <c r="N192" i="2"/>
  <c r="O192" i="2"/>
  <c r="P192" i="2"/>
  <c r="Q192" i="2"/>
  <c r="R192" i="2"/>
  <c r="S192" i="2"/>
  <c r="T192" i="2"/>
  <c r="U192" i="2"/>
  <c r="L193" i="2"/>
  <c r="M193" i="2"/>
  <c r="N193" i="2"/>
  <c r="O193" i="2"/>
  <c r="P193" i="2"/>
  <c r="Q193" i="2"/>
  <c r="R193" i="2"/>
  <c r="S193" i="2"/>
  <c r="T193" i="2"/>
  <c r="U193" i="2"/>
  <c r="L194" i="2"/>
  <c r="M194" i="2"/>
  <c r="N194" i="2"/>
  <c r="O194" i="2"/>
  <c r="P194" i="2"/>
  <c r="Q194" i="2"/>
  <c r="R194" i="2"/>
  <c r="S194" i="2"/>
  <c r="T194" i="2"/>
  <c r="U194" i="2"/>
  <c r="L195" i="2"/>
  <c r="M195" i="2"/>
  <c r="N195" i="2"/>
  <c r="O195" i="2"/>
  <c r="P195" i="2"/>
  <c r="Q195" i="2"/>
  <c r="R195" i="2"/>
  <c r="S195" i="2"/>
  <c r="T195" i="2"/>
  <c r="U195" i="2"/>
  <c r="L196" i="2"/>
  <c r="M196" i="2"/>
  <c r="N196" i="2"/>
  <c r="O196" i="2"/>
  <c r="P196" i="2"/>
  <c r="Q196" i="2"/>
  <c r="R196" i="2"/>
  <c r="S196" i="2"/>
  <c r="T196" i="2"/>
  <c r="U196" i="2"/>
  <c r="L197" i="2"/>
  <c r="M197" i="2"/>
  <c r="N197" i="2"/>
  <c r="O197" i="2"/>
  <c r="P197" i="2"/>
  <c r="Q197" i="2"/>
  <c r="R197" i="2"/>
  <c r="S197" i="2"/>
  <c r="T197" i="2"/>
  <c r="U197" i="2"/>
  <c r="L198" i="2"/>
  <c r="M198" i="2"/>
  <c r="N198" i="2"/>
  <c r="O198" i="2"/>
  <c r="P198" i="2"/>
  <c r="Q198" i="2"/>
  <c r="R198" i="2"/>
  <c r="S198" i="2"/>
  <c r="T198" i="2"/>
  <c r="U198" i="2"/>
  <c r="L199" i="2"/>
  <c r="M199" i="2"/>
  <c r="N199" i="2"/>
  <c r="O199" i="2"/>
  <c r="P199" i="2"/>
  <c r="Q199" i="2"/>
  <c r="R199" i="2"/>
  <c r="S199" i="2"/>
  <c r="T199" i="2"/>
  <c r="U199" i="2"/>
  <c r="L200" i="2"/>
  <c r="M200" i="2"/>
  <c r="N200" i="2"/>
  <c r="O200" i="2"/>
  <c r="P200" i="2"/>
  <c r="Q200" i="2"/>
  <c r="R200" i="2"/>
  <c r="S200" i="2"/>
  <c r="T200" i="2"/>
  <c r="U200" i="2"/>
  <c r="L201" i="2"/>
  <c r="M201" i="2"/>
  <c r="N201" i="2"/>
  <c r="O201" i="2"/>
  <c r="P201" i="2"/>
  <c r="Q201" i="2"/>
  <c r="R201" i="2"/>
  <c r="S201" i="2"/>
  <c r="T201" i="2"/>
  <c r="U201" i="2"/>
  <c r="L202" i="2"/>
  <c r="M202" i="2"/>
  <c r="N202" i="2"/>
  <c r="O202" i="2"/>
  <c r="P202" i="2"/>
  <c r="Q202" i="2"/>
  <c r="R202" i="2"/>
  <c r="S202" i="2"/>
  <c r="T202" i="2"/>
  <c r="U202" i="2"/>
  <c r="L203" i="2"/>
  <c r="M203" i="2"/>
  <c r="N203" i="2"/>
  <c r="O203" i="2"/>
  <c r="P203" i="2"/>
  <c r="Q203" i="2"/>
  <c r="R203" i="2"/>
  <c r="S203" i="2"/>
  <c r="T203" i="2"/>
  <c r="U203" i="2"/>
  <c r="L204" i="2"/>
  <c r="M204" i="2"/>
  <c r="N204" i="2"/>
  <c r="O204" i="2"/>
  <c r="P204" i="2"/>
  <c r="Q204" i="2"/>
  <c r="R204" i="2"/>
  <c r="S204" i="2"/>
  <c r="T204" i="2"/>
  <c r="U204" i="2"/>
  <c r="L205" i="2"/>
  <c r="M205" i="2"/>
  <c r="N205" i="2"/>
  <c r="O205" i="2"/>
  <c r="P205" i="2"/>
  <c r="Q205" i="2"/>
  <c r="R205" i="2"/>
  <c r="S205" i="2"/>
  <c r="T205" i="2"/>
  <c r="U205" i="2"/>
  <c r="L206" i="2"/>
  <c r="M206" i="2"/>
  <c r="N206" i="2"/>
  <c r="O206" i="2"/>
  <c r="P206" i="2"/>
  <c r="Q206" i="2"/>
  <c r="R206" i="2"/>
  <c r="S206" i="2"/>
  <c r="T206" i="2"/>
  <c r="U206" i="2"/>
  <c r="L207" i="2"/>
  <c r="M207" i="2"/>
  <c r="N207" i="2"/>
  <c r="O207" i="2"/>
  <c r="P207" i="2"/>
  <c r="Q207" i="2"/>
  <c r="R207" i="2"/>
  <c r="S207" i="2"/>
  <c r="T207" i="2"/>
  <c r="U207" i="2"/>
  <c r="L208" i="2"/>
  <c r="M208" i="2"/>
  <c r="N208" i="2"/>
  <c r="O208" i="2"/>
  <c r="P208" i="2"/>
  <c r="Q208" i="2"/>
  <c r="R208" i="2"/>
  <c r="S208" i="2"/>
  <c r="T208" i="2"/>
  <c r="U208" i="2"/>
  <c r="L209" i="2"/>
  <c r="M209" i="2"/>
  <c r="N209" i="2"/>
  <c r="O209" i="2"/>
  <c r="P209" i="2"/>
  <c r="Q209" i="2"/>
  <c r="R209" i="2"/>
  <c r="S209" i="2"/>
  <c r="T209" i="2"/>
  <c r="U209" i="2"/>
  <c r="L210" i="2"/>
  <c r="M210" i="2"/>
  <c r="N210" i="2"/>
  <c r="O210" i="2"/>
  <c r="P210" i="2"/>
  <c r="Q210" i="2"/>
  <c r="R210" i="2"/>
  <c r="S210" i="2"/>
  <c r="T210" i="2"/>
  <c r="U210" i="2"/>
  <c r="L211" i="2"/>
  <c r="M211" i="2"/>
  <c r="N211" i="2"/>
  <c r="O211" i="2"/>
  <c r="P211" i="2"/>
  <c r="Q211" i="2"/>
  <c r="R211" i="2"/>
  <c r="S211" i="2"/>
  <c r="T211" i="2"/>
  <c r="U211" i="2"/>
  <c r="L212" i="2"/>
  <c r="M212" i="2"/>
  <c r="N212" i="2"/>
  <c r="O212" i="2"/>
  <c r="P212" i="2"/>
  <c r="Q212" i="2"/>
  <c r="R212" i="2"/>
  <c r="S212" i="2"/>
  <c r="T212" i="2"/>
  <c r="U212" i="2"/>
  <c r="L213" i="2"/>
  <c r="M213" i="2"/>
  <c r="N213" i="2"/>
  <c r="O213" i="2"/>
  <c r="P213" i="2"/>
  <c r="Q213" i="2"/>
  <c r="R213" i="2"/>
  <c r="S213" i="2"/>
  <c r="T213" i="2"/>
  <c r="U213" i="2"/>
  <c r="L214" i="2"/>
  <c r="M214" i="2"/>
  <c r="N214" i="2"/>
  <c r="O214" i="2"/>
  <c r="P214" i="2"/>
  <c r="Q214" i="2"/>
  <c r="R214" i="2"/>
  <c r="S214" i="2"/>
  <c r="T214" i="2"/>
  <c r="U214" i="2"/>
  <c r="L215" i="2"/>
  <c r="M215" i="2"/>
  <c r="N215" i="2"/>
  <c r="O215" i="2"/>
  <c r="P215" i="2"/>
  <c r="Q215" i="2"/>
  <c r="R215" i="2"/>
  <c r="S215" i="2"/>
  <c r="T215" i="2"/>
  <c r="U215" i="2"/>
  <c r="L216" i="2"/>
  <c r="M216" i="2"/>
  <c r="N216" i="2"/>
  <c r="O216" i="2"/>
  <c r="P216" i="2"/>
  <c r="Q216" i="2"/>
  <c r="R216" i="2"/>
  <c r="S216" i="2"/>
  <c r="T216" i="2"/>
  <c r="U216" i="2"/>
  <c r="L217" i="2"/>
  <c r="M217" i="2"/>
  <c r="N217" i="2"/>
  <c r="O217" i="2"/>
  <c r="P217" i="2"/>
  <c r="Q217" i="2"/>
  <c r="R217" i="2"/>
  <c r="S217" i="2"/>
  <c r="T217" i="2"/>
  <c r="U217" i="2"/>
  <c r="L218" i="2"/>
  <c r="M218" i="2"/>
  <c r="N218" i="2"/>
  <c r="O218" i="2"/>
  <c r="P218" i="2"/>
  <c r="Q218" i="2"/>
  <c r="R218" i="2"/>
  <c r="S218" i="2"/>
  <c r="T218" i="2"/>
  <c r="U218" i="2"/>
  <c r="L219" i="2"/>
  <c r="M219" i="2"/>
  <c r="N219" i="2"/>
  <c r="O219" i="2"/>
  <c r="P219" i="2"/>
  <c r="Q219" i="2"/>
  <c r="R219" i="2"/>
  <c r="S219" i="2"/>
  <c r="T219" i="2"/>
  <c r="U219" i="2"/>
  <c r="L220" i="2"/>
  <c r="M220" i="2"/>
  <c r="N220" i="2"/>
  <c r="O220" i="2"/>
  <c r="P220" i="2"/>
  <c r="Q220" i="2"/>
  <c r="R220" i="2"/>
  <c r="S220" i="2"/>
  <c r="T220" i="2"/>
  <c r="U220" i="2"/>
  <c r="L221" i="2"/>
  <c r="M221" i="2"/>
  <c r="N221" i="2"/>
  <c r="O221" i="2"/>
  <c r="P221" i="2"/>
  <c r="Q221" i="2"/>
  <c r="R221" i="2"/>
  <c r="S221" i="2"/>
  <c r="T221" i="2"/>
  <c r="U221" i="2"/>
  <c r="L222" i="2"/>
  <c r="M222" i="2"/>
  <c r="N222" i="2"/>
  <c r="O222" i="2"/>
  <c r="P222" i="2"/>
  <c r="Q222" i="2"/>
  <c r="R222" i="2"/>
  <c r="S222" i="2"/>
  <c r="T222" i="2"/>
  <c r="U222" i="2"/>
  <c r="L223" i="2"/>
  <c r="M223" i="2"/>
  <c r="N223" i="2"/>
  <c r="O223" i="2"/>
  <c r="P223" i="2"/>
  <c r="Q223" i="2"/>
  <c r="R223" i="2"/>
  <c r="S223" i="2"/>
  <c r="T223" i="2"/>
  <c r="U223" i="2"/>
  <c r="L224" i="2"/>
  <c r="M224" i="2"/>
  <c r="N224" i="2"/>
  <c r="O224" i="2"/>
  <c r="P224" i="2"/>
  <c r="Q224" i="2"/>
  <c r="R224" i="2"/>
  <c r="S224" i="2"/>
  <c r="T224" i="2"/>
  <c r="U224" i="2"/>
  <c r="L225" i="2"/>
  <c r="M225" i="2"/>
  <c r="N225" i="2"/>
  <c r="O225" i="2"/>
  <c r="P225" i="2"/>
  <c r="Q225" i="2"/>
  <c r="R225" i="2"/>
  <c r="S225" i="2"/>
  <c r="T225" i="2"/>
  <c r="U225" i="2"/>
  <c r="L226" i="2"/>
  <c r="M226" i="2"/>
  <c r="N226" i="2"/>
  <c r="O226" i="2"/>
  <c r="P226" i="2"/>
  <c r="Q226" i="2"/>
  <c r="R226" i="2"/>
  <c r="S226" i="2"/>
  <c r="T226" i="2"/>
  <c r="U226" i="2"/>
  <c r="L227" i="2"/>
  <c r="M227" i="2"/>
  <c r="N227" i="2"/>
  <c r="O227" i="2"/>
  <c r="P227" i="2"/>
  <c r="Q227" i="2"/>
  <c r="R227" i="2"/>
  <c r="S227" i="2"/>
  <c r="T227" i="2"/>
  <c r="U227" i="2"/>
  <c r="L228" i="2"/>
  <c r="M228" i="2"/>
  <c r="N228" i="2"/>
  <c r="O228" i="2"/>
  <c r="P228" i="2"/>
  <c r="Q228" i="2"/>
  <c r="R228" i="2"/>
  <c r="S228" i="2"/>
  <c r="T228" i="2"/>
  <c r="U228" i="2"/>
  <c r="L229" i="2"/>
  <c r="M229" i="2"/>
  <c r="N229" i="2"/>
  <c r="O229" i="2"/>
  <c r="P229" i="2"/>
  <c r="Q229" i="2"/>
  <c r="R229" i="2"/>
  <c r="S229" i="2"/>
  <c r="T229" i="2"/>
  <c r="U229" i="2"/>
  <c r="L230" i="2"/>
  <c r="M230" i="2"/>
  <c r="N230" i="2"/>
  <c r="O230" i="2"/>
  <c r="P230" i="2"/>
  <c r="Q230" i="2"/>
  <c r="R230" i="2"/>
  <c r="S230" i="2"/>
  <c r="T230" i="2"/>
  <c r="U230" i="2"/>
  <c r="L231" i="2"/>
  <c r="M231" i="2"/>
  <c r="N231" i="2"/>
  <c r="O231" i="2"/>
  <c r="P231" i="2"/>
  <c r="Q231" i="2"/>
  <c r="R231" i="2"/>
  <c r="S231" i="2"/>
  <c r="T231" i="2"/>
  <c r="U231" i="2"/>
  <c r="L232" i="2"/>
  <c r="M232" i="2"/>
  <c r="N232" i="2"/>
  <c r="O232" i="2"/>
  <c r="P232" i="2"/>
  <c r="Q232" i="2"/>
  <c r="R232" i="2"/>
  <c r="S232" i="2"/>
  <c r="T232" i="2"/>
  <c r="U232" i="2"/>
  <c r="L233" i="2"/>
  <c r="M233" i="2"/>
  <c r="N233" i="2"/>
  <c r="O233" i="2"/>
  <c r="P233" i="2"/>
  <c r="Q233" i="2"/>
  <c r="R233" i="2"/>
  <c r="S233" i="2"/>
  <c r="T233" i="2"/>
  <c r="U233" i="2"/>
  <c r="L234" i="2"/>
  <c r="M234" i="2"/>
  <c r="N234" i="2"/>
  <c r="O234" i="2"/>
  <c r="P234" i="2"/>
  <c r="Q234" i="2"/>
  <c r="R234" i="2"/>
  <c r="S234" i="2"/>
  <c r="T234" i="2"/>
  <c r="U234" i="2"/>
  <c r="L235" i="2"/>
  <c r="M235" i="2"/>
  <c r="N235" i="2"/>
  <c r="O235" i="2"/>
  <c r="P235" i="2"/>
  <c r="Q235" i="2"/>
  <c r="R235" i="2"/>
  <c r="S235" i="2"/>
  <c r="T235" i="2"/>
  <c r="U235" i="2"/>
  <c r="L236" i="2"/>
  <c r="M236" i="2"/>
  <c r="N236" i="2"/>
  <c r="O236" i="2"/>
  <c r="P236" i="2"/>
  <c r="Q236" i="2"/>
  <c r="R236" i="2"/>
  <c r="S236" i="2"/>
  <c r="T236" i="2"/>
  <c r="U236" i="2"/>
  <c r="L237" i="2"/>
  <c r="M237" i="2"/>
  <c r="N237" i="2"/>
  <c r="O237" i="2"/>
  <c r="P237" i="2"/>
  <c r="Q237" i="2"/>
  <c r="R237" i="2"/>
  <c r="S237" i="2"/>
  <c r="T237" i="2"/>
  <c r="U237" i="2"/>
  <c r="L238" i="2"/>
  <c r="M238" i="2"/>
  <c r="N238" i="2"/>
  <c r="O238" i="2"/>
  <c r="P238" i="2"/>
  <c r="Q238" i="2"/>
  <c r="R238" i="2"/>
  <c r="S238" i="2"/>
  <c r="T238" i="2"/>
  <c r="U238" i="2"/>
  <c r="L239" i="2"/>
  <c r="M239" i="2"/>
  <c r="N239" i="2"/>
  <c r="O239" i="2"/>
  <c r="P239" i="2"/>
  <c r="Q239" i="2"/>
  <c r="R239" i="2"/>
  <c r="S239" i="2"/>
  <c r="T239" i="2"/>
  <c r="U239" i="2"/>
  <c r="L240" i="2"/>
  <c r="M240" i="2"/>
  <c r="N240" i="2"/>
  <c r="O240" i="2"/>
  <c r="P240" i="2"/>
  <c r="Q240" i="2"/>
  <c r="R240" i="2"/>
  <c r="S240" i="2"/>
  <c r="T240" i="2"/>
  <c r="U240" i="2"/>
  <c r="L241" i="2"/>
  <c r="M241" i="2"/>
  <c r="N241" i="2"/>
  <c r="O241" i="2"/>
  <c r="P241" i="2"/>
  <c r="Q241" i="2"/>
  <c r="R241" i="2"/>
  <c r="S241" i="2"/>
  <c r="T241" i="2"/>
  <c r="U241" i="2"/>
  <c r="L242" i="2"/>
  <c r="M242" i="2"/>
  <c r="N242" i="2"/>
  <c r="O242" i="2"/>
  <c r="P242" i="2"/>
  <c r="Q242" i="2"/>
  <c r="R242" i="2"/>
  <c r="S242" i="2"/>
  <c r="T242" i="2"/>
  <c r="U242" i="2"/>
  <c r="L243" i="2"/>
  <c r="M243" i="2"/>
  <c r="N243" i="2"/>
  <c r="O243" i="2"/>
  <c r="P243" i="2"/>
  <c r="Q243" i="2"/>
  <c r="R243" i="2"/>
  <c r="S243" i="2"/>
  <c r="T243" i="2"/>
  <c r="U243" i="2"/>
  <c r="L244" i="2"/>
  <c r="M244" i="2"/>
  <c r="N244" i="2"/>
  <c r="O244" i="2"/>
  <c r="P244" i="2"/>
  <c r="Q244" i="2"/>
  <c r="R244" i="2"/>
  <c r="S244" i="2"/>
  <c r="T244" i="2"/>
  <c r="U244" i="2"/>
  <c r="L245" i="2"/>
  <c r="M245" i="2"/>
  <c r="N245" i="2"/>
  <c r="O245" i="2"/>
  <c r="P245" i="2"/>
  <c r="Q245" i="2"/>
  <c r="R245" i="2"/>
  <c r="S245" i="2"/>
  <c r="T245" i="2"/>
  <c r="U245" i="2"/>
  <c r="L246" i="2"/>
  <c r="M246" i="2"/>
  <c r="N246" i="2"/>
  <c r="O246" i="2"/>
  <c r="P246" i="2"/>
  <c r="Q246" i="2"/>
  <c r="R246" i="2"/>
  <c r="S246" i="2"/>
  <c r="T246" i="2"/>
  <c r="U246" i="2"/>
  <c r="L247" i="2"/>
  <c r="M247" i="2"/>
  <c r="N247" i="2"/>
  <c r="O247" i="2"/>
  <c r="P247" i="2"/>
  <c r="Q247" i="2"/>
  <c r="R247" i="2"/>
  <c r="S247" i="2"/>
  <c r="T247" i="2"/>
  <c r="U247" i="2"/>
  <c r="L248" i="2"/>
  <c r="M248" i="2"/>
  <c r="N248" i="2"/>
  <c r="O248" i="2"/>
  <c r="P248" i="2"/>
  <c r="Q248" i="2"/>
  <c r="R248" i="2"/>
  <c r="S248" i="2"/>
  <c r="T248" i="2"/>
  <c r="U248" i="2"/>
  <c r="L249" i="2"/>
  <c r="M249" i="2"/>
  <c r="N249" i="2"/>
  <c r="O249" i="2"/>
  <c r="P249" i="2"/>
  <c r="Q249" i="2"/>
  <c r="R249" i="2"/>
  <c r="S249" i="2"/>
  <c r="T249" i="2"/>
  <c r="U249" i="2"/>
  <c r="L250" i="2"/>
  <c r="M250" i="2"/>
  <c r="N250" i="2"/>
  <c r="O250" i="2"/>
  <c r="P250" i="2"/>
  <c r="Q250" i="2"/>
  <c r="R250" i="2"/>
  <c r="S250" i="2"/>
  <c r="T250" i="2"/>
  <c r="U250" i="2"/>
  <c r="L251" i="2"/>
  <c r="M251" i="2"/>
  <c r="N251" i="2"/>
  <c r="O251" i="2"/>
  <c r="P251" i="2"/>
  <c r="Q251" i="2"/>
  <c r="R251" i="2"/>
  <c r="S251" i="2"/>
  <c r="T251" i="2"/>
  <c r="U251" i="2"/>
  <c r="L252" i="2"/>
  <c r="M252" i="2"/>
  <c r="N252" i="2"/>
  <c r="O252" i="2"/>
  <c r="P252" i="2"/>
  <c r="Q252" i="2"/>
  <c r="R252" i="2"/>
  <c r="S252" i="2"/>
  <c r="T252" i="2"/>
  <c r="U252" i="2"/>
  <c r="L253" i="2"/>
  <c r="M253" i="2"/>
  <c r="N253" i="2"/>
  <c r="O253" i="2"/>
  <c r="P253" i="2"/>
  <c r="Q253" i="2"/>
  <c r="R253" i="2"/>
  <c r="S253" i="2"/>
  <c r="T253" i="2"/>
  <c r="U253" i="2"/>
  <c r="L254" i="2"/>
  <c r="M254" i="2"/>
  <c r="N254" i="2"/>
  <c r="O254" i="2"/>
  <c r="P254" i="2"/>
  <c r="Q254" i="2"/>
  <c r="R254" i="2"/>
  <c r="S254" i="2"/>
  <c r="T254" i="2"/>
  <c r="U254" i="2"/>
  <c r="L255" i="2"/>
  <c r="M255" i="2"/>
  <c r="N255" i="2"/>
  <c r="O255" i="2"/>
  <c r="P255" i="2"/>
  <c r="Q255" i="2"/>
  <c r="R255" i="2"/>
  <c r="S255" i="2"/>
  <c r="T255" i="2"/>
  <c r="U255" i="2"/>
  <c r="L256" i="2"/>
  <c r="M256" i="2"/>
  <c r="N256" i="2"/>
  <c r="O256" i="2"/>
  <c r="P256" i="2"/>
  <c r="Q256" i="2"/>
  <c r="R256" i="2"/>
  <c r="S256" i="2"/>
  <c r="T256" i="2"/>
  <c r="U256" i="2"/>
  <c r="L257" i="2"/>
  <c r="M257" i="2"/>
  <c r="N257" i="2"/>
  <c r="O257" i="2"/>
  <c r="P257" i="2"/>
  <c r="Q257" i="2"/>
  <c r="R257" i="2"/>
  <c r="S257" i="2"/>
  <c r="T257" i="2"/>
  <c r="U257" i="2"/>
  <c r="L258" i="2"/>
  <c r="M258" i="2"/>
  <c r="N258" i="2"/>
  <c r="O258" i="2"/>
  <c r="P258" i="2"/>
  <c r="Q258" i="2"/>
  <c r="R258" i="2"/>
  <c r="S258" i="2"/>
  <c r="T258" i="2"/>
  <c r="U258" i="2"/>
  <c r="L259" i="2"/>
  <c r="M259" i="2"/>
  <c r="N259" i="2"/>
  <c r="O259" i="2"/>
  <c r="P259" i="2"/>
  <c r="Q259" i="2"/>
  <c r="R259" i="2"/>
  <c r="S259" i="2"/>
  <c r="T259" i="2"/>
  <c r="U259" i="2"/>
  <c r="L260" i="2"/>
  <c r="M260" i="2"/>
  <c r="N260" i="2"/>
  <c r="O260" i="2"/>
  <c r="P260" i="2"/>
  <c r="Q260" i="2"/>
  <c r="R260" i="2"/>
  <c r="S260" i="2"/>
  <c r="T260" i="2"/>
  <c r="U260" i="2"/>
  <c r="L261" i="2"/>
  <c r="M261" i="2"/>
  <c r="N261" i="2"/>
  <c r="O261" i="2"/>
  <c r="P261" i="2"/>
  <c r="Q261" i="2"/>
  <c r="R261" i="2"/>
  <c r="S261" i="2"/>
  <c r="T261" i="2"/>
  <c r="U261" i="2"/>
  <c r="L262" i="2"/>
  <c r="M262" i="2"/>
  <c r="N262" i="2"/>
  <c r="O262" i="2"/>
  <c r="P262" i="2"/>
  <c r="Q262" i="2"/>
  <c r="R262" i="2"/>
  <c r="S262" i="2"/>
  <c r="T262" i="2"/>
  <c r="U262" i="2"/>
  <c r="L263" i="2"/>
  <c r="M263" i="2"/>
  <c r="N263" i="2"/>
  <c r="O263" i="2"/>
  <c r="P263" i="2"/>
  <c r="Q263" i="2"/>
  <c r="R263" i="2"/>
  <c r="S263" i="2"/>
  <c r="T263" i="2"/>
  <c r="U263" i="2"/>
  <c r="L264" i="2"/>
  <c r="M264" i="2"/>
  <c r="N264" i="2"/>
  <c r="O264" i="2"/>
  <c r="P264" i="2"/>
  <c r="Q264" i="2"/>
  <c r="R264" i="2"/>
  <c r="S264" i="2"/>
  <c r="T264" i="2"/>
  <c r="U264" i="2"/>
  <c r="L265" i="2"/>
  <c r="M265" i="2"/>
  <c r="N265" i="2"/>
  <c r="O265" i="2"/>
  <c r="P265" i="2"/>
  <c r="Q265" i="2"/>
  <c r="R265" i="2"/>
  <c r="S265" i="2"/>
  <c r="T265" i="2"/>
  <c r="U265" i="2"/>
  <c r="L266" i="2"/>
  <c r="M266" i="2"/>
  <c r="N266" i="2"/>
  <c r="O266" i="2"/>
  <c r="P266" i="2"/>
  <c r="Q266" i="2"/>
  <c r="R266" i="2"/>
  <c r="S266" i="2"/>
  <c r="T266" i="2"/>
  <c r="U266" i="2"/>
  <c r="L267" i="2"/>
  <c r="M267" i="2"/>
  <c r="N267" i="2"/>
  <c r="O267" i="2"/>
  <c r="P267" i="2"/>
  <c r="Q267" i="2"/>
  <c r="R267" i="2"/>
  <c r="S267" i="2"/>
  <c r="T267" i="2"/>
  <c r="U267" i="2"/>
  <c r="L268" i="2"/>
  <c r="M268" i="2"/>
  <c r="N268" i="2"/>
  <c r="O268" i="2"/>
  <c r="P268" i="2"/>
  <c r="Q268" i="2"/>
  <c r="R268" i="2"/>
  <c r="S268" i="2"/>
  <c r="T268" i="2"/>
  <c r="U268" i="2"/>
  <c r="L269" i="2"/>
  <c r="M269" i="2"/>
  <c r="N269" i="2"/>
  <c r="O269" i="2"/>
  <c r="P269" i="2"/>
  <c r="Q269" i="2"/>
  <c r="R269" i="2"/>
  <c r="S269" i="2"/>
  <c r="T269" i="2"/>
  <c r="U269" i="2"/>
  <c r="L270" i="2"/>
  <c r="M270" i="2"/>
  <c r="N270" i="2"/>
  <c r="O270" i="2"/>
  <c r="P270" i="2"/>
  <c r="Q270" i="2"/>
  <c r="R270" i="2"/>
  <c r="S270" i="2"/>
  <c r="T270" i="2"/>
  <c r="U270" i="2"/>
  <c r="L271" i="2"/>
  <c r="M271" i="2"/>
  <c r="N271" i="2"/>
  <c r="O271" i="2"/>
  <c r="P271" i="2"/>
  <c r="Q271" i="2"/>
  <c r="R271" i="2"/>
  <c r="S271" i="2"/>
  <c r="T271" i="2"/>
  <c r="U271" i="2"/>
  <c r="L272" i="2"/>
  <c r="M272" i="2"/>
  <c r="N272" i="2"/>
  <c r="O272" i="2"/>
  <c r="P272" i="2"/>
  <c r="Q272" i="2"/>
  <c r="R272" i="2"/>
  <c r="S272" i="2"/>
  <c r="T272" i="2"/>
  <c r="U272" i="2"/>
  <c r="L273" i="2"/>
  <c r="M273" i="2"/>
  <c r="N273" i="2"/>
  <c r="O273" i="2"/>
  <c r="P273" i="2"/>
  <c r="Q273" i="2"/>
  <c r="R273" i="2"/>
  <c r="S273" i="2"/>
  <c r="T273" i="2"/>
  <c r="U273" i="2"/>
  <c r="L274" i="2"/>
  <c r="M274" i="2"/>
  <c r="N274" i="2"/>
  <c r="O274" i="2"/>
  <c r="P274" i="2"/>
  <c r="Q274" i="2"/>
  <c r="R274" i="2"/>
  <c r="S274" i="2"/>
  <c r="T274" i="2"/>
  <c r="U274" i="2"/>
  <c r="L275" i="2"/>
  <c r="M275" i="2"/>
  <c r="N275" i="2"/>
  <c r="O275" i="2"/>
  <c r="P275" i="2"/>
  <c r="Q275" i="2"/>
  <c r="R275" i="2"/>
  <c r="S275" i="2"/>
  <c r="T275" i="2"/>
  <c r="U275" i="2"/>
  <c r="L276" i="2"/>
  <c r="M276" i="2"/>
  <c r="N276" i="2"/>
  <c r="O276" i="2"/>
  <c r="P276" i="2"/>
  <c r="Q276" i="2"/>
  <c r="R276" i="2"/>
  <c r="S276" i="2"/>
  <c r="T276" i="2"/>
  <c r="U276" i="2"/>
  <c r="L277" i="2"/>
  <c r="M277" i="2"/>
  <c r="N277" i="2"/>
  <c r="O277" i="2"/>
  <c r="P277" i="2"/>
  <c r="Q277" i="2"/>
  <c r="R277" i="2"/>
  <c r="S277" i="2"/>
  <c r="T277" i="2"/>
  <c r="U277" i="2"/>
  <c r="L278" i="2"/>
  <c r="M278" i="2"/>
  <c r="N278" i="2"/>
  <c r="O278" i="2"/>
  <c r="P278" i="2"/>
  <c r="Q278" i="2"/>
  <c r="R278" i="2"/>
  <c r="S278" i="2"/>
  <c r="T278" i="2"/>
  <c r="U278" i="2"/>
  <c r="L279" i="2"/>
  <c r="M279" i="2"/>
  <c r="N279" i="2"/>
  <c r="O279" i="2"/>
  <c r="P279" i="2"/>
  <c r="Q279" i="2"/>
  <c r="R279" i="2"/>
  <c r="S279" i="2"/>
  <c r="T279" i="2"/>
  <c r="U279" i="2"/>
  <c r="L280" i="2"/>
  <c r="M280" i="2"/>
  <c r="N280" i="2"/>
  <c r="O280" i="2"/>
  <c r="P280" i="2"/>
  <c r="Q280" i="2"/>
  <c r="R280" i="2"/>
  <c r="S280" i="2"/>
  <c r="T280" i="2"/>
  <c r="U280" i="2"/>
  <c r="L281" i="2"/>
  <c r="M281" i="2"/>
  <c r="N281" i="2"/>
  <c r="O281" i="2"/>
  <c r="P281" i="2"/>
  <c r="Q281" i="2"/>
  <c r="R281" i="2"/>
  <c r="S281" i="2"/>
  <c r="T281" i="2"/>
  <c r="U281" i="2"/>
  <c r="L282" i="2"/>
  <c r="M282" i="2"/>
  <c r="N282" i="2"/>
  <c r="O282" i="2"/>
  <c r="P282" i="2"/>
  <c r="Q282" i="2"/>
  <c r="R282" i="2"/>
  <c r="S282" i="2"/>
  <c r="T282" i="2"/>
  <c r="U282" i="2"/>
  <c r="L283" i="2"/>
  <c r="M283" i="2"/>
  <c r="N283" i="2"/>
  <c r="O283" i="2"/>
  <c r="P283" i="2"/>
  <c r="Q283" i="2"/>
  <c r="R283" i="2"/>
  <c r="S283" i="2"/>
  <c r="T283" i="2"/>
  <c r="U283" i="2"/>
  <c r="L284" i="2"/>
  <c r="M284" i="2"/>
  <c r="N284" i="2"/>
  <c r="O284" i="2"/>
  <c r="P284" i="2"/>
  <c r="Q284" i="2"/>
  <c r="R284" i="2"/>
  <c r="S284" i="2"/>
  <c r="T284" i="2"/>
  <c r="U284" i="2"/>
  <c r="L285" i="2"/>
  <c r="M285" i="2"/>
  <c r="N285" i="2"/>
  <c r="O285" i="2"/>
  <c r="P285" i="2"/>
  <c r="Q285" i="2"/>
  <c r="R285" i="2"/>
  <c r="S285" i="2"/>
  <c r="T285" i="2"/>
  <c r="U285" i="2"/>
  <c r="L286" i="2"/>
  <c r="M286" i="2"/>
  <c r="N286" i="2"/>
  <c r="O286" i="2"/>
  <c r="P286" i="2"/>
  <c r="Q286" i="2"/>
  <c r="R286" i="2"/>
  <c r="S286" i="2"/>
  <c r="T286" i="2"/>
  <c r="U286" i="2"/>
  <c r="L287" i="2"/>
  <c r="M287" i="2"/>
  <c r="N287" i="2"/>
  <c r="O287" i="2"/>
  <c r="P287" i="2"/>
  <c r="Q287" i="2"/>
  <c r="R287" i="2"/>
  <c r="S287" i="2"/>
  <c r="T287" i="2"/>
  <c r="U287" i="2"/>
  <c r="L288" i="2"/>
  <c r="M288" i="2"/>
  <c r="N288" i="2"/>
  <c r="O288" i="2"/>
  <c r="P288" i="2"/>
  <c r="Q288" i="2"/>
  <c r="R288" i="2"/>
  <c r="S288" i="2"/>
  <c r="T288" i="2"/>
  <c r="U288" i="2"/>
  <c r="L289" i="2"/>
  <c r="M289" i="2"/>
  <c r="N289" i="2"/>
  <c r="O289" i="2"/>
  <c r="P289" i="2"/>
  <c r="Q289" i="2"/>
  <c r="R289" i="2"/>
  <c r="S289" i="2"/>
  <c r="T289" i="2"/>
  <c r="U289" i="2"/>
  <c r="L290" i="2"/>
  <c r="M290" i="2"/>
  <c r="N290" i="2"/>
  <c r="O290" i="2"/>
  <c r="P290" i="2"/>
  <c r="Q290" i="2"/>
  <c r="R290" i="2"/>
  <c r="S290" i="2"/>
  <c r="T290" i="2"/>
  <c r="U290" i="2"/>
  <c r="L291" i="2"/>
  <c r="M291" i="2"/>
  <c r="N291" i="2"/>
  <c r="O291" i="2"/>
  <c r="P291" i="2"/>
  <c r="Q291" i="2"/>
  <c r="R291" i="2"/>
  <c r="S291" i="2"/>
  <c r="T291" i="2"/>
  <c r="U291" i="2"/>
  <c r="L292" i="2"/>
  <c r="M292" i="2"/>
  <c r="N292" i="2"/>
  <c r="O292" i="2"/>
  <c r="P292" i="2"/>
  <c r="Q292" i="2"/>
  <c r="R292" i="2"/>
  <c r="S292" i="2"/>
  <c r="T292" i="2"/>
  <c r="U292" i="2"/>
  <c r="L293" i="2"/>
  <c r="M293" i="2"/>
  <c r="N293" i="2"/>
  <c r="O293" i="2"/>
  <c r="P293" i="2"/>
  <c r="Q293" i="2"/>
  <c r="R293" i="2"/>
  <c r="S293" i="2"/>
  <c r="T293" i="2"/>
  <c r="U293" i="2"/>
  <c r="L294" i="2"/>
  <c r="M294" i="2"/>
  <c r="N294" i="2"/>
  <c r="O294" i="2"/>
  <c r="P294" i="2"/>
  <c r="Q294" i="2"/>
  <c r="R294" i="2"/>
  <c r="S294" i="2"/>
  <c r="T294" i="2"/>
  <c r="U294" i="2"/>
  <c r="L295" i="2"/>
  <c r="M295" i="2"/>
  <c r="N295" i="2"/>
  <c r="O295" i="2"/>
  <c r="P295" i="2"/>
  <c r="Q295" i="2"/>
  <c r="R295" i="2"/>
  <c r="S295" i="2"/>
  <c r="T295" i="2"/>
  <c r="U295" i="2"/>
  <c r="L296" i="2"/>
  <c r="M296" i="2"/>
  <c r="N296" i="2"/>
  <c r="O296" i="2"/>
  <c r="P296" i="2"/>
  <c r="Q296" i="2"/>
  <c r="R296" i="2"/>
  <c r="S296" i="2"/>
  <c r="T296" i="2"/>
  <c r="U296" i="2"/>
  <c r="L297" i="2"/>
  <c r="M297" i="2"/>
  <c r="N297" i="2"/>
  <c r="O297" i="2"/>
  <c r="P297" i="2"/>
  <c r="Q297" i="2"/>
  <c r="R297" i="2"/>
  <c r="S297" i="2"/>
  <c r="T297" i="2"/>
  <c r="U297" i="2"/>
  <c r="L298" i="2"/>
  <c r="M298" i="2"/>
  <c r="N298" i="2"/>
  <c r="O298" i="2"/>
  <c r="P298" i="2"/>
  <c r="Q298" i="2"/>
  <c r="R298" i="2"/>
  <c r="S298" i="2"/>
  <c r="T298" i="2"/>
  <c r="U298" i="2"/>
  <c r="L299" i="2"/>
  <c r="M299" i="2"/>
  <c r="N299" i="2"/>
  <c r="O299" i="2"/>
  <c r="P299" i="2"/>
  <c r="Q299" i="2"/>
  <c r="R299" i="2"/>
  <c r="S299" i="2"/>
  <c r="T299" i="2"/>
  <c r="U299" i="2"/>
  <c r="L300" i="2"/>
  <c r="M300" i="2"/>
  <c r="N300" i="2"/>
  <c r="O300" i="2"/>
  <c r="P300" i="2"/>
  <c r="Q300" i="2"/>
  <c r="R300" i="2"/>
  <c r="S300" i="2"/>
  <c r="T300" i="2"/>
  <c r="U300" i="2"/>
  <c r="L301" i="2"/>
  <c r="M301" i="2"/>
  <c r="N301" i="2"/>
  <c r="O301" i="2"/>
  <c r="P301" i="2"/>
  <c r="Q301" i="2"/>
  <c r="R301" i="2"/>
  <c r="S301" i="2"/>
  <c r="T301" i="2"/>
  <c r="U301" i="2"/>
  <c r="L302" i="2"/>
  <c r="M302" i="2"/>
  <c r="N302" i="2"/>
  <c r="O302" i="2"/>
  <c r="P302" i="2"/>
  <c r="Q302" i="2"/>
  <c r="R302" i="2"/>
  <c r="S302" i="2"/>
  <c r="T302" i="2"/>
  <c r="U302" i="2"/>
  <c r="L303" i="2"/>
  <c r="M303" i="2"/>
  <c r="N303" i="2"/>
  <c r="O303" i="2"/>
  <c r="P303" i="2"/>
  <c r="Q303" i="2"/>
  <c r="R303" i="2"/>
  <c r="S303" i="2"/>
  <c r="T303" i="2"/>
  <c r="U303" i="2"/>
  <c r="L304" i="2"/>
  <c r="M304" i="2"/>
  <c r="N304" i="2"/>
  <c r="O304" i="2"/>
  <c r="P304" i="2"/>
  <c r="Q304" i="2"/>
  <c r="R304" i="2"/>
  <c r="S304" i="2"/>
  <c r="T304" i="2"/>
  <c r="U304" i="2"/>
  <c r="L305" i="2"/>
  <c r="M305" i="2"/>
  <c r="N305" i="2"/>
  <c r="O305" i="2"/>
  <c r="P305" i="2"/>
  <c r="Q305" i="2"/>
  <c r="R305" i="2"/>
  <c r="S305" i="2"/>
  <c r="T305" i="2"/>
  <c r="U305" i="2"/>
  <c r="L306" i="2"/>
  <c r="M306" i="2"/>
  <c r="N306" i="2"/>
  <c r="O306" i="2"/>
  <c r="P306" i="2"/>
  <c r="Q306" i="2"/>
  <c r="R306" i="2"/>
  <c r="S306" i="2"/>
  <c r="T306" i="2"/>
  <c r="U306" i="2"/>
  <c r="L307" i="2"/>
  <c r="M307" i="2"/>
  <c r="N307" i="2"/>
  <c r="O307" i="2"/>
  <c r="P307" i="2"/>
  <c r="Q307" i="2"/>
  <c r="R307" i="2"/>
  <c r="S307" i="2"/>
  <c r="T307" i="2"/>
  <c r="U307" i="2"/>
  <c r="L308" i="2"/>
  <c r="M308" i="2"/>
  <c r="N308" i="2"/>
  <c r="O308" i="2"/>
  <c r="P308" i="2"/>
  <c r="Q308" i="2"/>
  <c r="R308" i="2"/>
  <c r="S308" i="2"/>
  <c r="T308" i="2"/>
  <c r="U308" i="2"/>
  <c r="L309" i="2"/>
  <c r="M309" i="2"/>
  <c r="N309" i="2"/>
  <c r="O309" i="2"/>
  <c r="P309" i="2"/>
  <c r="Q309" i="2"/>
  <c r="R309" i="2"/>
  <c r="S309" i="2"/>
  <c r="T309" i="2"/>
  <c r="U309" i="2"/>
  <c r="L310" i="2"/>
  <c r="M310" i="2"/>
  <c r="N310" i="2"/>
  <c r="O310" i="2"/>
  <c r="P310" i="2"/>
  <c r="Q310" i="2"/>
  <c r="R310" i="2"/>
  <c r="S310" i="2"/>
  <c r="T310" i="2"/>
  <c r="U310" i="2"/>
  <c r="L311" i="2"/>
  <c r="M311" i="2"/>
  <c r="N311" i="2"/>
  <c r="O311" i="2"/>
  <c r="P311" i="2"/>
  <c r="Q311" i="2"/>
  <c r="R311" i="2"/>
  <c r="S311" i="2"/>
  <c r="T311" i="2"/>
  <c r="U311" i="2"/>
  <c r="L312" i="2"/>
  <c r="M312" i="2"/>
  <c r="N312" i="2"/>
  <c r="O312" i="2"/>
  <c r="P312" i="2"/>
  <c r="Q312" i="2"/>
  <c r="R312" i="2"/>
  <c r="S312" i="2"/>
  <c r="T312" i="2"/>
  <c r="U312" i="2"/>
  <c r="L313" i="2"/>
  <c r="M313" i="2"/>
  <c r="N313" i="2"/>
  <c r="O313" i="2"/>
  <c r="P313" i="2"/>
  <c r="Q313" i="2"/>
  <c r="R313" i="2"/>
  <c r="S313" i="2"/>
  <c r="T313" i="2"/>
  <c r="U313" i="2"/>
  <c r="L314" i="2"/>
  <c r="M314" i="2"/>
  <c r="N314" i="2"/>
  <c r="O314" i="2"/>
  <c r="P314" i="2"/>
  <c r="Q314" i="2"/>
  <c r="R314" i="2"/>
  <c r="S314" i="2"/>
  <c r="T314" i="2"/>
  <c r="U314" i="2"/>
  <c r="L315" i="2"/>
  <c r="M315" i="2"/>
  <c r="N315" i="2"/>
  <c r="O315" i="2"/>
  <c r="P315" i="2"/>
  <c r="Q315" i="2"/>
  <c r="R315" i="2"/>
  <c r="S315" i="2"/>
  <c r="T315" i="2"/>
  <c r="U315" i="2"/>
  <c r="L316" i="2"/>
  <c r="M316" i="2"/>
  <c r="N316" i="2"/>
  <c r="O316" i="2"/>
  <c r="P316" i="2"/>
  <c r="Q316" i="2"/>
  <c r="R316" i="2"/>
  <c r="S316" i="2"/>
  <c r="T316" i="2"/>
  <c r="U316" i="2"/>
  <c r="L317" i="2"/>
  <c r="M317" i="2"/>
  <c r="N317" i="2"/>
  <c r="O317" i="2"/>
  <c r="P317" i="2"/>
  <c r="Q317" i="2"/>
  <c r="R317" i="2"/>
  <c r="S317" i="2"/>
  <c r="T317" i="2"/>
  <c r="U317" i="2"/>
  <c r="L318" i="2"/>
  <c r="M318" i="2"/>
  <c r="N318" i="2"/>
  <c r="O318" i="2"/>
  <c r="P318" i="2"/>
  <c r="Q318" i="2"/>
  <c r="R318" i="2"/>
  <c r="S318" i="2"/>
  <c r="T318" i="2"/>
  <c r="U318" i="2"/>
  <c r="L319" i="2"/>
  <c r="M319" i="2"/>
  <c r="N319" i="2"/>
  <c r="O319" i="2"/>
  <c r="P319" i="2"/>
  <c r="Q319" i="2"/>
  <c r="R319" i="2"/>
  <c r="S319" i="2"/>
  <c r="T319" i="2"/>
  <c r="U319" i="2"/>
  <c r="L320" i="2"/>
  <c r="M320" i="2"/>
  <c r="N320" i="2"/>
  <c r="O320" i="2"/>
  <c r="P320" i="2"/>
  <c r="Q320" i="2"/>
  <c r="R320" i="2"/>
  <c r="S320" i="2"/>
  <c r="T320" i="2"/>
  <c r="U320" i="2"/>
  <c r="L321" i="2"/>
  <c r="M321" i="2"/>
  <c r="N321" i="2"/>
  <c r="O321" i="2"/>
  <c r="P321" i="2"/>
  <c r="Q321" i="2"/>
  <c r="R321" i="2"/>
  <c r="S321" i="2"/>
  <c r="T321" i="2"/>
  <c r="U321" i="2"/>
  <c r="L322" i="2"/>
  <c r="M322" i="2"/>
  <c r="N322" i="2"/>
  <c r="O322" i="2"/>
  <c r="P322" i="2"/>
  <c r="Q322" i="2"/>
  <c r="R322" i="2"/>
  <c r="S322" i="2"/>
  <c r="T322" i="2"/>
  <c r="U322" i="2"/>
  <c r="L323" i="2"/>
  <c r="M323" i="2"/>
  <c r="N323" i="2"/>
  <c r="O323" i="2"/>
  <c r="P323" i="2"/>
  <c r="Q323" i="2"/>
  <c r="R323" i="2"/>
  <c r="S323" i="2"/>
  <c r="T323" i="2"/>
  <c r="U323" i="2"/>
  <c r="L324" i="2"/>
  <c r="M324" i="2"/>
  <c r="N324" i="2"/>
  <c r="O324" i="2"/>
  <c r="P324" i="2"/>
  <c r="Q324" i="2"/>
  <c r="R324" i="2"/>
  <c r="S324" i="2"/>
  <c r="T324" i="2"/>
  <c r="U324" i="2"/>
  <c r="L325" i="2"/>
  <c r="M325" i="2"/>
  <c r="N325" i="2"/>
  <c r="O325" i="2"/>
  <c r="P325" i="2"/>
  <c r="Q325" i="2"/>
  <c r="R325" i="2"/>
  <c r="S325" i="2"/>
  <c r="T325" i="2"/>
  <c r="U325" i="2"/>
  <c r="L326" i="2"/>
  <c r="M326" i="2"/>
  <c r="N326" i="2"/>
  <c r="O326" i="2"/>
  <c r="P326" i="2"/>
  <c r="Q326" i="2"/>
  <c r="R326" i="2"/>
  <c r="S326" i="2"/>
  <c r="T326" i="2"/>
  <c r="U326" i="2"/>
  <c r="L327" i="2"/>
  <c r="M327" i="2"/>
  <c r="N327" i="2"/>
  <c r="O327" i="2"/>
  <c r="P327" i="2"/>
  <c r="Q327" i="2"/>
  <c r="R327" i="2"/>
  <c r="S327" i="2"/>
  <c r="T327" i="2"/>
  <c r="U327" i="2"/>
  <c r="L328" i="2"/>
  <c r="M328" i="2"/>
  <c r="N328" i="2"/>
  <c r="O328" i="2"/>
  <c r="P328" i="2"/>
  <c r="Q328" i="2"/>
  <c r="R328" i="2"/>
  <c r="S328" i="2"/>
  <c r="T328" i="2"/>
  <c r="U328" i="2"/>
  <c r="L329" i="2"/>
  <c r="M329" i="2"/>
  <c r="N329" i="2"/>
  <c r="O329" i="2"/>
  <c r="P329" i="2"/>
  <c r="Q329" i="2"/>
  <c r="R329" i="2"/>
  <c r="S329" i="2"/>
  <c r="T329" i="2"/>
  <c r="U329" i="2"/>
  <c r="L330" i="2"/>
  <c r="M330" i="2"/>
  <c r="N330" i="2"/>
  <c r="O330" i="2"/>
  <c r="P330" i="2"/>
  <c r="Q330" i="2"/>
  <c r="R330" i="2"/>
  <c r="S330" i="2"/>
  <c r="T330" i="2"/>
  <c r="U330" i="2"/>
  <c r="L331" i="2"/>
  <c r="M331" i="2"/>
  <c r="N331" i="2"/>
  <c r="O331" i="2"/>
  <c r="P331" i="2"/>
  <c r="Q331" i="2"/>
  <c r="R331" i="2"/>
  <c r="S331" i="2"/>
  <c r="T331" i="2"/>
  <c r="U331" i="2"/>
  <c r="L332" i="2"/>
  <c r="M332" i="2"/>
  <c r="N332" i="2"/>
  <c r="O332" i="2"/>
  <c r="P332" i="2"/>
  <c r="Q332" i="2"/>
  <c r="R332" i="2"/>
  <c r="S332" i="2"/>
  <c r="T332" i="2"/>
  <c r="U332" i="2"/>
  <c r="L333" i="2"/>
  <c r="M333" i="2"/>
  <c r="N333" i="2"/>
  <c r="O333" i="2"/>
  <c r="P333" i="2"/>
  <c r="Q333" i="2"/>
  <c r="R333" i="2"/>
  <c r="S333" i="2"/>
  <c r="T333" i="2"/>
  <c r="U333" i="2"/>
  <c r="L334" i="2"/>
  <c r="M334" i="2"/>
  <c r="N334" i="2"/>
  <c r="O334" i="2"/>
  <c r="P334" i="2"/>
  <c r="Q334" i="2"/>
  <c r="R334" i="2"/>
  <c r="S334" i="2"/>
  <c r="T334" i="2"/>
  <c r="U334" i="2"/>
  <c r="L335" i="2"/>
  <c r="M335" i="2"/>
  <c r="N335" i="2"/>
  <c r="O335" i="2"/>
  <c r="P335" i="2"/>
  <c r="Q335" i="2"/>
  <c r="R335" i="2"/>
  <c r="S335" i="2"/>
  <c r="T335" i="2"/>
  <c r="U335" i="2"/>
  <c r="L336" i="2"/>
  <c r="M336" i="2"/>
  <c r="N336" i="2"/>
  <c r="O336" i="2"/>
  <c r="P336" i="2"/>
  <c r="Q336" i="2"/>
  <c r="R336" i="2"/>
  <c r="S336" i="2"/>
  <c r="T336" i="2"/>
  <c r="U336" i="2"/>
  <c r="L337" i="2"/>
  <c r="M337" i="2"/>
  <c r="N337" i="2"/>
  <c r="O337" i="2"/>
  <c r="P337" i="2"/>
  <c r="Q337" i="2"/>
  <c r="R337" i="2"/>
  <c r="S337" i="2"/>
  <c r="T337" i="2"/>
  <c r="U337" i="2"/>
  <c r="L338" i="2"/>
  <c r="M338" i="2"/>
  <c r="N338" i="2"/>
  <c r="O338" i="2"/>
  <c r="P338" i="2"/>
  <c r="Q338" i="2"/>
  <c r="R338" i="2"/>
  <c r="S338" i="2"/>
  <c r="T338" i="2"/>
  <c r="U338" i="2"/>
  <c r="L339" i="2"/>
  <c r="M339" i="2"/>
  <c r="N339" i="2"/>
  <c r="O339" i="2"/>
  <c r="P339" i="2"/>
  <c r="Q339" i="2"/>
  <c r="R339" i="2"/>
  <c r="S339" i="2"/>
  <c r="T339" i="2"/>
  <c r="U339" i="2"/>
  <c r="L340" i="2"/>
  <c r="M340" i="2"/>
  <c r="N340" i="2"/>
  <c r="O340" i="2"/>
  <c r="P340" i="2"/>
  <c r="Q340" i="2"/>
  <c r="R340" i="2"/>
  <c r="S340" i="2"/>
  <c r="T340" i="2"/>
  <c r="U340" i="2"/>
  <c r="L341" i="2"/>
  <c r="M341" i="2"/>
  <c r="N341" i="2"/>
  <c r="O341" i="2"/>
  <c r="P341" i="2"/>
  <c r="Q341" i="2"/>
  <c r="R341" i="2"/>
  <c r="S341" i="2"/>
  <c r="T341" i="2"/>
  <c r="U341" i="2"/>
  <c r="L342" i="2"/>
  <c r="M342" i="2"/>
  <c r="N342" i="2"/>
  <c r="O342" i="2"/>
  <c r="P342" i="2"/>
  <c r="Q342" i="2"/>
  <c r="R342" i="2"/>
  <c r="S342" i="2"/>
  <c r="T342" i="2"/>
  <c r="U342" i="2"/>
  <c r="L343" i="2"/>
  <c r="M343" i="2"/>
  <c r="N343" i="2"/>
  <c r="O343" i="2"/>
  <c r="P343" i="2"/>
  <c r="Q343" i="2"/>
  <c r="R343" i="2"/>
  <c r="S343" i="2"/>
  <c r="T343" i="2"/>
  <c r="U343" i="2"/>
  <c r="L344" i="2"/>
  <c r="M344" i="2"/>
  <c r="N344" i="2"/>
  <c r="O344" i="2"/>
  <c r="P344" i="2"/>
  <c r="Q344" i="2"/>
  <c r="R344" i="2"/>
  <c r="S344" i="2"/>
  <c r="T344" i="2"/>
  <c r="U344" i="2"/>
  <c r="L345" i="2"/>
  <c r="M345" i="2"/>
  <c r="N345" i="2"/>
  <c r="O345" i="2"/>
  <c r="P345" i="2"/>
  <c r="Q345" i="2"/>
  <c r="R345" i="2"/>
  <c r="S345" i="2"/>
  <c r="T345" i="2"/>
  <c r="U345" i="2"/>
  <c r="L346" i="2"/>
  <c r="M346" i="2"/>
  <c r="N346" i="2"/>
  <c r="O346" i="2"/>
  <c r="P346" i="2"/>
  <c r="Q346" i="2"/>
  <c r="R346" i="2"/>
  <c r="S346" i="2"/>
  <c r="T346" i="2"/>
  <c r="U346" i="2"/>
  <c r="L347" i="2"/>
  <c r="M347" i="2"/>
  <c r="N347" i="2"/>
  <c r="O347" i="2"/>
  <c r="P347" i="2"/>
  <c r="Q347" i="2"/>
  <c r="R347" i="2"/>
  <c r="S347" i="2"/>
  <c r="T347" i="2"/>
  <c r="U347" i="2"/>
  <c r="L348" i="2"/>
  <c r="M348" i="2"/>
  <c r="N348" i="2"/>
  <c r="O348" i="2"/>
  <c r="P348" i="2"/>
  <c r="Q348" i="2"/>
  <c r="R348" i="2"/>
  <c r="S348" i="2"/>
  <c r="T348" i="2"/>
  <c r="U348" i="2"/>
  <c r="L349" i="2"/>
  <c r="M349" i="2"/>
  <c r="N349" i="2"/>
  <c r="O349" i="2"/>
  <c r="P349" i="2"/>
  <c r="Q349" i="2"/>
  <c r="R349" i="2"/>
  <c r="S349" i="2"/>
  <c r="T349" i="2"/>
  <c r="U349" i="2"/>
  <c r="L350" i="2"/>
  <c r="M350" i="2"/>
  <c r="N350" i="2"/>
  <c r="O350" i="2"/>
  <c r="P350" i="2"/>
  <c r="Q350" i="2"/>
  <c r="R350" i="2"/>
  <c r="S350" i="2"/>
  <c r="T350" i="2"/>
  <c r="U350" i="2"/>
  <c r="L351" i="2"/>
  <c r="M351" i="2"/>
  <c r="N351" i="2"/>
  <c r="O351" i="2"/>
  <c r="P351" i="2"/>
  <c r="Q351" i="2"/>
  <c r="R351" i="2"/>
  <c r="S351" i="2"/>
  <c r="T351" i="2"/>
  <c r="U351" i="2"/>
  <c r="L352" i="2"/>
  <c r="M352" i="2"/>
  <c r="N352" i="2"/>
  <c r="O352" i="2"/>
  <c r="P352" i="2"/>
  <c r="Q352" i="2"/>
  <c r="R352" i="2"/>
  <c r="S352" i="2"/>
  <c r="T352" i="2"/>
  <c r="U352" i="2"/>
  <c r="L353" i="2"/>
  <c r="M353" i="2"/>
  <c r="N353" i="2"/>
  <c r="O353" i="2"/>
  <c r="P353" i="2"/>
  <c r="Q353" i="2"/>
  <c r="R353" i="2"/>
  <c r="S353" i="2"/>
  <c r="T353" i="2"/>
  <c r="U353" i="2"/>
  <c r="L354" i="2"/>
  <c r="M354" i="2"/>
  <c r="N354" i="2"/>
  <c r="O354" i="2"/>
  <c r="P354" i="2"/>
  <c r="Q354" i="2"/>
  <c r="R354" i="2"/>
  <c r="S354" i="2"/>
  <c r="T354" i="2"/>
  <c r="U354" i="2"/>
  <c r="L355" i="2"/>
  <c r="M355" i="2"/>
  <c r="N355" i="2"/>
  <c r="O355" i="2"/>
  <c r="P355" i="2"/>
  <c r="Q355" i="2"/>
  <c r="R355" i="2"/>
  <c r="S355" i="2"/>
  <c r="T355" i="2"/>
  <c r="U355" i="2"/>
  <c r="L356" i="2"/>
  <c r="M356" i="2"/>
  <c r="N356" i="2"/>
  <c r="O356" i="2"/>
  <c r="P356" i="2"/>
  <c r="Q356" i="2"/>
  <c r="R356" i="2"/>
  <c r="S356" i="2"/>
  <c r="T356" i="2"/>
  <c r="U356" i="2"/>
  <c r="L357" i="2"/>
  <c r="M357" i="2"/>
  <c r="N357" i="2"/>
  <c r="O357" i="2"/>
  <c r="P357" i="2"/>
  <c r="Q357" i="2"/>
  <c r="R357" i="2"/>
  <c r="S357" i="2"/>
  <c r="T357" i="2"/>
  <c r="U357" i="2"/>
  <c r="L358" i="2"/>
  <c r="M358" i="2"/>
  <c r="N358" i="2"/>
  <c r="O358" i="2"/>
  <c r="P358" i="2"/>
  <c r="Q358" i="2"/>
  <c r="R358" i="2"/>
  <c r="S358" i="2"/>
  <c r="T358" i="2"/>
  <c r="U358" i="2"/>
  <c r="L359" i="2"/>
  <c r="M359" i="2"/>
  <c r="N359" i="2"/>
  <c r="O359" i="2"/>
  <c r="P359" i="2"/>
  <c r="Q359" i="2"/>
  <c r="R359" i="2"/>
  <c r="S359" i="2"/>
  <c r="T359" i="2"/>
  <c r="U359" i="2"/>
  <c r="L360" i="2"/>
  <c r="M360" i="2"/>
  <c r="N360" i="2"/>
  <c r="O360" i="2"/>
  <c r="P360" i="2"/>
  <c r="Q360" i="2"/>
  <c r="R360" i="2"/>
  <c r="S360" i="2"/>
  <c r="T360" i="2"/>
  <c r="U360" i="2"/>
  <c r="L361" i="2"/>
  <c r="M361" i="2"/>
  <c r="N361" i="2"/>
  <c r="O361" i="2"/>
  <c r="P361" i="2"/>
  <c r="Q361" i="2"/>
  <c r="R361" i="2"/>
  <c r="S361" i="2"/>
  <c r="T361" i="2"/>
  <c r="U361" i="2"/>
  <c r="L362" i="2"/>
  <c r="M362" i="2"/>
  <c r="N362" i="2"/>
  <c r="O362" i="2"/>
  <c r="P362" i="2"/>
  <c r="Q362" i="2"/>
  <c r="R362" i="2"/>
  <c r="S362" i="2"/>
  <c r="T362" i="2"/>
  <c r="U362" i="2"/>
  <c r="L363" i="2"/>
  <c r="M363" i="2"/>
  <c r="N363" i="2"/>
  <c r="O363" i="2"/>
  <c r="P363" i="2"/>
  <c r="Q363" i="2"/>
  <c r="R363" i="2"/>
  <c r="S363" i="2"/>
  <c r="T363" i="2"/>
  <c r="U363" i="2"/>
  <c r="L364" i="2"/>
  <c r="M364" i="2"/>
  <c r="N364" i="2"/>
  <c r="O364" i="2"/>
  <c r="P364" i="2"/>
  <c r="Q364" i="2"/>
  <c r="R364" i="2"/>
  <c r="S364" i="2"/>
  <c r="T364" i="2"/>
  <c r="U364" i="2"/>
  <c r="L365" i="2"/>
  <c r="M365" i="2"/>
  <c r="N365" i="2"/>
  <c r="O365" i="2"/>
  <c r="P365" i="2"/>
  <c r="Q365" i="2"/>
  <c r="R365" i="2"/>
  <c r="S365" i="2"/>
  <c r="T365" i="2"/>
  <c r="U365" i="2"/>
  <c r="L366" i="2"/>
  <c r="M366" i="2"/>
  <c r="N366" i="2"/>
  <c r="O366" i="2"/>
  <c r="P366" i="2"/>
  <c r="Q366" i="2"/>
  <c r="R366" i="2"/>
  <c r="S366" i="2"/>
  <c r="T366" i="2"/>
  <c r="U366" i="2"/>
  <c r="L367" i="2"/>
  <c r="M367" i="2"/>
  <c r="N367" i="2"/>
  <c r="O367" i="2"/>
  <c r="P367" i="2"/>
  <c r="Q367" i="2"/>
  <c r="R367" i="2"/>
  <c r="S367" i="2"/>
  <c r="T367" i="2"/>
  <c r="U367" i="2"/>
  <c r="L368" i="2"/>
  <c r="M368" i="2"/>
  <c r="N368" i="2"/>
  <c r="O368" i="2"/>
  <c r="P368" i="2"/>
  <c r="Q368" i="2"/>
  <c r="R368" i="2"/>
  <c r="S368" i="2"/>
  <c r="T368" i="2"/>
  <c r="U368" i="2"/>
  <c r="L369" i="2"/>
  <c r="M369" i="2"/>
  <c r="N369" i="2"/>
  <c r="O369" i="2"/>
  <c r="P369" i="2"/>
  <c r="Q369" i="2"/>
  <c r="R369" i="2"/>
  <c r="S369" i="2"/>
  <c r="T369" i="2"/>
  <c r="U369" i="2"/>
  <c r="L370" i="2"/>
  <c r="M370" i="2"/>
  <c r="N370" i="2"/>
  <c r="O370" i="2"/>
  <c r="P370" i="2"/>
  <c r="Q370" i="2"/>
  <c r="R370" i="2"/>
  <c r="S370" i="2"/>
  <c r="T370" i="2"/>
  <c r="U370" i="2"/>
  <c r="L371" i="2"/>
  <c r="M371" i="2"/>
  <c r="N371" i="2"/>
  <c r="O371" i="2"/>
  <c r="P371" i="2"/>
  <c r="Q371" i="2"/>
  <c r="R371" i="2"/>
  <c r="S371" i="2"/>
  <c r="T371" i="2"/>
  <c r="U371" i="2"/>
  <c r="L372" i="2"/>
  <c r="M372" i="2"/>
  <c r="N372" i="2"/>
  <c r="O372" i="2"/>
  <c r="P372" i="2"/>
  <c r="Q372" i="2"/>
  <c r="R372" i="2"/>
  <c r="S372" i="2"/>
  <c r="T372" i="2"/>
  <c r="U372" i="2"/>
  <c r="L373" i="2"/>
  <c r="M373" i="2"/>
  <c r="N373" i="2"/>
  <c r="O373" i="2"/>
  <c r="P373" i="2"/>
  <c r="Q373" i="2"/>
  <c r="R373" i="2"/>
  <c r="S373" i="2"/>
  <c r="T373" i="2"/>
  <c r="U373" i="2"/>
  <c r="L374" i="2"/>
  <c r="M374" i="2"/>
  <c r="N374" i="2"/>
  <c r="O374" i="2"/>
  <c r="P374" i="2"/>
  <c r="Q374" i="2"/>
  <c r="R374" i="2"/>
  <c r="S374" i="2"/>
  <c r="T374" i="2"/>
  <c r="U374" i="2"/>
  <c r="L375" i="2"/>
  <c r="M375" i="2"/>
  <c r="N375" i="2"/>
  <c r="O375" i="2"/>
  <c r="P375" i="2"/>
  <c r="Q375" i="2"/>
  <c r="R375" i="2"/>
  <c r="S375" i="2"/>
  <c r="T375" i="2"/>
  <c r="U375" i="2"/>
  <c r="L376" i="2"/>
  <c r="M376" i="2"/>
  <c r="N376" i="2"/>
  <c r="O376" i="2"/>
  <c r="P376" i="2"/>
  <c r="Q376" i="2"/>
  <c r="R376" i="2"/>
  <c r="S376" i="2"/>
  <c r="T376" i="2"/>
  <c r="U376" i="2"/>
  <c r="L377" i="2"/>
  <c r="M377" i="2"/>
  <c r="N377" i="2"/>
  <c r="O377" i="2"/>
  <c r="P377" i="2"/>
  <c r="Q377" i="2"/>
  <c r="R377" i="2"/>
  <c r="S377" i="2"/>
  <c r="T377" i="2"/>
  <c r="U377" i="2"/>
  <c r="L378" i="2"/>
  <c r="M378" i="2"/>
  <c r="N378" i="2"/>
  <c r="O378" i="2"/>
  <c r="P378" i="2"/>
  <c r="Q378" i="2"/>
  <c r="R378" i="2"/>
  <c r="S378" i="2"/>
  <c r="T378" i="2"/>
  <c r="U378" i="2"/>
  <c r="L379" i="2"/>
  <c r="M379" i="2"/>
  <c r="N379" i="2"/>
  <c r="O379" i="2"/>
  <c r="P379" i="2"/>
  <c r="Q379" i="2"/>
  <c r="R379" i="2"/>
  <c r="S379" i="2"/>
  <c r="T379" i="2"/>
  <c r="U379" i="2"/>
  <c r="L380" i="2"/>
  <c r="M380" i="2"/>
  <c r="N380" i="2"/>
  <c r="O380" i="2"/>
  <c r="P380" i="2"/>
  <c r="Q380" i="2"/>
  <c r="R380" i="2"/>
  <c r="S380" i="2"/>
  <c r="T380" i="2"/>
  <c r="U380" i="2"/>
  <c r="L381" i="2"/>
  <c r="M381" i="2"/>
  <c r="N381" i="2"/>
  <c r="O381" i="2"/>
  <c r="P381" i="2"/>
  <c r="Q381" i="2"/>
  <c r="R381" i="2"/>
  <c r="S381" i="2"/>
  <c r="T381" i="2"/>
  <c r="U381" i="2"/>
  <c r="L382" i="2"/>
  <c r="M382" i="2"/>
  <c r="N382" i="2"/>
  <c r="O382" i="2"/>
  <c r="P382" i="2"/>
  <c r="Q382" i="2"/>
  <c r="R382" i="2"/>
  <c r="S382" i="2"/>
  <c r="T382" i="2"/>
  <c r="U382" i="2"/>
  <c r="L383" i="2"/>
  <c r="M383" i="2"/>
  <c r="N383" i="2"/>
  <c r="O383" i="2"/>
  <c r="P383" i="2"/>
  <c r="Q383" i="2"/>
  <c r="R383" i="2"/>
  <c r="S383" i="2"/>
  <c r="T383" i="2"/>
  <c r="U383" i="2"/>
  <c r="L384" i="2"/>
  <c r="M384" i="2"/>
  <c r="N384" i="2"/>
  <c r="O384" i="2"/>
  <c r="P384" i="2"/>
  <c r="Q384" i="2"/>
  <c r="R384" i="2"/>
  <c r="S384" i="2"/>
  <c r="T384" i="2"/>
  <c r="U384" i="2"/>
  <c r="L385" i="2"/>
  <c r="M385" i="2"/>
  <c r="N385" i="2"/>
  <c r="O385" i="2"/>
  <c r="P385" i="2"/>
  <c r="Q385" i="2"/>
  <c r="R385" i="2"/>
  <c r="S385" i="2"/>
  <c r="T385" i="2"/>
  <c r="U385" i="2"/>
  <c r="L386" i="2"/>
  <c r="M386" i="2"/>
  <c r="N386" i="2"/>
  <c r="O386" i="2"/>
  <c r="P386" i="2"/>
  <c r="Q386" i="2"/>
  <c r="R386" i="2"/>
  <c r="S386" i="2"/>
  <c r="T386" i="2"/>
  <c r="U386" i="2"/>
  <c r="L387" i="2"/>
  <c r="M387" i="2"/>
  <c r="N387" i="2"/>
  <c r="O387" i="2"/>
  <c r="P387" i="2"/>
  <c r="Q387" i="2"/>
  <c r="R387" i="2"/>
  <c r="S387" i="2"/>
  <c r="T387" i="2"/>
  <c r="U387" i="2"/>
  <c r="L388" i="2"/>
  <c r="M388" i="2"/>
  <c r="N388" i="2"/>
  <c r="O388" i="2"/>
  <c r="P388" i="2"/>
  <c r="Q388" i="2"/>
  <c r="R388" i="2"/>
  <c r="S388" i="2"/>
  <c r="T388" i="2"/>
  <c r="U388" i="2"/>
  <c r="L389" i="2"/>
  <c r="M389" i="2"/>
  <c r="N389" i="2"/>
  <c r="O389" i="2"/>
  <c r="P389" i="2"/>
  <c r="Q389" i="2"/>
  <c r="R389" i="2"/>
  <c r="S389" i="2"/>
  <c r="T389" i="2"/>
  <c r="U389" i="2"/>
  <c r="L390" i="2"/>
  <c r="M390" i="2"/>
  <c r="N390" i="2"/>
  <c r="O390" i="2"/>
  <c r="P390" i="2"/>
  <c r="Q390" i="2"/>
  <c r="R390" i="2"/>
  <c r="S390" i="2"/>
  <c r="T390" i="2"/>
  <c r="U390" i="2"/>
  <c r="L391" i="2"/>
  <c r="M391" i="2"/>
  <c r="N391" i="2"/>
  <c r="O391" i="2"/>
  <c r="P391" i="2"/>
  <c r="Q391" i="2"/>
  <c r="R391" i="2"/>
  <c r="S391" i="2"/>
  <c r="T391" i="2"/>
  <c r="U391" i="2"/>
  <c r="L392" i="2"/>
  <c r="M392" i="2"/>
  <c r="N392" i="2"/>
  <c r="O392" i="2"/>
  <c r="P392" i="2"/>
  <c r="Q392" i="2"/>
  <c r="R392" i="2"/>
  <c r="S392" i="2"/>
  <c r="T392" i="2"/>
  <c r="U392" i="2"/>
  <c r="L393" i="2"/>
  <c r="M393" i="2"/>
  <c r="N393" i="2"/>
  <c r="O393" i="2"/>
  <c r="P393" i="2"/>
  <c r="Q393" i="2"/>
  <c r="R393" i="2"/>
  <c r="S393" i="2"/>
  <c r="T393" i="2"/>
  <c r="U393" i="2"/>
  <c r="L394" i="2"/>
  <c r="M394" i="2"/>
  <c r="N394" i="2"/>
  <c r="O394" i="2"/>
  <c r="P394" i="2"/>
  <c r="Q394" i="2"/>
  <c r="R394" i="2"/>
  <c r="S394" i="2"/>
  <c r="T394" i="2"/>
  <c r="U394" i="2"/>
  <c r="L395" i="2"/>
  <c r="M395" i="2"/>
  <c r="N395" i="2"/>
  <c r="O395" i="2"/>
  <c r="P395" i="2"/>
  <c r="Q395" i="2"/>
  <c r="R395" i="2"/>
  <c r="S395" i="2"/>
  <c r="T395" i="2"/>
  <c r="U395" i="2"/>
  <c r="L396" i="2"/>
  <c r="M396" i="2"/>
  <c r="N396" i="2"/>
  <c r="O396" i="2"/>
  <c r="P396" i="2"/>
  <c r="Q396" i="2"/>
  <c r="R396" i="2"/>
  <c r="S396" i="2"/>
  <c r="T396" i="2"/>
  <c r="U396" i="2"/>
  <c r="L397" i="2"/>
  <c r="M397" i="2"/>
  <c r="N397" i="2"/>
  <c r="O397" i="2"/>
  <c r="P397" i="2"/>
  <c r="Q397" i="2"/>
  <c r="R397" i="2"/>
  <c r="S397" i="2"/>
  <c r="T397" i="2"/>
  <c r="U397" i="2"/>
  <c r="L398" i="2"/>
  <c r="M398" i="2"/>
  <c r="N398" i="2"/>
  <c r="O398" i="2"/>
  <c r="P398" i="2"/>
  <c r="Q398" i="2"/>
  <c r="R398" i="2"/>
  <c r="S398" i="2"/>
  <c r="T398" i="2"/>
  <c r="U398" i="2"/>
  <c r="L399" i="2"/>
  <c r="M399" i="2"/>
  <c r="N399" i="2"/>
  <c r="O399" i="2"/>
  <c r="P399" i="2"/>
  <c r="Q399" i="2"/>
  <c r="R399" i="2"/>
  <c r="S399" i="2"/>
  <c r="T399" i="2"/>
  <c r="U399" i="2"/>
  <c r="L400" i="2"/>
  <c r="M400" i="2"/>
  <c r="N400" i="2"/>
  <c r="O400" i="2"/>
  <c r="P400" i="2"/>
  <c r="Q400" i="2"/>
  <c r="R400" i="2"/>
  <c r="S400" i="2"/>
  <c r="T400" i="2"/>
  <c r="U400" i="2"/>
  <c r="L401" i="2"/>
  <c r="M401" i="2"/>
  <c r="N401" i="2"/>
  <c r="O401" i="2"/>
  <c r="P401" i="2"/>
  <c r="Q401" i="2"/>
  <c r="R401" i="2"/>
  <c r="S401" i="2"/>
  <c r="T401" i="2"/>
  <c r="U401" i="2"/>
  <c r="L402" i="2"/>
  <c r="M402" i="2"/>
  <c r="N402" i="2"/>
  <c r="O402" i="2"/>
  <c r="P402" i="2"/>
  <c r="Q402" i="2"/>
  <c r="R402" i="2"/>
  <c r="S402" i="2"/>
  <c r="T402" i="2"/>
  <c r="U402" i="2"/>
  <c r="L403" i="2"/>
  <c r="M403" i="2"/>
  <c r="N403" i="2"/>
  <c r="O403" i="2"/>
  <c r="P403" i="2"/>
  <c r="Q403" i="2"/>
  <c r="R403" i="2"/>
  <c r="S403" i="2"/>
  <c r="T403" i="2"/>
  <c r="U403" i="2"/>
  <c r="L404" i="2"/>
  <c r="M404" i="2"/>
  <c r="N404" i="2"/>
  <c r="O404" i="2"/>
  <c r="P404" i="2"/>
  <c r="Q404" i="2"/>
  <c r="R404" i="2"/>
  <c r="S404" i="2"/>
  <c r="T404" i="2"/>
  <c r="U404" i="2"/>
  <c r="L405" i="2"/>
  <c r="M405" i="2"/>
  <c r="N405" i="2"/>
  <c r="O405" i="2"/>
  <c r="P405" i="2"/>
  <c r="Q405" i="2"/>
  <c r="R405" i="2"/>
  <c r="S405" i="2"/>
  <c r="T405" i="2"/>
  <c r="U405" i="2"/>
  <c r="L406" i="2"/>
  <c r="M406" i="2"/>
  <c r="N406" i="2"/>
  <c r="O406" i="2"/>
  <c r="P406" i="2"/>
  <c r="Q406" i="2"/>
  <c r="R406" i="2"/>
  <c r="S406" i="2"/>
  <c r="T406" i="2"/>
  <c r="U406" i="2"/>
  <c r="L407" i="2"/>
  <c r="M407" i="2"/>
  <c r="N407" i="2"/>
  <c r="O407" i="2"/>
  <c r="P407" i="2"/>
  <c r="Q407" i="2"/>
  <c r="R407" i="2"/>
  <c r="S407" i="2"/>
  <c r="T407" i="2"/>
  <c r="U407" i="2"/>
  <c r="L408" i="2"/>
  <c r="M408" i="2"/>
  <c r="N408" i="2"/>
  <c r="O408" i="2"/>
  <c r="P408" i="2"/>
  <c r="Q408" i="2"/>
  <c r="R408" i="2"/>
  <c r="S408" i="2"/>
  <c r="T408" i="2"/>
  <c r="U408" i="2"/>
  <c r="L409" i="2"/>
  <c r="M409" i="2"/>
  <c r="N409" i="2"/>
  <c r="O409" i="2"/>
  <c r="P409" i="2"/>
  <c r="Q409" i="2"/>
  <c r="R409" i="2"/>
  <c r="S409" i="2"/>
  <c r="T409" i="2"/>
  <c r="U409" i="2"/>
  <c r="L410" i="2"/>
  <c r="M410" i="2"/>
  <c r="N410" i="2"/>
  <c r="O410" i="2"/>
  <c r="P410" i="2"/>
  <c r="Q410" i="2"/>
  <c r="R410" i="2"/>
  <c r="S410" i="2"/>
  <c r="T410" i="2"/>
  <c r="U410" i="2"/>
  <c r="L411" i="2"/>
  <c r="M411" i="2"/>
  <c r="N411" i="2"/>
  <c r="O411" i="2"/>
  <c r="P411" i="2"/>
  <c r="Q411" i="2"/>
  <c r="R411" i="2"/>
  <c r="S411" i="2"/>
  <c r="T411" i="2"/>
  <c r="U411" i="2"/>
  <c r="L412" i="2"/>
  <c r="M412" i="2"/>
  <c r="N412" i="2"/>
  <c r="O412" i="2"/>
  <c r="P412" i="2"/>
  <c r="Q412" i="2"/>
  <c r="R412" i="2"/>
  <c r="S412" i="2"/>
  <c r="T412" i="2"/>
  <c r="U412" i="2"/>
  <c r="L413" i="2"/>
  <c r="M413" i="2"/>
  <c r="N413" i="2"/>
  <c r="O413" i="2"/>
  <c r="P413" i="2"/>
  <c r="Q413" i="2"/>
  <c r="R413" i="2"/>
  <c r="S413" i="2"/>
  <c r="T413" i="2"/>
  <c r="U413" i="2"/>
  <c r="L414" i="2"/>
  <c r="M414" i="2"/>
  <c r="N414" i="2"/>
  <c r="O414" i="2"/>
  <c r="P414" i="2"/>
  <c r="Q414" i="2"/>
  <c r="R414" i="2"/>
  <c r="S414" i="2"/>
  <c r="T414" i="2"/>
  <c r="U414" i="2"/>
  <c r="L415" i="2"/>
  <c r="M415" i="2"/>
  <c r="N415" i="2"/>
  <c r="O415" i="2"/>
  <c r="P415" i="2"/>
  <c r="Q415" i="2"/>
  <c r="R415" i="2"/>
  <c r="S415" i="2"/>
  <c r="T415" i="2"/>
  <c r="U415" i="2"/>
  <c r="L416" i="2"/>
  <c r="M416" i="2"/>
  <c r="N416" i="2"/>
  <c r="O416" i="2"/>
  <c r="P416" i="2"/>
  <c r="Q416" i="2"/>
  <c r="R416" i="2"/>
  <c r="S416" i="2"/>
  <c r="T416" i="2"/>
  <c r="U416" i="2"/>
  <c r="L417" i="2"/>
  <c r="M417" i="2"/>
  <c r="N417" i="2"/>
  <c r="O417" i="2"/>
  <c r="P417" i="2"/>
  <c r="Q417" i="2"/>
  <c r="R417" i="2"/>
  <c r="S417" i="2"/>
  <c r="T417" i="2"/>
  <c r="U417" i="2"/>
  <c r="L418" i="2"/>
  <c r="M418" i="2"/>
  <c r="N418" i="2"/>
  <c r="O418" i="2"/>
  <c r="P418" i="2"/>
  <c r="Q418" i="2"/>
  <c r="R418" i="2"/>
  <c r="S418" i="2"/>
  <c r="T418" i="2"/>
  <c r="U418" i="2"/>
  <c r="L419" i="2"/>
  <c r="M419" i="2"/>
  <c r="N419" i="2"/>
  <c r="O419" i="2"/>
  <c r="P419" i="2"/>
  <c r="Q419" i="2"/>
  <c r="R419" i="2"/>
  <c r="S419" i="2"/>
  <c r="T419" i="2"/>
  <c r="U419" i="2"/>
  <c r="L420" i="2"/>
  <c r="M420" i="2"/>
  <c r="N420" i="2"/>
  <c r="O420" i="2"/>
  <c r="P420" i="2"/>
  <c r="Q420" i="2"/>
  <c r="R420" i="2"/>
  <c r="S420" i="2"/>
  <c r="T420" i="2"/>
  <c r="U420" i="2"/>
  <c r="L421" i="2"/>
  <c r="M421" i="2"/>
  <c r="N421" i="2"/>
  <c r="O421" i="2"/>
  <c r="P421" i="2"/>
  <c r="Q421" i="2"/>
  <c r="R421" i="2"/>
  <c r="S421" i="2"/>
  <c r="T421" i="2"/>
  <c r="U421" i="2"/>
  <c r="L422" i="2"/>
  <c r="M422" i="2"/>
  <c r="N422" i="2"/>
  <c r="O422" i="2"/>
  <c r="P422" i="2"/>
  <c r="Q422" i="2"/>
  <c r="R422" i="2"/>
  <c r="S422" i="2"/>
  <c r="T422" i="2"/>
  <c r="U422" i="2"/>
  <c r="L423" i="2"/>
  <c r="M423" i="2"/>
  <c r="N423" i="2"/>
  <c r="O423" i="2"/>
  <c r="P423" i="2"/>
  <c r="Q423" i="2"/>
  <c r="R423" i="2"/>
  <c r="S423" i="2"/>
  <c r="T423" i="2"/>
  <c r="U423" i="2"/>
  <c r="L424" i="2"/>
  <c r="M424" i="2"/>
  <c r="N424" i="2"/>
  <c r="O424" i="2"/>
  <c r="P424" i="2"/>
  <c r="Q424" i="2"/>
  <c r="R424" i="2"/>
  <c r="S424" i="2"/>
  <c r="T424" i="2"/>
  <c r="U424" i="2"/>
  <c r="L425" i="2"/>
  <c r="M425" i="2"/>
  <c r="N425" i="2"/>
  <c r="O425" i="2"/>
  <c r="P425" i="2"/>
  <c r="Q425" i="2"/>
  <c r="R425" i="2"/>
  <c r="S425" i="2"/>
  <c r="T425" i="2"/>
  <c r="U425" i="2"/>
  <c r="L426" i="2"/>
  <c r="M426" i="2"/>
  <c r="N426" i="2"/>
  <c r="O426" i="2"/>
  <c r="P426" i="2"/>
  <c r="Q426" i="2"/>
  <c r="R426" i="2"/>
  <c r="S426" i="2"/>
  <c r="T426" i="2"/>
  <c r="U426" i="2"/>
  <c r="L427" i="2"/>
  <c r="M427" i="2"/>
  <c r="N427" i="2"/>
  <c r="O427" i="2"/>
  <c r="P427" i="2"/>
  <c r="Q427" i="2"/>
  <c r="R427" i="2"/>
  <c r="S427" i="2"/>
  <c r="T427" i="2"/>
  <c r="U427" i="2"/>
  <c r="L428" i="2"/>
  <c r="M428" i="2"/>
  <c r="N428" i="2"/>
  <c r="O428" i="2"/>
  <c r="P428" i="2"/>
  <c r="Q428" i="2"/>
  <c r="R428" i="2"/>
  <c r="S428" i="2"/>
  <c r="T428" i="2"/>
  <c r="U428" i="2"/>
  <c r="L429" i="2"/>
  <c r="M429" i="2"/>
  <c r="N429" i="2"/>
  <c r="O429" i="2"/>
  <c r="P429" i="2"/>
  <c r="Q429" i="2"/>
  <c r="R429" i="2"/>
  <c r="S429" i="2"/>
  <c r="T429" i="2"/>
  <c r="U429" i="2"/>
  <c r="L430" i="2"/>
  <c r="M430" i="2"/>
  <c r="N430" i="2"/>
  <c r="O430" i="2"/>
  <c r="P430" i="2"/>
  <c r="Q430" i="2"/>
  <c r="R430" i="2"/>
  <c r="S430" i="2"/>
  <c r="T430" i="2"/>
  <c r="U430" i="2"/>
  <c r="L431" i="2"/>
  <c r="M431" i="2"/>
  <c r="N431" i="2"/>
  <c r="O431" i="2"/>
  <c r="P431" i="2"/>
  <c r="Q431" i="2"/>
  <c r="R431" i="2"/>
  <c r="S431" i="2"/>
  <c r="T431" i="2"/>
  <c r="U431" i="2"/>
  <c r="L432" i="2"/>
  <c r="M432" i="2"/>
  <c r="N432" i="2"/>
  <c r="O432" i="2"/>
  <c r="P432" i="2"/>
  <c r="Q432" i="2"/>
  <c r="R432" i="2"/>
  <c r="S432" i="2"/>
  <c r="T432" i="2"/>
  <c r="U432" i="2"/>
  <c r="L433" i="2"/>
  <c r="M433" i="2"/>
  <c r="N433" i="2"/>
  <c r="O433" i="2"/>
  <c r="P433" i="2"/>
  <c r="Q433" i="2"/>
  <c r="R433" i="2"/>
  <c r="S433" i="2"/>
  <c r="T433" i="2"/>
  <c r="U433" i="2"/>
  <c r="L434" i="2"/>
  <c r="M434" i="2"/>
  <c r="N434" i="2"/>
  <c r="O434" i="2"/>
  <c r="P434" i="2"/>
  <c r="Q434" i="2"/>
  <c r="R434" i="2"/>
  <c r="S434" i="2"/>
  <c r="T434" i="2"/>
  <c r="U434" i="2"/>
  <c r="L435" i="2"/>
  <c r="M435" i="2"/>
  <c r="N435" i="2"/>
  <c r="O435" i="2"/>
  <c r="P435" i="2"/>
  <c r="Q435" i="2"/>
  <c r="R435" i="2"/>
  <c r="S435" i="2"/>
  <c r="T435" i="2"/>
  <c r="U435" i="2"/>
  <c r="L436" i="2"/>
  <c r="M436" i="2"/>
  <c r="N436" i="2"/>
  <c r="O436" i="2"/>
  <c r="P436" i="2"/>
  <c r="Q436" i="2"/>
  <c r="R436" i="2"/>
  <c r="S436" i="2"/>
  <c r="T436" i="2"/>
  <c r="U436" i="2"/>
  <c r="L437" i="2"/>
  <c r="M437" i="2"/>
  <c r="N437" i="2"/>
  <c r="O437" i="2"/>
  <c r="P437" i="2"/>
  <c r="Q437" i="2"/>
  <c r="R437" i="2"/>
  <c r="S437" i="2"/>
  <c r="T437" i="2"/>
  <c r="U437" i="2"/>
  <c r="L438" i="2"/>
  <c r="M438" i="2"/>
  <c r="N438" i="2"/>
  <c r="O438" i="2"/>
  <c r="P438" i="2"/>
  <c r="Q438" i="2"/>
  <c r="R438" i="2"/>
  <c r="S438" i="2"/>
  <c r="T438" i="2"/>
  <c r="U438" i="2"/>
  <c r="L439" i="2"/>
  <c r="M439" i="2"/>
  <c r="N439" i="2"/>
  <c r="O439" i="2"/>
  <c r="P439" i="2"/>
  <c r="Q439" i="2"/>
  <c r="R439" i="2"/>
  <c r="S439" i="2"/>
  <c r="T439" i="2"/>
  <c r="U439" i="2"/>
  <c r="L440" i="2"/>
  <c r="M440" i="2"/>
  <c r="N440" i="2"/>
  <c r="O440" i="2"/>
  <c r="P440" i="2"/>
  <c r="Q440" i="2"/>
  <c r="R440" i="2"/>
  <c r="S440" i="2"/>
  <c r="T440" i="2"/>
  <c r="U440" i="2"/>
  <c r="L441" i="2"/>
  <c r="M441" i="2"/>
  <c r="N441" i="2"/>
  <c r="O441" i="2"/>
  <c r="P441" i="2"/>
  <c r="Q441" i="2"/>
  <c r="R441" i="2"/>
  <c r="S441" i="2"/>
  <c r="T441" i="2"/>
  <c r="U441" i="2"/>
  <c r="L442" i="2"/>
  <c r="M442" i="2"/>
  <c r="N442" i="2"/>
  <c r="O442" i="2"/>
  <c r="P442" i="2"/>
  <c r="Q442" i="2"/>
  <c r="R442" i="2"/>
  <c r="S442" i="2"/>
  <c r="T442" i="2"/>
  <c r="U442" i="2"/>
  <c r="L443" i="2"/>
  <c r="M443" i="2"/>
  <c r="N443" i="2"/>
  <c r="O443" i="2"/>
  <c r="P443" i="2"/>
  <c r="Q443" i="2"/>
  <c r="R443" i="2"/>
  <c r="S443" i="2"/>
  <c r="T443" i="2"/>
  <c r="U443" i="2"/>
  <c r="L444" i="2"/>
  <c r="M444" i="2"/>
  <c r="N444" i="2"/>
  <c r="O444" i="2"/>
  <c r="P444" i="2"/>
  <c r="Q444" i="2"/>
  <c r="R444" i="2"/>
  <c r="S444" i="2"/>
  <c r="T444" i="2"/>
  <c r="U444" i="2"/>
  <c r="L445" i="2"/>
  <c r="M445" i="2"/>
  <c r="N445" i="2"/>
  <c r="O445" i="2"/>
  <c r="P445" i="2"/>
  <c r="Q445" i="2"/>
  <c r="R445" i="2"/>
  <c r="S445" i="2"/>
  <c r="T445" i="2"/>
  <c r="U445" i="2"/>
  <c r="L446" i="2"/>
  <c r="M446" i="2"/>
  <c r="N446" i="2"/>
  <c r="O446" i="2"/>
  <c r="P446" i="2"/>
  <c r="Q446" i="2"/>
  <c r="R446" i="2"/>
  <c r="S446" i="2"/>
  <c r="T446" i="2"/>
  <c r="U446" i="2"/>
  <c r="L447" i="2"/>
  <c r="M447" i="2"/>
  <c r="N447" i="2"/>
  <c r="O447" i="2"/>
  <c r="P447" i="2"/>
  <c r="Q447" i="2"/>
  <c r="R447" i="2"/>
  <c r="S447" i="2"/>
  <c r="T447" i="2"/>
  <c r="U447" i="2"/>
  <c r="L448" i="2"/>
  <c r="M448" i="2"/>
  <c r="N448" i="2"/>
  <c r="O448" i="2"/>
  <c r="P448" i="2"/>
  <c r="Q448" i="2"/>
  <c r="R448" i="2"/>
  <c r="S448" i="2"/>
  <c r="T448" i="2"/>
  <c r="U448" i="2"/>
  <c r="L449" i="2"/>
  <c r="M449" i="2"/>
  <c r="N449" i="2"/>
  <c r="O449" i="2"/>
  <c r="P449" i="2"/>
  <c r="Q449" i="2"/>
  <c r="R449" i="2"/>
  <c r="S449" i="2"/>
  <c r="T449" i="2"/>
  <c r="U449" i="2"/>
  <c r="L450" i="2"/>
  <c r="M450" i="2"/>
  <c r="N450" i="2"/>
  <c r="O450" i="2"/>
  <c r="P450" i="2"/>
  <c r="Q450" i="2"/>
  <c r="R450" i="2"/>
  <c r="S450" i="2"/>
  <c r="T450" i="2"/>
  <c r="U450" i="2"/>
  <c r="L451" i="2"/>
  <c r="M451" i="2"/>
  <c r="N451" i="2"/>
  <c r="O451" i="2"/>
  <c r="P451" i="2"/>
  <c r="Q451" i="2"/>
  <c r="R451" i="2"/>
  <c r="S451" i="2"/>
  <c r="T451" i="2"/>
  <c r="U451" i="2"/>
  <c r="L452" i="2"/>
  <c r="M452" i="2"/>
  <c r="N452" i="2"/>
  <c r="O452" i="2"/>
  <c r="P452" i="2"/>
  <c r="Q452" i="2"/>
  <c r="R452" i="2"/>
  <c r="S452" i="2"/>
  <c r="T452" i="2"/>
  <c r="U452" i="2"/>
  <c r="L453" i="2"/>
  <c r="M453" i="2"/>
  <c r="N453" i="2"/>
  <c r="O453" i="2"/>
  <c r="P453" i="2"/>
  <c r="Q453" i="2"/>
  <c r="R453" i="2"/>
  <c r="S453" i="2"/>
  <c r="T453" i="2"/>
  <c r="U453" i="2"/>
  <c r="L454" i="2"/>
  <c r="M454" i="2"/>
  <c r="N454" i="2"/>
  <c r="O454" i="2"/>
  <c r="P454" i="2"/>
  <c r="Q454" i="2"/>
  <c r="R454" i="2"/>
  <c r="S454" i="2"/>
  <c r="T454" i="2"/>
  <c r="U454" i="2"/>
  <c r="L455" i="2"/>
  <c r="M455" i="2"/>
  <c r="N455" i="2"/>
  <c r="O455" i="2"/>
  <c r="P455" i="2"/>
  <c r="Q455" i="2"/>
  <c r="R455" i="2"/>
  <c r="S455" i="2"/>
  <c r="T455" i="2"/>
  <c r="U455" i="2"/>
  <c r="L456" i="2"/>
  <c r="M456" i="2"/>
  <c r="N456" i="2"/>
  <c r="O456" i="2"/>
  <c r="P456" i="2"/>
  <c r="Q456" i="2"/>
  <c r="R456" i="2"/>
  <c r="S456" i="2"/>
  <c r="T456" i="2"/>
  <c r="U456" i="2"/>
  <c r="L457" i="2"/>
  <c r="M457" i="2"/>
  <c r="N457" i="2"/>
  <c r="O457" i="2"/>
  <c r="P457" i="2"/>
  <c r="Q457" i="2"/>
  <c r="R457" i="2"/>
  <c r="S457" i="2"/>
  <c r="T457" i="2"/>
  <c r="U457" i="2"/>
  <c r="L458" i="2"/>
  <c r="M458" i="2"/>
  <c r="N458" i="2"/>
  <c r="O458" i="2"/>
  <c r="P458" i="2"/>
  <c r="Q458" i="2"/>
  <c r="R458" i="2"/>
  <c r="S458" i="2"/>
  <c r="T458" i="2"/>
  <c r="U458" i="2"/>
  <c r="L459" i="2"/>
  <c r="M459" i="2"/>
  <c r="N459" i="2"/>
  <c r="O459" i="2"/>
  <c r="P459" i="2"/>
  <c r="Q459" i="2"/>
  <c r="R459" i="2"/>
  <c r="S459" i="2"/>
  <c r="T459" i="2"/>
  <c r="U459" i="2"/>
  <c r="L460" i="2"/>
  <c r="M460" i="2"/>
  <c r="N460" i="2"/>
  <c r="O460" i="2"/>
  <c r="P460" i="2"/>
  <c r="Q460" i="2"/>
  <c r="R460" i="2"/>
  <c r="S460" i="2"/>
  <c r="T460" i="2"/>
  <c r="U460" i="2"/>
  <c r="L461" i="2"/>
  <c r="M461" i="2"/>
  <c r="N461" i="2"/>
  <c r="O461" i="2"/>
  <c r="P461" i="2"/>
  <c r="Q461" i="2"/>
  <c r="R461" i="2"/>
  <c r="S461" i="2"/>
  <c r="T461" i="2"/>
  <c r="U461" i="2"/>
  <c r="L462" i="2"/>
  <c r="M462" i="2"/>
  <c r="N462" i="2"/>
  <c r="O462" i="2"/>
  <c r="P462" i="2"/>
  <c r="Q462" i="2"/>
  <c r="R462" i="2"/>
  <c r="S462" i="2"/>
  <c r="T462" i="2"/>
  <c r="U462" i="2"/>
  <c r="L463" i="2"/>
  <c r="M463" i="2"/>
  <c r="N463" i="2"/>
  <c r="O463" i="2"/>
  <c r="P463" i="2"/>
  <c r="Q463" i="2"/>
  <c r="R463" i="2"/>
  <c r="S463" i="2"/>
  <c r="T463" i="2"/>
  <c r="U463" i="2"/>
  <c r="L464" i="2"/>
  <c r="M464" i="2"/>
  <c r="N464" i="2"/>
  <c r="O464" i="2"/>
  <c r="P464" i="2"/>
  <c r="Q464" i="2"/>
  <c r="R464" i="2"/>
  <c r="S464" i="2"/>
  <c r="T464" i="2"/>
  <c r="U464" i="2"/>
  <c r="L465" i="2"/>
  <c r="M465" i="2"/>
  <c r="N465" i="2"/>
  <c r="O465" i="2"/>
  <c r="P465" i="2"/>
  <c r="Q465" i="2"/>
  <c r="R465" i="2"/>
  <c r="S465" i="2"/>
  <c r="T465" i="2"/>
  <c r="U465" i="2"/>
  <c r="L466" i="2"/>
  <c r="M466" i="2"/>
  <c r="N466" i="2"/>
  <c r="O466" i="2"/>
  <c r="P466" i="2"/>
  <c r="Q466" i="2"/>
  <c r="R466" i="2"/>
  <c r="S466" i="2"/>
  <c r="T466" i="2"/>
  <c r="U466" i="2"/>
  <c r="L467" i="2"/>
  <c r="M467" i="2"/>
  <c r="N467" i="2"/>
  <c r="O467" i="2"/>
  <c r="P467" i="2"/>
  <c r="Q467" i="2"/>
  <c r="R467" i="2"/>
  <c r="S467" i="2"/>
  <c r="T467" i="2"/>
  <c r="U467" i="2"/>
  <c r="L468" i="2"/>
  <c r="M468" i="2"/>
  <c r="N468" i="2"/>
  <c r="O468" i="2"/>
  <c r="P468" i="2"/>
  <c r="Q468" i="2"/>
  <c r="R468" i="2"/>
  <c r="S468" i="2"/>
  <c r="T468" i="2"/>
  <c r="U468" i="2"/>
  <c r="L469" i="2"/>
  <c r="M469" i="2"/>
  <c r="N469" i="2"/>
  <c r="O469" i="2"/>
  <c r="P469" i="2"/>
  <c r="Q469" i="2"/>
  <c r="R469" i="2"/>
  <c r="S469" i="2"/>
  <c r="T469" i="2"/>
  <c r="U469" i="2"/>
  <c r="L470" i="2"/>
  <c r="M470" i="2"/>
  <c r="N470" i="2"/>
  <c r="O470" i="2"/>
  <c r="P470" i="2"/>
  <c r="Q470" i="2"/>
  <c r="R470" i="2"/>
  <c r="S470" i="2"/>
  <c r="T470" i="2"/>
  <c r="U470" i="2"/>
  <c r="L471" i="2"/>
  <c r="M471" i="2"/>
  <c r="N471" i="2"/>
  <c r="O471" i="2"/>
  <c r="P471" i="2"/>
  <c r="Q471" i="2"/>
  <c r="R471" i="2"/>
  <c r="S471" i="2"/>
  <c r="T471" i="2"/>
  <c r="U471" i="2"/>
  <c r="L472" i="2"/>
  <c r="M472" i="2"/>
  <c r="N472" i="2"/>
  <c r="O472" i="2"/>
  <c r="P472" i="2"/>
  <c r="Q472" i="2"/>
  <c r="R472" i="2"/>
  <c r="S472" i="2"/>
  <c r="T472" i="2"/>
  <c r="U472" i="2"/>
  <c r="L473" i="2"/>
  <c r="M473" i="2"/>
  <c r="N473" i="2"/>
  <c r="O473" i="2"/>
  <c r="P473" i="2"/>
  <c r="Q473" i="2"/>
  <c r="R473" i="2"/>
  <c r="S473" i="2"/>
  <c r="T473" i="2"/>
  <c r="U473" i="2"/>
  <c r="L474" i="2"/>
  <c r="M474" i="2"/>
  <c r="N474" i="2"/>
  <c r="O474" i="2"/>
  <c r="P474" i="2"/>
  <c r="Q474" i="2"/>
  <c r="R474" i="2"/>
  <c r="S474" i="2"/>
  <c r="T474" i="2"/>
  <c r="U474" i="2"/>
  <c r="L475" i="2"/>
  <c r="M475" i="2"/>
  <c r="N475" i="2"/>
  <c r="O475" i="2"/>
  <c r="P475" i="2"/>
  <c r="Q475" i="2"/>
  <c r="R475" i="2"/>
  <c r="S475" i="2"/>
  <c r="T475" i="2"/>
  <c r="U475" i="2"/>
  <c r="L476" i="2"/>
  <c r="M476" i="2"/>
  <c r="N476" i="2"/>
  <c r="O476" i="2"/>
  <c r="P476" i="2"/>
  <c r="Q476" i="2"/>
  <c r="R476" i="2"/>
  <c r="S476" i="2"/>
  <c r="T476" i="2"/>
  <c r="U476" i="2"/>
  <c r="L477" i="2"/>
  <c r="M477" i="2"/>
  <c r="N477" i="2"/>
  <c r="O477" i="2"/>
  <c r="P477" i="2"/>
  <c r="Q477" i="2"/>
  <c r="R477" i="2"/>
  <c r="S477" i="2"/>
  <c r="T477" i="2"/>
  <c r="U477" i="2"/>
  <c r="L478" i="2"/>
  <c r="M478" i="2"/>
  <c r="N478" i="2"/>
  <c r="O478" i="2"/>
  <c r="P478" i="2"/>
  <c r="Q478" i="2"/>
  <c r="R478" i="2"/>
  <c r="S478" i="2"/>
  <c r="T478" i="2"/>
  <c r="U478" i="2"/>
  <c r="L479" i="2"/>
  <c r="M479" i="2"/>
  <c r="N479" i="2"/>
  <c r="O479" i="2"/>
  <c r="P479" i="2"/>
  <c r="Q479" i="2"/>
  <c r="R479" i="2"/>
  <c r="S479" i="2"/>
  <c r="T479" i="2"/>
  <c r="U479" i="2"/>
  <c r="L480" i="2"/>
  <c r="M480" i="2"/>
  <c r="N480" i="2"/>
  <c r="O480" i="2"/>
  <c r="P480" i="2"/>
  <c r="Q480" i="2"/>
  <c r="R480" i="2"/>
  <c r="S480" i="2"/>
  <c r="T480" i="2"/>
  <c r="U480" i="2"/>
  <c r="L481" i="2"/>
  <c r="M481" i="2"/>
  <c r="N481" i="2"/>
  <c r="O481" i="2"/>
  <c r="P481" i="2"/>
  <c r="Q481" i="2"/>
  <c r="R481" i="2"/>
  <c r="S481" i="2"/>
  <c r="T481" i="2"/>
  <c r="U481" i="2"/>
  <c r="L482" i="2"/>
  <c r="M482" i="2"/>
  <c r="N482" i="2"/>
  <c r="O482" i="2"/>
  <c r="P482" i="2"/>
  <c r="Q482" i="2"/>
  <c r="R482" i="2"/>
  <c r="S482" i="2"/>
  <c r="T482" i="2"/>
  <c r="U482" i="2"/>
  <c r="L483" i="2"/>
  <c r="M483" i="2"/>
  <c r="N483" i="2"/>
  <c r="O483" i="2"/>
  <c r="P483" i="2"/>
  <c r="Q483" i="2"/>
  <c r="R483" i="2"/>
  <c r="S483" i="2"/>
  <c r="T483" i="2"/>
  <c r="U483" i="2"/>
  <c r="L484" i="2"/>
  <c r="M484" i="2"/>
  <c r="N484" i="2"/>
  <c r="O484" i="2"/>
  <c r="P484" i="2"/>
  <c r="Q484" i="2"/>
  <c r="R484" i="2"/>
  <c r="S484" i="2"/>
  <c r="T484" i="2"/>
  <c r="U484" i="2"/>
  <c r="L485" i="2"/>
  <c r="M485" i="2"/>
  <c r="N485" i="2"/>
  <c r="O485" i="2"/>
  <c r="P485" i="2"/>
  <c r="Q485" i="2"/>
  <c r="R485" i="2"/>
  <c r="S485" i="2"/>
  <c r="T485" i="2"/>
  <c r="U485" i="2"/>
  <c r="L486" i="2"/>
  <c r="M486" i="2"/>
  <c r="N486" i="2"/>
  <c r="O486" i="2"/>
  <c r="P486" i="2"/>
  <c r="Q486" i="2"/>
  <c r="R486" i="2"/>
  <c r="S486" i="2"/>
  <c r="T486" i="2"/>
  <c r="U486" i="2"/>
  <c r="L487" i="2"/>
  <c r="M487" i="2"/>
  <c r="N487" i="2"/>
  <c r="O487" i="2"/>
  <c r="P487" i="2"/>
  <c r="Q487" i="2"/>
  <c r="R487" i="2"/>
  <c r="S487" i="2"/>
  <c r="T487" i="2"/>
  <c r="U487" i="2"/>
  <c r="L488" i="2"/>
  <c r="M488" i="2"/>
  <c r="N488" i="2"/>
  <c r="O488" i="2"/>
  <c r="P488" i="2"/>
  <c r="Q488" i="2"/>
  <c r="R488" i="2"/>
  <c r="S488" i="2"/>
  <c r="T488" i="2"/>
  <c r="U488" i="2"/>
  <c r="L489" i="2"/>
  <c r="M489" i="2"/>
  <c r="N489" i="2"/>
  <c r="O489" i="2"/>
  <c r="P489" i="2"/>
  <c r="Q489" i="2"/>
  <c r="R489" i="2"/>
  <c r="S489" i="2"/>
  <c r="T489" i="2"/>
  <c r="U489" i="2"/>
  <c r="L490" i="2"/>
  <c r="M490" i="2"/>
  <c r="N490" i="2"/>
  <c r="O490" i="2"/>
  <c r="P490" i="2"/>
  <c r="Q490" i="2"/>
  <c r="R490" i="2"/>
  <c r="S490" i="2"/>
  <c r="T490" i="2"/>
  <c r="U490" i="2"/>
  <c r="L491" i="2"/>
  <c r="M491" i="2"/>
  <c r="N491" i="2"/>
  <c r="O491" i="2"/>
  <c r="P491" i="2"/>
  <c r="Q491" i="2"/>
  <c r="R491" i="2"/>
  <c r="S491" i="2"/>
  <c r="T491" i="2"/>
  <c r="U491" i="2"/>
  <c r="L492" i="2"/>
  <c r="M492" i="2"/>
  <c r="N492" i="2"/>
  <c r="O492" i="2"/>
  <c r="P492" i="2"/>
  <c r="Q492" i="2"/>
  <c r="R492" i="2"/>
  <c r="S492" i="2"/>
  <c r="T492" i="2"/>
  <c r="U492" i="2"/>
  <c r="L493" i="2"/>
  <c r="M493" i="2"/>
  <c r="N493" i="2"/>
  <c r="O493" i="2"/>
  <c r="P493" i="2"/>
  <c r="Q493" i="2"/>
  <c r="R493" i="2"/>
  <c r="S493" i="2"/>
  <c r="T493" i="2"/>
  <c r="U493" i="2"/>
  <c r="L494" i="2"/>
  <c r="M494" i="2"/>
  <c r="N494" i="2"/>
  <c r="O494" i="2"/>
  <c r="P494" i="2"/>
  <c r="Q494" i="2"/>
  <c r="R494" i="2"/>
  <c r="S494" i="2"/>
  <c r="T494" i="2"/>
  <c r="U494" i="2"/>
  <c r="L495" i="2"/>
  <c r="M495" i="2"/>
  <c r="N495" i="2"/>
  <c r="O495" i="2"/>
  <c r="P495" i="2"/>
  <c r="Q495" i="2"/>
  <c r="R495" i="2"/>
  <c r="S495" i="2"/>
  <c r="T495" i="2"/>
  <c r="U495" i="2"/>
  <c r="L496" i="2"/>
  <c r="M496" i="2"/>
  <c r="N496" i="2"/>
  <c r="O496" i="2"/>
  <c r="P496" i="2"/>
  <c r="Q496" i="2"/>
  <c r="R496" i="2"/>
  <c r="S496" i="2"/>
  <c r="T496" i="2"/>
  <c r="U496" i="2"/>
  <c r="L497" i="2"/>
  <c r="M497" i="2"/>
  <c r="N497" i="2"/>
  <c r="O497" i="2"/>
  <c r="P497" i="2"/>
  <c r="Q497" i="2"/>
  <c r="R497" i="2"/>
  <c r="S497" i="2"/>
  <c r="T497" i="2"/>
  <c r="U497" i="2"/>
  <c r="L498" i="2"/>
  <c r="M498" i="2"/>
  <c r="N498" i="2"/>
  <c r="O498" i="2"/>
  <c r="P498" i="2"/>
  <c r="Q498" i="2"/>
  <c r="R498" i="2"/>
  <c r="S498" i="2"/>
  <c r="T498" i="2"/>
  <c r="U498" i="2"/>
  <c r="L499" i="2"/>
  <c r="M499" i="2"/>
  <c r="N499" i="2"/>
  <c r="O499" i="2"/>
  <c r="P499" i="2"/>
  <c r="Q499" i="2"/>
  <c r="R499" i="2"/>
  <c r="S499" i="2"/>
  <c r="T499" i="2"/>
  <c r="U499" i="2"/>
  <c r="L500" i="2"/>
  <c r="M500" i="2"/>
  <c r="N500" i="2"/>
  <c r="O500" i="2"/>
  <c r="P500" i="2"/>
  <c r="Q500" i="2"/>
  <c r="R500" i="2"/>
  <c r="S500" i="2"/>
  <c r="T500" i="2"/>
  <c r="U500" i="2"/>
  <c r="L501" i="2"/>
  <c r="M501" i="2"/>
  <c r="N501" i="2"/>
  <c r="O501" i="2"/>
  <c r="P501" i="2"/>
  <c r="Q501" i="2"/>
  <c r="R501" i="2"/>
  <c r="S501" i="2"/>
  <c r="T501" i="2"/>
  <c r="U501" i="2"/>
  <c r="L502" i="2"/>
  <c r="M502" i="2"/>
  <c r="N502" i="2"/>
  <c r="O502" i="2"/>
  <c r="P502" i="2"/>
  <c r="Q502" i="2"/>
  <c r="R502" i="2"/>
  <c r="S502" i="2"/>
  <c r="T502" i="2"/>
  <c r="U502" i="2"/>
  <c r="L503" i="2"/>
  <c r="M503" i="2"/>
  <c r="N503" i="2"/>
  <c r="O503" i="2"/>
  <c r="P503" i="2"/>
  <c r="Q503" i="2"/>
  <c r="R503" i="2"/>
  <c r="S503" i="2"/>
  <c r="T503" i="2"/>
  <c r="U503" i="2"/>
  <c r="L504" i="2"/>
  <c r="M504" i="2"/>
  <c r="N504" i="2"/>
  <c r="O504" i="2"/>
  <c r="P504" i="2"/>
  <c r="Q504" i="2"/>
  <c r="R504" i="2"/>
  <c r="S504" i="2"/>
  <c r="T504" i="2"/>
  <c r="U504" i="2"/>
  <c r="L505" i="2"/>
  <c r="M505" i="2"/>
  <c r="N505" i="2"/>
  <c r="O505" i="2"/>
  <c r="P505" i="2"/>
  <c r="Q505" i="2"/>
  <c r="R505" i="2"/>
  <c r="S505" i="2"/>
  <c r="T505" i="2"/>
  <c r="U505" i="2"/>
  <c r="L506" i="2"/>
  <c r="M506" i="2"/>
  <c r="N506" i="2"/>
  <c r="O506" i="2"/>
  <c r="P506" i="2"/>
  <c r="Q506" i="2"/>
  <c r="R506" i="2"/>
  <c r="S506" i="2"/>
  <c r="T506" i="2"/>
  <c r="U506" i="2"/>
  <c r="L507" i="2"/>
  <c r="M507" i="2"/>
  <c r="N507" i="2"/>
  <c r="O507" i="2"/>
  <c r="P507" i="2"/>
  <c r="Q507" i="2"/>
  <c r="R507" i="2"/>
  <c r="S507" i="2"/>
  <c r="T507" i="2"/>
  <c r="U507" i="2"/>
  <c r="L508" i="2"/>
  <c r="M508" i="2"/>
  <c r="N508" i="2"/>
  <c r="O508" i="2"/>
  <c r="P508" i="2"/>
  <c r="Q508" i="2"/>
  <c r="R508" i="2"/>
  <c r="S508" i="2"/>
  <c r="T508" i="2"/>
  <c r="U508" i="2"/>
  <c r="L509" i="2"/>
  <c r="M509" i="2"/>
  <c r="N509" i="2"/>
  <c r="O509" i="2"/>
  <c r="P509" i="2"/>
  <c r="Q509" i="2"/>
  <c r="R509" i="2"/>
  <c r="S509" i="2"/>
  <c r="T509" i="2"/>
  <c r="U509" i="2"/>
  <c r="L510" i="2"/>
  <c r="M510" i="2"/>
  <c r="N510" i="2"/>
  <c r="O510" i="2"/>
  <c r="P510" i="2"/>
  <c r="Q510" i="2"/>
  <c r="R510" i="2"/>
  <c r="S510" i="2"/>
  <c r="T510" i="2"/>
  <c r="U510" i="2"/>
  <c r="L511" i="2"/>
  <c r="M511" i="2"/>
  <c r="N511" i="2"/>
  <c r="O511" i="2"/>
  <c r="P511" i="2"/>
  <c r="Q511" i="2"/>
  <c r="R511" i="2"/>
  <c r="S511" i="2"/>
  <c r="T511" i="2"/>
  <c r="U511" i="2"/>
  <c r="L512" i="2"/>
  <c r="M512" i="2"/>
  <c r="N512" i="2"/>
  <c r="O512" i="2"/>
  <c r="P512" i="2"/>
  <c r="Q512" i="2"/>
  <c r="R512" i="2"/>
  <c r="S512" i="2"/>
  <c r="T512" i="2"/>
  <c r="U512" i="2"/>
  <c r="L513" i="2"/>
  <c r="M513" i="2"/>
  <c r="N513" i="2"/>
  <c r="O513" i="2"/>
  <c r="P513" i="2"/>
  <c r="Q513" i="2"/>
  <c r="R513" i="2"/>
  <c r="S513" i="2"/>
  <c r="T513" i="2"/>
  <c r="U513" i="2"/>
  <c r="L514" i="2"/>
  <c r="M514" i="2"/>
  <c r="N514" i="2"/>
  <c r="O514" i="2"/>
  <c r="P514" i="2"/>
  <c r="Q514" i="2"/>
  <c r="R514" i="2"/>
  <c r="S514" i="2"/>
  <c r="T514" i="2"/>
  <c r="U514" i="2"/>
  <c r="L515" i="2"/>
  <c r="M515" i="2"/>
  <c r="N515" i="2"/>
  <c r="O515" i="2"/>
  <c r="P515" i="2"/>
  <c r="Q515" i="2"/>
  <c r="R515" i="2"/>
  <c r="S515" i="2"/>
  <c r="T515" i="2"/>
  <c r="U515" i="2"/>
  <c r="L516" i="2"/>
  <c r="M516" i="2"/>
  <c r="N516" i="2"/>
  <c r="O516" i="2"/>
  <c r="P516" i="2"/>
  <c r="Q516" i="2"/>
  <c r="R516" i="2"/>
  <c r="S516" i="2"/>
  <c r="T516" i="2"/>
  <c r="U516" i="2"/>
  <c r="L517" i="2"/>
  <c r="M517" i="2"/>
  <c r="N517" i="2"/>
  <c r="O517" i="2"/>
  <c r="P517" i="2"/>
  <c r="Q517" i="2"/>
  <c r="R517" i="2"/>
  <c r="S517" i="2"/>
  <c r="T517" i="2"/>
  <c r="U517" i="2"/>
  <c r="L518" i="2"/>
  <c r="M518" i="2"/>
  <c r="N518" i="2"/>
  <c r="O518" i="2"/>
  <c r="P518" i="2"/>
  <c r="Q518" i="2"/>
  <c r="R518" i="2"/>
  <c r="S518" i="2"/>
  <c r="T518" i="2"/>
  <c r="U518" i="2"/>
  <c r="L519" i="2"/>
  <c r="M519" i="2"/>
  <c r="N519" i="2"/>
  <c r="O519" i="2"/>
  <c r="P519" i="2"/>
  <c r="Q519" i="2"/>
  <c r="R519" i="2"/>
  <c r="S519" i="2"/>
  <c r="T519" i="2"/>
  <c r="U519" i="2"/>
  <c r="L520" i="2"/>
  <c r="M520" i="2"/>
  <c r="N520" i="2"/>
  <c r="O520" i="2"/>
  <c r="P520" i="2"/>
  <c r="Q520" i="2"/>
  <c r="R520" i="2"/>
  <c r="S520" i="2"/>
  <c r="T520" i="2"/>
  <c r="U520" i="2"/>
  <c r="L521" i="2"/>
  <c r="M521" i="2"/>
  <c r="N521" i="2"/>
  <c r="O521" i="2"/>
  <c r="P521" i="2"/>
  <c r="Q521" i="2"/>
  <c r="R521" i="2"/>
  <c r="S521" i="2"/>
  <c r="T521" i="2"/>
  <c r="U521" i="2"/>
  <c r="L522" i="2"/>
  <c r="M522" i="2"/>
  <c r="N522" i="2"/>
  <c r="O522" i="2"/>
  <c r="P522" i="2"/>
  <c r="Q522" i="2"/>
  <c r="R522" i="2"/>
  <c r="S522" i="2"/>
  <c r="T522" i="2"/>
  <c r="U522" i="2"/>
  <c r="L523" i="2"/>
  <c r="M523" i="2"/>
  <c r="N523" i="2"/>
  <c r="O523" i="2"/>
  <c r="P523" i="2"/>
  <c r="Q523" i="2"/>
  <c r="R523" i="2"/>
  <c r="S523" i="2"/>
  <c r="T523" i="2"/>
  <c r="U523" i="2"/>
  <c r="L524" i="2"/>
  <c r="M524" i="2"/>
  <c r="N524" i="2"/>
  <c r="O524" i="2"/>
  <c r="P524" i="2"/>
  <c r="Q524" i="2"/>
  <c r="R524" i="2"/>
  <c r="S524" i="2"/>
  <c r="T524" i="2"/>
  <c r="U524" i="2"/>
  <c r="L525" i="2"/>
  <c r="M525" i="2"/>
  <c r="N525" i="2"/>
  <c r="O525" i="2"/>
  <c r="P525" i="2"/>
  <c r="Q525" i="2"/>
  <c r="R525" i="2"/>
  <c r="S525" i="2"/>
  <c r="T525" i="2"/>
  <c r="U525" i="2"/>
  <c r="L526" i="2"/>
  <c r="M526" i="2"/>
  <c r="N526" i="2"/>
  <c r="O526" i="2"/>
  <c r="P526" i="2"/>
  <c r="Q526" i="2"/>
  <c r="R526" i="2"/>
  <c r="S526" i="2"/>
  <c r="T526" i="2"/>
  <c r="U526" i="2"/>
  <c r="L527" i="2"/>
  <c r="M527" i="2"/>
  <c r="N527" i="2"/>
  <c r="O527" i="2"/>
  <c r="P527" i="2"/>
  <c r="Q527" i="2"/>
  <c r="R527" i="2"/>
  <c r="S527" i="2"/>
  <c r="T527" i="2"/>
  <c r="U527" i="2"/>
  <c r="L528" i="2"/>
  <c r="M528" i="2"/>
  <c r="N528" i="2"/>
  <c r="O528" i="2"/>
  <c r="P528" i="2"/>
  <c r="Q528" i="2"/>
  <c r="R528" i="2"/>
  <c r="S528" i="2"/>
  <c r="T528" i="2"/>
  <c r="U528" i="2"/>
  <c r="L529" i="2"/>
  <c r="M529" i="2"/>
  <c r="N529" i="2"/>
  <c r="O529" i="2"/>
  <c r="P529" i="2"/>
  <c r="Q529" i="2"/>
  <c r="R529" i="2"/>
  <c r="S529" i="2"/>
  <c r="T529" i="2"/>
  <c r="U529" i="2"/>
  <c r="L530" i="2"/>
  <c r="M530" i="2"/>
  <c r="N530" i="2"/>
  <c r="O530" i="2"/>
  <c r="P530" i="2"/>
  <c r="Q530" i="2"/>
  <c r="R530" i="2"/>
  <c r="S530" i="2"/>
  <c r="T530" i="2"/>
  <c r="U530" i="2"/>
  <c r="L531" i="2"/>
  <c r="M531" i="2"/>
  <c r="N531" i="2"/>
  <c r="O531" i="2"/>
  <c r="P531" i="2"/>
  <c r="Q531" i="2"/>
  <c r="R531" i="2"/>
  <c r="S531" i="2"/>
  <c r="T531" i="2"/>
  <c r="U531" i="2"/>
  <c r="L532" i="2"/>
  <c r="M532" i="2"/>
  <c r="N532" i="2"/>
  <c r="O532" i="2"/>
  <c r="P532" i="2"/>
  <c r="Q532" i="2"/>
  <c r="R532" i="2"/>
  <c r="S532" i="2"/>
  <c r="T532" i="2"/>
  <c r="U532" i="2"/>
  <c r="L533" i="2"/>
  <c r="M533" i="2"/>
  <c r="N533" i="2"/>
  <c r="O533" i="2"/>
  <c r="P533" i="2"/>
  <c r="Q533" i="2"/>
  <c r="R533" i="2"/>
  <c r="S533" i="2"/>
  <c r="T533" i="2"/>
  <c r="U533" i="2"/>
  <c r="L534" i="2"/>
  <c r="M534" i="2"/>
  <c r="N534" i="2"/>
  <c r="O534" i="2"/>
  <c r="P534" i="2"/>
  <c r="Q534" i="2"/>
  <c r="R534" i="2"/>
  <c r="S534" i="2"/>
  <c r="T534" i="2"/>
  <c r="U534" i="2"/>
  <c r="L535" i="2"/>
  <c r="M535" i="2"/>
  <c r="N535" i="2"/>
  <c r="O535" i="2"/>
  <c r="P535" i="2"/>
  <c r="Q535" i="2"/>
  <c r="R535" i="2"/>
  <c r="S535" i="2"/>
  <c r="T535" i="2"/>
  <c r="U535" i="2"/>
  <c r="L536" i="2"/>
  <c r="M536" i="2"/>
  <c r="N536" i="2"/>
  <c r="O536" i="2"/>
  <c r="P536" i="2"/>
  <c r="Q536" i="2"/>
  <c r="R536" i="2"/>
  <c r="S536" i="2"/>
  <c r="T536" i="2"/>
  <c r="U536" i="2"/>
  <c r="L537" i="2"/>
  <c r="M537" i="2"/>
  <c r="N537" i="2"/>
  <c r="O537" i="2"/>
  <c r="P537" i="2"/>
  <c r="Q537" i="2"/>
  <c r="R537" i="2"/>
  <c r="S537" i="2"/>
  <c r="T537" i="2"/>
  <c r="U537" i="2"/>
  <c r="L538" i="2"/>
  <c r="M538" i="2"/>
  <c r="N538" i="2"/>
  <c r="O538" i="2"/>
  <c r="P538" i="2"/>
  <c r="Q538" i="2"/>
  <c r="R538" i="2"/>
  <c r="S538" i="2"/>
  <c r="T538" i="2"/>
  <c r="U538" i="2"/>
  <c r="L539" i="2"/>
  <c r="M539" i="2"/>
  <c r="N539" i="2"/>
  <c r="O539" i="2"/>
  <c r="P539" i="2"/>
  <c r="Q539" i="2"/>
  <c r="R539" i="2"/>
  <c r="S539" i="2"/>
  <c r="T539" i="2"/>
  <c r="U539" i="2"/>
  <c r="L540" i="2"/>
  <c r="M540" i="2"/>
  <c r="N540" i="2"/>
  <c r="O540" i="2"/>
  <c r="P540" i="2"/>
  <c r="Q540" i="2"/>
  <c r="R540" i="2"/>
  <c r="S540" i="2"/>
  <c r="T540" i="2"/>
  <c r="U540" i="2"/>
  <c r="L541" i="2"/>
  <c r="M541" i="2"/>
  <c r="N541" i="2"/>
  <c r="O541" i="2"/>
  <c r="P541" i="2"/>
  <c r="Q541" i="2"/>
  <c r="R541" i="2"/>
  <c r="S541" i="2"/>
  <c r="T541" i="2"/>
  <c r="U541" i="2"/>
  <c r="L542" i="2"/>
  <c r="M542" i="2"/>
  <c r="N542" i="2"/>
  <c r="O542" i="2"/>
  <c r="P542" i="2"/>
  <c r="Q542" i="2"/>
  <c r="R542" i="2"/>
  <c r="S542" i="2"/>
  <c r="T542" i="2"/>
  <c r="U542" i="2"/>
  <c r="L543" i="2"/>
  <c r="M543" i="2"/>
  <c r="N543" i="2"/>
  <c r="O543" i="2"/>
  <c r="P543" i="2"/>
  <c r="Q543" i="2"/>
  <c r="R543" i="2"/>
  <c r="S543" i="2"/>
  <c r="T543" i="2"/>
  <c r="U543" i="2"/>
  <c r="L544" i="2"/>
  <c r="M544" i="2"/>
  <c r="N544" i="2"/>
  <c r="O544" i="2"/>
  <c r="P544" i="2"/>
  <c r="Q544" i="2"/>
  <c r="R544" i="2"/>
  <c r="S544" i="2"/>
  <c r="T544" i="2"/>
  <c r="U544" i="2"/>
  <c r="L545" i="2"/>
  <c r="M545" i="2"/>
  <c r="N545" i="2"/>
  <c r="O545" i="2"/>
  <c r="P545" i="2"/>
  <c r="Q545" i="2"/>
  <c r="R545" i="2"/>
  <c r="S545" i="2"/>
  <c r="T545" i="2"/>
  <c r="U545" i="2"/>
  <c r="V131" i="2" l="1"/>
  <c r="W131" i="2" s="1"/>
  <c r="V167" i="2"/>
  <c r="W167" i="2" s="1"/>
  <c r="V65" i="2"/>
  <c r="W65" i="2" s="1"/>
  <c r="V59" i="2"/>
  <c r="W59" i="2" s="1"/>
  <c r="V457" i="2"/>
  <c r="W457" i="2" s="1"/>
  <c r="V289" i="2"/>
  <c r="W289" i="2" s="1"/>
  <c r="V125" i="2"/>
  <c r="W125" i="2" s="1"/>
  <c r="V277" i="2"/>
  <c r="W277" i="2" s="1"/>
  <c r="V229" i="2"/>
  <c r="W229" i="2" s="1"/>
  <c r="V211" i="2"/>
  <c r="W211" i="2" s="1"/>
  <c r="V505" i="2"/>
  <c r="W505" i="2" s="1"/>
  <c r="V247" i="2"/>
  <c r="W247" i="2" s="1"/>
  <c r="V235" i="2"/>
  <c r="W235" i="2" s="1"/>
  <c r="V95" i="2"/>
  <c r="W95" i="2" s="1"/>
  <c r="V354" i="2"/>
  <c r="W354" i="2" s="1"/>
  <c r="V237" i="2"/>
  <c r="W237" i="2" s="1"/>
  <c r="V89" i="2"/>
  <c r="W89" i="2" s="1"/>
  <c r="V83" i="2"/>
  <c r="W83" i="2" s="1"/>
  <c r="V462" i="2"/>
  <c r="W462" i="2" s="1"/>
  <c r="V360" i="2"/>
  <c r="W360" i="2" s="1"/>
  <c r="V348" i="2"/>
  <c r="W348" i="2" s="1"/>
  <c r="V330" i="2"/>
  <c r="W330" i="2" s="1"/>
  <c r="V324" i="2"/>
  <c r="W324" i="2" s="1"/>
  <c r="V445" i="2"/>
  <c r="W445" i="2" s="1"/>
  <c r="V433" i="2"/>
  <c r="W433" i="2" s="1"/>
  <c r="V400" i="2"/>
  <c r="W400" i="2" s="1"/>
  <c r="V396" i="2"/>
  <c r="W396" i="2" s="1"/>
  <c r="V394" i="2"/>
  <c r="W394" i="2" s="1"/>
  <c r="V276" i="2"/>
  <c r="W276" i="2" s="1"/>
  <c r="V264" i="2"/>
  <c r="W264" i="2" s="1"/>
  <c r="V201" i="2"/>
  <c r="W201" i="2" s="1"/>
  <c r="V161" i="2"/>
  <c r="W161" i="2" s="1"/>
  <c r="V119" i="2"/>
  <c r="W119" i="2" s="1"/>
  <c r="V531" i="2"/>
  <c r="W531" i="2" s="1"/>
  <c r="V522" i="2"/>
  <c r="W522" i="2" s="1"/>
  <c r="V223" i="2"/>
  <c r="W223" i="2" s="1"/>
  <c r="V199" i="2"/>
  <c r="W199" i="2" s="1"/>
  <c r="V368" i="2"/>
  <c r="W368" i="2" s="1"/>
  <c r="V544" i="2"/>
  <c r="W544" i="2" s="1"/>
  <c r="V249" i="2"/>
  <c r="W249" i="2" s="1"/>
  <c r="V155" i="2"/>
  <c r="W155" i="2" s="1"/>
  <c r="V196" i="2"/>
  <c r="W196" i="2" s="1"/>
  <c r="V184" i="2"/>
  <c r="W184" i="2" s="1"/>
  <c r="V41" i="2"/>
  <c r="W41" i="2" s="1"/>
  <c r="V493" i="2"/>
  <c r="W493" i="2" s="1"/>
  <c r="V440" i="2"/>
  <c r="W440" i="2" s="1"/>
  <c r="V143" i="2"/>
  <c r="W143" i="2" s="1"/>
  <c r="V139" i="2"/>
  <c r="W139" i="2" s="1"/>
  <c r="V427" i="2"/>
  <c r="W427" i="2" s="1"/>
  <c r="V390" i="2"/>
  <c r="W390" i="2" s="1"/>
  <c r="V380" i="2"/>
  <c r="W380" i="2" s="1"/>
  <c r="V240" i="2"/>
  <c r="W240" i="2" s="1"/>
  <c r="V543" i="2"/>
  <c r="W543" i="2" s="1"/>
  <c r="V540" i="2"/>
  <c r="W540" i="2" s="1"/>
  <c r="V244" i="2"/>
  <c r="W244" i="2" s="1"/>
  <c r="V241" i="2"/>
  <c r="W241" i="2" s="1"/>
  <c r="V222" i="2"/>
  <c r="W222" i="2" s="1"/>
  <c r="V216" i="2"/>
  <c r="W216" i="2" s="1"/>
  <c r="V107" i="2"/>
  <c r="W107" i="2" s="1"/>
  <c r="V103" i="2"/>
  <c r="W103" i="2" s="1"/>
  <c r="V60" i="2"/>
  <c r="W60" i="2" s="1"/>
  <c r="V469" i="2"/>
  <c r="W469" i="2" s="1"/>
  <c r="V438" i="2"/>
  <c r="W438" i="2" s="1"/>
  <c r="V388" i="2"/>
  <c r="W388" i="2" s="1"/>
  <c r="V288" i="2"/>
  <c r="W288" i="2" s="1"/>
  <c r="V254" i="2"/>
  <c r="W254" i="2" s="1"/>
  <c r="V205" i="2"/>
  <c r="W205" i="2" s="1"/>
  <c r="V192" i="2"/>
  <c r="W192" i="2" s="1"/>
  <c r="V180" i="2"/>
  <c r="W180" i="2" s="1"/>
  <c r="V149" i="2"/>
  <c r="W149" i="2" s="1"/>
  <c r="V127" i="2"/>
  <c r="W127" i="2" s="1"/>
  <c r="V545" i="2"/>
  <c r="W545" i="2" s="1"/>
  <c r="V539" i="2"/>
  <c r="W539" i="2" s="1"/>
  <c r="V487" i="2"/>
  <c r="W487" i="2" s="1"/>
  <c r="V481" i="2"/>
  <c r="W481" i="2" s="1"/>
  <c r="V475" i="2"/>
  <c r="W475" i="2" s="1"/>
  <c r="V451" i="2"/>
  <c r="W451" i="2" s="1"/>
  <c r="V242" i="2"/>
  <c r="W242" i="2" s="1"/>
  <c r="V208" i="2"/>
  <c r="W208" i="2" s="1"/>
  <c r="V137" i="2"/>
  <c r="W137" i="2" s="1"/>
  <c r="V115" i="2"/>
  <c r="W115" i="2" s="1"/>
  <c r="V84" i="2"/>
  <c r="W84" i="2" s="1"/>
  <c r="V35" i="2"/>
  <c r="W35" i="2" s="1"/>
  <c r="V491" i="2"/>
  <c r="W491" i="2" s="1"/>
  <c r="V488" i="2"/>
  <c r="W488" i="2" s="1"/>
  <c r="V479" i="2"/>
  <c r="W479" i="2" s="1"/>
  <c r="V476" i="2"/>
  <c r="W476" i="2" s="1"/>
  <c r="V439" i="2"/>
  <c r="W439" i="2" s="1"/>
  <c r="V421" i="2"/>
  <c r="W421" i="2" s="1"/>
  <c r="V366" i="2"/>
  <c r="W366" i="2" s="1"/>
  <c r="V356" i="2"/>
  <c r="W356" i="2" s="1"/>
  <c r="V253" i="2"/>
  <c r="W253" i="2" s="1"/>
  <c r="V225" i="2"/>
  <c r="W225" i="2" s="1"/>
  <c r="V213" i="2"/>
  <c r="W213" i="2" s="1"/>
  <c r="V206" i="2"/>
  <c r="W206" i="2" s="1"/>
  <c r="V191" i="2"/>
  <c r="W191" i="2" s="1"/>
  <c r="V179" i="2"/>
  <c r="W179" i="2" s="1"/>
  <c r="V163" i="2"/>
  <c r="W163" i="2" s="1"/>
  <c r="V113" i="2"/>
  <c r="W113" i="2" s="1"/>
  <c r="V91" i="2"/>
  <c r="W91" i="2" s="1"/>
  <c r="V79" i="2"/>
  <c r="W79" i="2" s="1"/>
  <c r="V452" i="2"/>
  <c r="W452" i="2" s="1"/>
  <c r="V378" i="2"/>
  <c r="W378" i="2" s="1"/>
  <c r="V372" i="2"/>
  <c r="W372" i="2" s="1"/>
  <c r="V265" i="2"/>
  <c r="W265" i="2" s="1"/>
  <c r="V256" i="2"/>
  <c r="W256" i="2" s="1"/>
  <c r="V246" i="2"/>
  <c r="W246" i="2" s="1"/>
  <c r="V151" i="2"/>
  <c r="W151" i="2" s="1"/>
  <c r="V101" i="2"/>
  <c r="W101" i="2" s="1"/>
  <c r="V77" i="2"/>
  <c r="W77" i="2" s="1"/>
  <c r="V529" i="2"/>
  <c r="W529" i="2" s="1"/>
  <c r="V525" i="2"/>
  <c r="W525" i="2" s="1"/>
  <c r="V523" i="2"/>
  <c r="W523" i="2" s="1"/>
  <c r="V512" i="2"/>
  <c r="W512" i="2" s="1"/>
  <c r="V499" i="2"/>
  <c r="W499" i="2" s="1"/>
  <c r="V430" i="2"/>
  <c r="W430" i="2" s="1"/>
  <c r="V342" i="2"/>
  <c r="W342" i="2" s="1"/>
  <c r="V336" i="2"/>
  <c r="W336" i="2" s="1"/>
  <c r="V320" i="2"/>
  <c r="W320" i="2" s="1"/>
  <c r="V230" i="2"/>
  <c r="W230" i="2" s="1"/>
  <c r="V220" i="2"/>
  <c r="W220" i="2" s="1"/>
  <c r="V217" i="2"/>
  <c r="W217" i="2" s="1"/>
  <c r="V185" i="2"/>
  <c r="W185" i="2" s="1"/>
  <c r="V175" i="2"/>
  <c r="W175" i="2" s="1"/>
  <c r="V172" i="2"/>
  <c r="W172" i="2" s="1"/>
  <c r="V156" i="2"/>
  <c r="W156" i="2" s="1"/>
  <c r="V136" i="2"/>
  <c r="W136" i="2" s="1"/>
  <c r="V120" i="2"/>
  <c r="W120" i="2" s="1"/>
  <c r="V100" i="2"/>
  <c r="W100" i="2" s="1"/>
  <c r="V72" i="2"/>
  <c r="W72" i="2" s="1"/>
  <c r="V53" i="2"/>
  <c r="W53" i="2" s="1"/>
  <c r="V47" i="2"/>
  <c r="W47" i="2" s="1"/>
  <c r="V503" i="2"/>
  <c r="W503" i="2" s="1"/>
  <c r="V500" i="2"/>
  <c r="W500" i="2" s="1"/>
  <c r="V463" i="2"/>
  <c r="W463" i="2" s="1"/>
  <c r="V428" i="2"/>
  <c r="W428" i="2" s="1"/>
  <c r="V418" i="2"/>
  <c r="W418" i="2" s="1"/>
  <c r="V415" i="2"/>
  <c r="W415" i="2" s="1"/>
  <c r="V409" i="2"/>
  <c r="W409" i="2" s="1"/>
  <c r="V406" i="2"/>
  <c r="W406" i="2" s="1"/>
  <c r="V318" i="2"/>
  <c r="W318" i="2" s="1"/>
  <c r="V300" i="2"/>
  <c r="W300" i="2" s="1"/>
  <c r="V218" i="2"/>
  <c r="W218" i="2" s="1"/>
  <c r="V173" i="2"/>
  <c r="W173" i="2" s="1"/>
  <c r="V160" i="2"/>
  <c r="W160" i="2" s="1"/>
  <c r="V144" i="2"/>
  <c r="W144" i="2" s="1"/>
  <c r="V124" i="2"/>
  <c r="W124" i="2" s="1"/>
  <c r="V108" i="2"/>
  <c r="W108" i="2" s="1"/>
  <c r="V67" i="2"/>
  <c r="W67" i="2" s="1"/>
  <c r="V48" i="2"/>
  <c r="W48" i="2" s="1"/>
  <c r="V532" i="2"/>
  <c r="W532" i="2" s="1"/>
  <c r="V520" i="2"/>
  <c r="W520" i="2" s="1"/>
  <c r="V517" i="2"/>
  <c r="W517" i="2" s="1"/>
  <c r="V514" i="2"/>
  <c r="W514" i="2" s="1"/>
  <c r="V511" i="2"/>
  <c r="W511" i="2" s="1"/>
  <c r="V464" i="2"/>
  <c r="W464" i="2" s="1"/>
  <c r="V416" i="2"/>
  <c r="W416" i="2" s="1"/>
  <c r="V404" i="2"/>
  <c r="W404" i="2" s="1"/>
  <c r="V344" i="2"/>
  <c r="W344" i="2" s="1"/>
  <c r="V332" i="2"/>
  <c r="W332" i="2" s="1"/>
  <c r="V301" i="2"/>
  <c r="W301" i="2" s="1"/>
  <c r="V232" i="2"/>
  <c r="W232" i="2" s="1"/>
  <c r="V187" i="2"/>
  <c r="W187" i="2" s="1"/>
  <c r="V168" i="2"/>
  <c r="W168" i="2" s="1"/>
  <c r="V148" i="2"/>
  <c r="W148" i="2" s="1"/>
  <c r="V132" i="2"/>
  <c r="W132" i="2" s="1"/>
  <c r="V112" i="2"/>
  <c r="W112" i="2" s="1"/>
  <c r="V96" i="2"/>
  <c r="W96" i="2" s="1"/>
  <c r="V71" i="2"/>
  <c r="W71" i="2" s="1"/>
  <c r="V55" i="2"/>
  <c r="W55" i="2" s="1"/>
  <c r="V43" i="2"/>
  <c r="W43" i="2" s="1"/>
  <c r="V528" i="2"/>
  <c r="W528" i="2" s="1"/>
  <c r="V498" i="2"/>
  <c r="W498" i="2" s="1"/>
  <c r="V399" i="2"/>
  <c r="W399" i="2" s="1"/>
  <c r="V349" i="2"/>
  <c r="W349" i="2" s="1"/>
  <c r="V295" i="2"/>
  <c r="W295" i="2" s="1"/>
  <c r="V291" i="2"/>
  <c r="W291" i="2" s="1"/>
  <c r="V259" i="2"/>
  <c r="W259" i="2" s="1"/>
  <c r="V64" i="2"/>
  <c r="W64" i="2" s="1"/>
  <c r="V197" i="2"/>
  <c r="W197" i="2" s="1"/>
  <c r="V537" i="2"/>
  <c r="W537" i="2" s="1"/>
  <c r="V534" i="2"/>
  <c r="W534" i="2" s="1"/>
  <c r="V516" i="2"/>
  <c r="W516" i="2" s="1"/>
  <c r="V513" i="2"/>
  <c r="W513" i="2" s="1"/>
  <c r="V510" i="2"/>
  <c r="W510" i="2" s="1"/>
  <c r="V474" i="2"/>
  <c r="W474" i="2" s="1"/>
  <c r="V450" i="2"/>
  <c r="W450" i="2" s="1"/>
  <c r="V426" i="2"/>
  <c r="W426" i="2" s="1"/>
  <c r="V397" i="2"/>
  <c r="W397" i="2" s="1"/>
  <c r="V373" i="2"/>
  <c r="W373" i="2" s="1"/>
  <c r="V337" i="2"/>
  <c r="W337" i="2" s="1"/>
  <c r="V283" i="2"/>
  <c r="W283" i="2" s="1"/>
  <c r="V282" i="2"/>
  <c r="W282" i="2" s="1"/>
  <c r="V279" i="2"/>
  <c r="W279" i="2" s="1"/>
  <c r="V258" i="2"/>
  <c r="W258" i="2" s="1"/>
  <c r="V234" i="2"/>
  <c r="W234" i="2" s="1"/>
  <c r="V210" i="2"/>
  <c r="W210" i="2" s="1"/>
  <c r="V88" i="2"/>
  <c r="W88" i="2" s="1"/>
  <c r="V52" i="2"/>
  <c r="W52" i="2" s="1"/>
  <c r="V538" i="2"/>
  <c r="W538" i="2" s="1"/>
  <c r="V541" i="2"/>
  <c r="W541" i="2" s="1"/>
  <c r="V535" i="2"/>
  <c r="W535" i="2" s="1"/>
  <c r="V519" i="2"/>
  <c r="W519" i="2" s="1"/>
  <c r="V486" i="2"/>
  <c r="W486" i="2" s="1"/>
  <c r="V384" i="2"/>
  <c r="W384" i="2" s="1"/>
  <c r="V361" i="2"/>
  <c r="W361" i="2" s="1"/>
  <c r="V325" i="2"/>
  <c r="W325" i="2" s="1"/>
  <c r="V307" i="2"/>
  <c r="W307" i="2" s="1"/>
  <c r="V303" i="2"/>
  <c r="W303" i="2" s="1"/>
  <c r="V271" i="2"/>
  <c r="W271" i="2" s="1"/>
  <c r="V267" i="2"/>
  <c r="W267" i="2" s="1"/>
  <c r="V252" i="2"/>
  <c r="W252" i="2" s="1"/>
  <c r="V228" i="2"/>
  <c r="W228" i="2" s="1"/>
  <c r="V204" i="2"/>
  <c r="W204" i="2" s="1"/>
  <c r="V76" i="2"/>
  <c r="W76" i="2" s="1"/>
  <c r="V40" i="2"/>
  <c r="W40" i="2" s="1"/>
  <c r="V507" i="2"/>
  <c r="W507" i="2" s="1"/>
  <c r="V497" i="2"/>
  <c r="W497" i="2" s="1"/>
  <c r="V495" i="2"/>
  <c r="W495" i="2" s="1"/>
  <c r="V494" i="2"/>
  <c r="W494" i="2" s="1"/>
  <c r="V485" i="2"/>
  <c r="W485" i="2" s="1"/>
  <c r="V483" i="2"/>
  <c r="W483" i="2" s="1"/>
  <c r="V482" i="2"/>
  <c r="W482" i="2" s="1"/>
  <c r="V473" i="2"/>
  <c r="W473" i="2" s="1"/>
  <c r="V471" i="2"/>
  <c r="W471" i="2" s="1"/>
  <c r="V470" i="2"/>
  <c r="W470" i="2" s="1"/>
  <c r="V461" i="2"/>
  <c r="W461" i="2" s="1"/>
  <c r="V459" i="2"/>
  <c r="W459" i="2" s="1"/>
  <c r="V458" i="2"/>
  <c r="W458" i="2" s="1"/>
  <c r="V449" i="2"/>
  <c r="W449" i="2" s="1"/>
  <c r="V447" i="2"/>
  <c r="W447" i="2" s="1"/>
  <c r="V446" i="2"/>
  <c r="W446" i="2" s="1"/>
  <c r="V437" i="2"/>
  <c r="W437" i="2" s="1"/>
  <c r="V435" i="2"/>
  <c r="W435" i="2" s="1"/>
  <c r="V434" i="2"/>
  <c r="W434" i="2" s="1"/>
  <c r="V425" i="2"/>
  <c r="W425" i="2" s="1"/>
  <c r="V423" i="2"/>
  <c r="W423" i="2" s="1"/>
  <c r="V422" i="2"/>
  <c r="W422" i="2" s="1"/>
  <c r="V414" i="2"/>
  <c r="W414" i="2" s="1"/>
  <c r="V413" i="2"/>
  <c r="W413" i="2" s="1"/>
  <c r="V411" i="2"/>
  <c r="W411" i="2" s="1"/>
  <c r="V410" i="2"/>
  <c r="W410" i="2" s="1"/>
  <c r="V403" i="2"/>
  <c r="W403" i="2" s="1"/>
  <c r="V391" i="2"/>
  <c r="W391" i="2" s="1"/>
  <c r="V509" i="2"/>
  <c r="W509" i="2" s="1"/>
  <c r="V542" i="2"/>
  <c r="W542" i="2" s="1"/>
  <c r="V530" i="2"/>
  <c r="W530" i="2" s="1"/>
  <c r="V527" i="2"/>
  <c r="W527" i="2" s="1"/>
  <c r="V518" i="2"/>
  <c r="W518" i="2" s="1"/>
  <c r="V515" i="2"/>
  <c r="W515" i="2" s="1"/>
  <c r="V502" i="2"/>
  <c r="W502" i="2" s="1"/>
  <c r="V490" i="2"/>
  <c r="W490" i="2" s="1"/>
  <c r="V478" i="2"/>
  <c r="W478" i="2" s="1"/>
  <c r="V466" i="2"/>
  <c r="W466" i="2" s="1"/>
  <c r="V454" i="2"/>
  <c r="W454" i="2" s="1"/>
  <c r="V442" i="2"/>
  <c r="W442" i="2" s="1"/>
  <c r="V526" i="2"/>
  <c r="W526" i="2" s="1"/>
  <c r="V506" i="2"/>
  <c r="W506" i="2" s="1"/>
  <c r="V313" i="2"/>
  <c r="W313" i="2" s="1"/>
  <c r="V504" i="2"/>
  <c r="W504" i="2" s="1"/>
  <c r="V492" i="2"/>
  <c r="W492" i="2" s="1"/>
  <c r="V468" i="2"/>
  <c r="W468" i="2" s="1"/>
  <c r="V467" i="2"/>
  <c r="W467" i="2" s="1"/>
  <c r="V465" i="2"/>
  <c r="W465" i="2" s="1"/>
  <c r="V456" i="2"/>
  <c r="W456" i="2" s="1"/>
  <c r="V455" i="2"/>
  <c r="W455" i="2" s="1"/>
  <c r="V453" i="2"/>
  <c r="W453" i="2" s="1"/>
  <c r="V444" i="2"/>
  <c r="W444" i="2" s="1"/>
  <c r="V443" i="2"/>
  <c r="W443" i="2" s="1"/>
  <c r="V441" i="2"/>
  <c r="W441" i="2" s="1"/>
  <c r="V432" i="2"/>
  <c r="W432" i="2" s="1"/>
  <c r="V431" i="2"/>
  <c r="W431" i="2" s="1"/>
  <c r="V429" i="2"/>
  <c r="W429" i="2" s="1"/>
  <c r="V420" i="2"/>
  <c r="W420" i="2" s="1"/>
  <c r="V419" i="2"/>
  <c r="W419" i="2" s="1"/>
  <c r="V417" i="2"/>
  <c r="W417" i="2" s="1"/>
  <c r="V408" i="2"/>
  <c r="W408" i="2" s="1"/>
  <c r="V407" i="2"/>
  <c r="W407" i="2" s="1"/>
  <c r="V402" i="2"/>
  <c r="W402" i="2" s="1"/>
  <c r="V385" i="2"/>
  <c r="W385" i="2" s="1"/>
  <c r="V501" i="2"/>
  <c r="W501" i="2" s="1"/>
  <c r="V489" i="2"/>
  <c r="W489" i="2" s="1"/>
  <c r="V480" i="2"/>
  <c r="W480" i="2" s="1"/>
  <c r="V477" i="2"/>
  <c r="W477" i="2" s="1"/>
  <c r="V536" i="2"/>
  <c r="W536" i="2" s="1"/>
  <c r="V533" i="2"/>
  <c r="W533" i="2" s="1"/>
  <c r="V524" i="2"/>
  <c r="W524" i="2" s="1"/>
  <c r="V521" i="2"/>
  <c r="W521" i="2" s="1"/>
  <c r="V508" i="2"/>
  <c r="W508" i="2" s="1"/>
  <c r="V496" i="2"/>
  <c r="W496" i="2" s="1"/>
  <c r="V484" i="2"/>
  <c r="W484" i="2" s="1"/>
  <c r="V472" i="2"/>
  <c r="W472" i="2" s="1"/>
  <c r="V460" i="2"/>
  <c r="W460" i="2" s="1"/>
  <c r="V448" i="2"/>
  <c r="W448" i="2" s="1"/>
  <c r="V436" i="2"/>
  <c r="W436" i="2" s="1"/>
  <c r="V424" i="2"/>
  <c r="W424" i="2" s="1"/>
  <c r="V412" i="2"/>
  <c r="W412" i="2" s="1"/>
  <c r="V405" i="2"/>
  <c r="W405" i="2" s="1"/>
  <c r="V398" i="2"/>
  <c r="W398" i="2" s="1"/>
  <c r="V395" i="2"/>
  <c r="W395" i="2" s="1"/>
  <c r="V389" i="2"/>
  <c r="W389" i="2" s="1"/>
  <c r="V383" i="2"/>
  <c r="W383" i="2" s="1"/>
  <c r="V371" i="2"/>
  <c r="W371" i="2" s="1"/>
  <c r="V359" i="2"/>
  <c r="W359" i="2" s="1"/>
  <c r="V347" i="2"/>
  <c r="W347" i="2" s="1"/>
  <c r="V335" i="2"/>
  <c r="W335" i="2" s="1"/>
  <c r="V323" i="2"/>
  <c r="W323" i="2" s="1"/>
  <c r="V292" i="2"/>
  <c r="W292" i="2" s="1"/>
  <c r="V285" i="2"/>
  <c r="W285" i="2" s="1"/>
  <c r="V381" i="2"/>
  <c r="W381" i="2" s="1"/>
  <c r="V376" i="2"/>
  <c r="W376" i="2" s="1"/>
  <c r="V369" i="2"/>
  <c r="W369" i="2" s="1"/>
  <c r="V364" i="2"/>
  <c r="W364" i="2" s="1"/>
  <c r="V357" i="2"/>
  <c r="W357" i="2" s="1"/>
  <c r="V352" i="2"/>
  <c r="W352" i="2" s="1"/>
  <c r="V345" i="2"/>
  <c r="W345" i="2" s="1"/>
  <c r="V340" i="2"/>
  <c r="W340" i="2" s="1"/>
  <c r="V333" i="2"/>
  <c r="W333" i="2" s="1"/>
  <c r="V328" i="2"/>
  <c r="W328" i="2" s="1"/>
  <c r="V321" i="2"/>
  <c r="W321" i="2" s="1"/>
  <c r="V316" i="2"/>
  <c r="W316" i="2" s="1"/>
  <c r="V304" i="2"/>
  <c r="W304" i="2" s="1"/>
  <c r="V297" i="2"/>
  <c r="W297" i="2" s="1"/>
  <c r="V268" i="2"/>
  <c r="W268" i="2" s="1"/>
  <c r="V261" i="2"/>
  <c r="W261" i="2" s="1"/>
  <c r="V401" i="2"/>
  <c r="W401" i="2" s="1"/>
  <c r="V377" i="2"/>
  <c r="W377" i="2" s="1"/>
  <c r="V365" i="2"/>
  <c r="W365" i="2" s="1"/>
  <c r="V353" i="2"/>
  <c r="W353" i="2" s="1"/>
  <c r="V341" i="2"/>
  <c r="W341" i="2" s="1"/>
  <c r="V329" i="2"/>
  <c r="W329" i="2" s="1"/>
  <c r="V317" i="2"/>
  <c r="W317" i="2" s="1"/>
  <c r="V294" i="2"/>
  <c r="W294" i="2" s="1"/>
  <c r="V393" i="2"/>
  <c r="W393" i="2" s="1"/>
  <c r="V392" i="2"/>
  <c r="W392" i="2" s="1"/>
  <c r="V387" i="2"/>
  <c r="W387" i="2" s="1"/>
  <c r="V386" i="2"/>
  <c r="W386" i="2" s="1"/>
  <c r="V379" i="2"/>
  <c r="W379" i="2" s="1"/>
  <c r="V374" i="2"/>
  <c r="W374" i="2" s="1"/>
  <c r="V367" i="2"/>
  <c r="W367" i="2" s="1"/>
  <c r="V362" i="2"/>
  <c r="W362" i="2" s="1"/>
  <c r="V355" i="2"/>
  <c r="W355" i="2" s="1"/>
  <c r="V350" i="2"/>
  <c r="W350" i="2" s="1"/>
  <c r="V343" i="2"/>
  <c r="W343" i="2" s="1"/>
  <c r="V338" i="2"/>
  <c r="W338" i="2" s="1"/>
  <c r="V331" i="2"/>
  <c r="W331" i="2" s="1"/>
  <c r="V326" i="2"/>
  <c r="W326" i="2" s="1"/>
  <c r="V319" i="2"/>
  <c r="W319" i="2" s="1"/>
  <c r="V311" i="2"/>
  <c r="W311" i="2" s="1"/>
  <c r="V309" i="2"/>
  <c r="W309" i="2" s="1"/>
  <c r="V280" i="2"/>
  <c r="W280" i="2" s="1"/>
  <c r="V273" i="2"/>
  <c r="W273" i="2" s="1"/>
  <c r="V382" i="2"/>
  <c r="W382" i="2" s="1"/>
  <c r="V375" i="2"/>
  <c r="W375" i="2" s="1"/>
  <c r="V370" i="2"/>
  <c r="W370" i="2" s="1"/>
  <c r="V363" i="2"/>
  <c r="W363" i="2" s="1"/>
  <c r="V358" i="2"/>
  <c r="W358" i="2" s="1"/>
  <c r="V351" i="2"/>
  <c r="W351" i="2" s="1"/>
  <c r="V346" i="2"/>
  <c r="W346" i="2" s="1"/>
  <c r="V339" i="2"/>
  <c r="W339" i="2" s="1"/>
  <c r="V334" i="2"/>
  <c r="W334" i="2" s="1"/>
  <c r="V327" i="2"/>
  <c r="W327" i="2" s="1"/>
  <c r="V322" i="2"/>
  <c r="W322" i="2" s="1"/>
  <c r="V315" i="2"/>
  <c r="W315" i="2" s="1"/>
  <c r="V312" i="2"/>
  <c r="W312" i="2" s="1"/>
  <c r="V306" i="2"/>
  <c r="W306" i="2" s="1"/>
  <c r="V270" i="2"/>
  <c r="W270" i="2" s="1"/>
  <c r="V314" i="2"/>
  <c r="W314" i="2" s="1"/>
  <c r="V308" i="2"/>
  <c r="W308" i="2" s="1"/>
  <c r="V305" i="2"/>
  <c r="W305" i="2" s="1"/>
  <c r="V296" i="2"/>
  <c r="W296" i="2" s="1"/>
  <c r="V293" i="2"/>
  <c r="W293" i="2" s="1"/>
  <c r="V284" i="2"/>
  <c r="W284" i="2" s="1"/>
  <c r="V281" i="2"/>
  <c r="W281" i="2" s="1"/>
  <c r="V272" i="2"/>
  <c r="W272" i="2" s="1"/>
  <c r="V269" i="2"/>
  <c r="W269" i="2" s="1"/>
  <c r="V260" i="2"/>
  <c r="W260" i="2" s="1"/>
  <c r="V257" i="2"/>
  <c r="W257" i="2" s="1"/>
  <c r="V310" i="2"/>
  <c r="W310" i="2" s="1"/>
  <c r="V245" i="2"/>
  <c r="W245" i="2" s="1"/>
  <c r="V233" i="2"/>
  <c r="W233" i="2" s="1"/>
  <c r="V221" i="2"/>
  <c r="W221" i="2" s="1"/>
  <c r="V209" i="2"/>
  <c r="W209" i="2" s="1"/>
  <c r="V298" i="2"/>
  <c r="W298" i="2" s="1"/>
  <c r="V286" i="2"/>
  <c r="W286" i="2" s="1"/>
  <c r="V274" i="2"/>
  <c r="W274" i="2" s="1"/>
  <c r="V262" i="2"/>
  <c r="W262" i="2" s="1"/>
  <c r="V255" i="2"/>
  <c r="W255" i="2" s="1"/>
  <c r="V250" i="2"/>
  <c r="W250" i="2" s="1"/>
  <c r="V243" i="2"/>
  <c r="W243" i="2" s="1"/>
  <c r="V238" i="2"/>
  <c r="W238" i="2" s="1"/>
  <c r="V231" i="2"/>
  <c r="W231" i="2" s="1"/>
  <c r="V226" i="2"/>
  <c r="W226" i="2" s="1"/>
  <c r="V219" i="2"/>
  <c r="W219" i="2" s="1"/>
  <c r="V214" i="2"/>
  <c r="W214" i="2" s="1"/>
  <c r="V207" i="2"/>
  <c r="W207" i="2" s="1"/>
  <c r="V202" i="2"/>
  <c r="W202" i="2" s="1"/>
  <c r="V302" i="2"/>
  <c r="W302" i="2" s="1"/>
  <c r="V299" i="2"/>
  <c r="W299" i="2" s="1"/>
  <c r="V290" i="2"/>
  <c r="W290" i="2" s="1"/>
  <c r="V287" i="2"/>
  <c r="W287" i="2" s="1"/>
  <c r="V278" i="2"/>
  <c r="W278" i="2" s="1"/>
  <c r="V275" i="2"/>
  <c r="W275" i="2" s="1"/>
  <c r="V266" i="2"/>
  <c r="W266" i="2" s="1"/>
  <c r="V263" i="2"/>
  <c r="W263" i="2" s="1"/>
  <c r="V251" i="2"/>
  <c r="W251" i="2" s="1"/>
  <c r="V248" i="2"/>
  <c r="W248" i="2" s="1"/>
  <c r="V239" i="2"/>
  <c r="W239" i="2" s="1"/>
  <c r="V236" i="2"/>
  <c r="W236" i="2" s="1"/>
  <c r="V227" i="2"/>
  <c r="W227" i="2" s="1"/>
  <c r="V224" i="2"/>
  <c r="W224" i="2" s="1"/>
  <c r="V215" i="2"/>
  <c r="W215" i="2" s="1"/>
  <c r="V212" i="2"/>
  <c r="W212" i="2" s="1"/>
  <c r="V203" i="2"/>
  <c r="W203" i="2" s="1"/>
  <c r="V200" i="2"/>
  <c r="W200" i="2" s="1"/>
  <c r="V190" i="2"/>
  <c r="W190" i="2" s="1"/>
  <c r="V178" i="2"/>
  <c r="W178" i="2" s="1"/>
  <c r="V166" i="2"/>
  <c r="W166" i="2" s="1"/>
  <c r="V154" i="2"/>
  <c r="W154" i="2" s="1"/>
  <c r="V142" i="2"/>
  <c r="W142" i="2" s="1"/>
  <c r="V130" i="2"/>
  <c r="W130" i="2" s="1"/>
  <c r="V118" i="2"/>
  <c r="W118" i="2" s="1"/>
  <c r="V106" i="2"/>
  <c r="W106" i="2" s="1"/>
  <c r="V195" i="2"/>
  <c r="W195" i="2" s="1"/>
  <c r="V188" i="2"/>
  <c r="W188" i="2" s="1"/>
  <c r="V183" i="2"/>
  <c r="W183" i="2" s="1"/>
  <c r="V176" i="2"/>
  <c r="W176" i="2" s="1"/>
  <c r="V171" i="2"/>
  <c r="W171" i="2" s="1"/>
  <c r="V164" i="2"/>
  <c r="W164" i="2" s="1"/>
  <c r="V159" i="2"/>
  <c r="W159" i="2" s="1"/>
  <c r="V152" i="2"/>
  <c r="W152" i="2" s="1"/>
  <c r="V147" i="2"/>
  <c r="W147" i="2" s="1"/>
  <c r="V140" i="2"/>
  <c r="W140" i="2" s="1"/>
  <c r="V135" i="2"/>
  <c r="W135" i="2" s="1"/>
  <c r="V128" i="2"/>
  <c r="W128" i="2" s="1"/>
  <c r="V123" i="2"/>
  <c r="W123" i="2" s="1"/>
  <c r="V116" i="2"/>
  <c r="W116" i="2" s="1"/>
  <c r="V111" i="2"/>
  <c r="W111" i="2" s="1"/>
  <c r="V104" i="2"/>
  <c r="W104" i="2" s="1"/>
  <c r="V99" i="2"/>
  <c r="W99" i="2" s="1"/>
  <c r="V92" i="2"/>
  <c r="W92" i="2" s="1"/>
  <c r="V87" i="2"/>
  <c r="W87" i="2" s="1"/>
  <c r="V80" i="2"/>
  <c r="W80" i="2" s="1"/>
  <c r="V75" i="2"/>
  <c r="W75" i="2" s="1"/>
  <c r="V68" i="2"/>
  <c r="W68" i="2" s="1"/>
  <c r="V63" i="2"/>
  <c r="W63" i="2" s="1"/>
  <c r="V56" i="2"/>
  <c r="W56" i="2" s="1"/>
  <c r="V51" i="2"/>
  <c r="W51" i="2" s="1"/>
  <c r="V44" i="2"/>
  <c r="W44" i="2" s="1"/>
  <c r="V39" i="2"/>
  <c r="W39" i="2" s="1"/>
  <c r="V36" i="2"/>
  <c r="W36" i="2" s="1"/>
  <c r="V193" i="2"/>
  <c r="W193" i="2" s="1"/>
  <c r="V181" i="2"/>
  <c r="W181" i="2" s="1"/>
  <c r="V169" i="2"/>
  <c r="W169" i="2" s="1"/>
  <c r="V157" i="2"/>
  <c r="W157" i="2" s="1"/>
  <c r="V145" i="2"/>
  <c r="W145" i="2" s="1"/>
  <c r="V133" i="2"/>
  <c r="W133" i="2" s="1"/>
  <c r="V121" i="2"/>
  <c r="W121" i="2" s="1"/>
  <c r="V109" i="2"/>
  <c r="W109" i="2" s="1"/>
  <c r="V97" i="2"/>
  <c r="W97" i="2" s="1"/>
  <c r="V85" i="2"/>
  <c r="W85" i="2" s="1"/>
  <c r="V73" i="2"/>
  <c r="W73" i="2" s="1"/>
  <c r="V61" i="2"/>
  <c r="W61" i="2" s="1"/>
  <c r="V49" i="2"/>
  <c r="W49" i="2" s="1"/>
  <c r="V37" i="2"/>
  <c r="W37" i="2" s="1"/>
  <c r="V198" i="2"/>
  <c r="W198" i="2" s="1"/>
  <c r="V194" i="2"/>
  <c r="W194" i="2" s="1"/>
  <c r="V189" i="2"/>
  <c r="W189" i="2" s="1"/>
  <c r="V186" i="2"/>
  <c r="W186" i="2" s="1"/>
  <c r="V182" i="2"/>
  <c r="W182" i="2" s="1"/>
  <c r="V177" i="2"/>
  <c r="W177" i="2" s="1"/>
  <c r="V174" i="2"/>
  <c r="W174" i="2" s="1"/>
  <c r="V170" i="2"/>
  <c r="W170" i="2" s="1"/>
  <c r="V165" i="2"/>
  <c r="W165" i="2" s="1"/>
  <c r="V162" i="2"/>
  <c r="W162" i="2" s="1"/>
  <c r="V158" i="2"/>
  <c r="W158" i="2" s="1"/>
  <c r="V153" i="2"/>
  <c r="W153" i="2" s="1"/>
  <c r="V150" i="2"/>
  <c r="W150" i="2" s="1"/>
  <c r="V146" i="2"/>
  <c r="W146" i="2" s="1"/>
  <c r="V141" i="2"/>
  <c r="W141" i="2" s="1"/>
  <c r="V138" i="2"/>
  <c r="W138" i="2" s="1"/>
  <c r="V134" i="2"/>
  <c r="W134" i="2" s="1"/>
  <c r="V129" i="2"/>
  <c r="W129" i="2" s="1"/>
  <c r="V126" i="2"/>
  <c r="W126" i="2" s="1"/>
  <c r="V122" i="2"/>
  <c r="W122" i="2" s="1"/>
  <c r="V117" i="2"/>
  <c r="W117" i="2" s="1"/>
  <c r="V114" i="2"/>
  <c r="W114" i="2" s="1"/>
  <c r="V110" i="2"/>
  <c r="W110" i="2" s="1"/>
  <c r="V105" i="2"/>
  <c r="W105" i="2" s="1"/>
  <c r="V102" i="2"/>
  <c r="W102" i="2" s="1"/>
  <c r="V98" i="2"/>
  <c r="W98" i="2" s="1"/>
  <c r="V94" i="2"/>
  <c r="W94" i="2" s="1"/>
  <c r="V93" i="2"/>
  <c r="W93" i="2" s="1"/>
  <c r="V90" i="2"/>
  <c r="W90" i="2" s="1"/>
  <c r="V86" i="2"/>
  <c r="W86" i="2" s="1"/>
  <c r="V82" i="2"/>
  <c r="W82" i="2" s="1"/>
  <c r="V81" i="2"/>
  <c r="W81" i="2" s="1"/>
  <c r="V78" i="2"/>
  <c r="W78" i="2" s="1"/>
  <c r="V74" i="2"/>
  <c r="W74" i="2" s="1"/>
  <c r="V70" i="2"/>
  <c r="W70" i="2" s="1"/>
  <c r="V69" i="2"/>
  <c r="W69" i="2" s="1"/>
  <c r="V66" i="2"/>
  <c r="W66" i="2" s="1"/>
  <c r="V62" i="2"/>
  <c r="W62" i="2" s="1"/>
  <c r="V58" i="2"/>
  <c r="W58" i="2" s="1"/>
  <c r="V57" i="2"/>
  <c r="W57" i="2" s="1"/>
  <c r="V54" i="2"/>
  <c r="W54" i="2" s="1"/>
  <c r="V50" i="2"/>
  <c r="W50" i="2" s="1"/>
  <c r="V46" i="2"/>
  <c r="W46" i="2" s="1"/>
  <c r="V45" i="2"/>
  <c r="W45" i="2" s="1"/>
  <c r="V42" i="2"/>
  <c r="W42" i="2" s="1"/>
  <c r="V38" i="2"/>
  <c r="W38" i="2" s="1"/>
  <c r="V34" i="2"/>
  <c r="W34" i="2" s="1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68" i="5"/>
  <c r="X45" i="2" l="1"/>
  <c r="Y45" i="2"/>
  <c r="Z45" i="2" s="1"/>
  <c r="X122" i="2"/>
  <c r="Y122" i="2"/>
  <c r="Z122" i="2" s="1"/>
  <c r="X85" i="2"/>
  <c r="Y85" i="2"/>
  <c r="Z85" i="2" s="1"/>
  <c r="X152" i="2"/>
  <c r="Y152" i="2"/>
  <c r="Z152" i="2" s="1"/>
  <c r="X287" i="2"/>
  <c r="Y287" i="2"/>
  <c r="Z287" i="2" s="1"/>
  <c r="X260" i="2"/>
  <c r="Y260" i="2"/>
  <c r="Z260" i="2" s="1"/>
  <c r="X382" i="2"/>
  <c r="Y382" i="2"/>
  <c r="Z382" i="2" s="1"/>
  <c r="X297" i="2"/>
  <c r="Y297" i="2"/>
  <c r="Z297" i="2" s="1"/>
  <c r="X398" i="2"/>
  <c r="Y398" i="2"/>
  <c r="Z398" i="2" s="1"/>
  <c r="X419" i="2"/>
  <c r="Y419" i="2"/>
  <c r="Z419" i="2" s="1"/>
  <c r="X502" i="2"/>
  <c r="Y502" i="2"/>
  <c r="Z502" i="2" s="1"/>
  <c r="X414" i="2"/>
  <c r="Y414" i="2"/>
  <c r="Z414" i="2" s="1"/>
  <c r="X485" i="2"/>
  <c r="Y485" i="2"/>
  <c r="Z485" i="2" s="1"/>
  <c r="X210" i="2"/>
  <c r="Y210" i="2"/>
  <c r="Z210" i="2" s="1"/>
  <c r="X498" i="2"/>
  <c r="Y498" i="2"/>
  <c r="Z498" i="2" s="1"/>
  <c r="X67" i="2"/>
  <c r="Y67" i="2"/>
  <c r="Z67" i="2" s="1"/>
  <c r="X320" i="2"/>
  <c r="Y320" i="2"/>
  <c r="Z320" i="2" s="1"/>
  <c r="X206" i="2"/>
  <c r="Y206" i="2"/>
  <c r="Z206" i="2" s="1"/>
  <c r="X127" i="2"/>
  <c r="Y127" i="2"/>
  <c r="Z127" i="2" s="1"/>
  <c r="X543" i="2"/>
  <c r="Y543" i="2"/>
  <c r="Z543" i="2" s="1"/>
  <c r="X522" i="2"/>
  <c r="Y522" i="2"/>
  <c r="Z522" i="2" s="1"/>
  <c r="X324" i="2"/>
  <c r="Y324" i="2"/>
  <c r="Z324" i="2" s="1"/>
  <c r="X46" i="2"/>
  <c r="Y46" i="2"/>
  <c r="Z46" i="2" s="1"/>
  <c r="X126" i="2"/>
  <c r="Y126" i="2"/>
  <c r="Z126" i="2" s="1"/>
  <c r="X169" i="2"/>
  <c r="Y169" i="2"/>
  <c r="Z169" i="2" s="1"/>
  <c r="X159" i="2"/>
  <c r="Y159" i="2"/>
  <c r="Z159" i="2" s="1"/>
  <c r="X215" i="2"/>
  <c r="Y215" i="2"/>
  <c r="Z215" i="2" s="1"/>
  <c r="X219" i="2"/>
  <c r="Y219" i="2"/>
  <c r="Z219" i="2" s="1"/>
  <c r="X269" i="2"/>
  <c r="Y269" i="2"/>
  <c r="Z269" i="2" s="1"/>
  <c r="X273" i="2"/>
  <c r="Y273" i="2"/>
  <c r="Z273" i="2" s="1"/>
  <c r="X365" i="2"/>
  <c r="Y365" i="2"/>
  <c r="Z365" i="2" s="1"/>
  <c r="X359" i="2"/>
  <c r="Y359" i="2"/>
  <c r="Z359" i="2" s="1"/>
  <c r="X385" i="2"/>
  <c r="Y385" i="2"/>
  <c r="Z385" i="2" s="1"/>
  <c r="X442" i="2"/>
  <c r="Y442" i="2"/>
  <c r="Z442" i="2" s="1"/>
  <c r="X446" i="2"/>
  <c r="Y446" i="2"/>
  <c r="Z446" i="2" s="1"/>
  <c r="X307" i="2"/>
  <c r="Y307" i="2"/>
  <c r="Z307" i="2" s="1"/>
  <c r="X513" i="2"/>
  <c r="Y513" i="2"/>
  <c r="Z513" i="2" s="1"/>
  <c r="X332" i="2"/>
  <c r="Y332" i="2"/>
  <c r="Z332" i="2" s="1"/>
  <c r="X428" i="2"/>
  <c r="Y428" i="2"/>
  <c r="Z428" i="2" s="1"/>
  <c r="X525" i="2"/>
  <c r="Y525" i="2"/>
  <c r="Z525" i="2" s="1"/>
  <c r="X439" i="2"/>
  <c r="Y439" i="2"/>
  <c r="Z439" i="2" s="1"/>
  <c r="X388" i="2"/>
  <c r="Y388" i="2"/>
  <c r="Z388" i="2" s="1"/>
  <c r="X249" i="2"/>
  <c r="Y249" i="2"/>
  <c r="Z249" i="2" s="1"/>
  <c r="X211" i="2"/>
  <c r="Y211" i="2"/>
  <c r="Z211" i="2" s="1"/>
  <c r="X69" i="2"/>
  <c r="Y69" i="2"/>
  <c r="Z69" i="2" s="1"/>
  <c r="X129" i="2"/>
  <c r="Y129" i="2"/>
  <c r="Z129" i="2" s="1"/>
  <c r="X177" i="2"/>
  <c r="Y177" i="2"/>
  <c r="Z177" i="2" s="1"/>
  <c r="X54" i="2"/>
  <c r="Y54" i="2"/>
  <c r="Z54" i="2" s="1"/>
  <c r="X110" i="2"/>
  <c r="Y110" i="2"/>
  <c r="Z110" i="2" s="1"/>
  <c r="X158" i="2"/>
  <c r="Y158" i="2"/>
  <c r="Z158" i="2" s="1"/>
  <c r="X121" i="2"/>
  <c r="Y121" i="2"/>
  <c r="Z121" i="2" s="1"/>
  <c r="X193" i="2"/>
  <c r="Y193" i="2"/>
  <c r="Z193" i="2" s="1"/>
  <c r="X135" i="2"/>
  <c r="Y135" i="2"/>
  <c r="Z135" i="2" s="1"/>
  <c r="X118" i="2"/>
  <c r="Y118" i="2"/>
  <c r="Z118" i="2" s="1"/>
  <c r="X266" i="2"/>
  <c r="Y266" i="2"/>
  <c r="Z266" i="2" s="1"/>
  <c r="X231" i="2"/>
  <c r="Y231" i="2"/>
  <c r="Z231" i="2" s="1"/>
  <c r="X281" i="2"/>
  <c r="Y281" i="2"/>
  <c r="Z281" i="2" s="1"/>
  <c r="X363" i="2"/>
  <c r="Y363" i="2"/>
  <c r="Z363" i="2" s="1"/>
  <c r="X379" i="2"/>
  <c r="Y379" i="2"/>
  <c r="Z379" i="2" s="1"/>
  <c r="X401" i="2"/>
  <c r="Y401" i="2"/>
  <c r="Z401" i="2" s="1"/>
  <c r="X292" i="2"/>
  <c r="Y292" i="2"/>
  <c r="Z292" i="2" s="1"/>
  <c r="X496" i="2"/>
  <c r="Y496" i="2"/>
  <c r="Z496" i="2" s="1"/>
  <c r="X431" i="2"/>
  <c r="Y431" i="2"/>
  <c r="Z431" i="2" s="1"/>
  <c r="X504" i="2"/>
  <c r="Y504" i="2"/>
  <c r="Z504" i="2" s="1"/>
  <c r="X410" i="2"/>
  <c r="Y410" i="2"/>
  <c r="Z410" i="2" s="1"/>
  <c r="X449" i="2"/>
  <c r="Y449" i="2"/>
  <c r="Z449" i="2" s="1"/>
  <c r="X252" i="2"/>
  <c r="Y252" i="2"/>
  <c r="Z252" i="2" s="1"/>
  <c r="X279" i="2"/>
  <c r="Y279" i="2"/>
  <c r="Z279" i="2" s="1"/>
  <c r="X500" i="2"/>
  <c r="Y500" i="2"/>
  <c r="Z500" i="2" s="1"/>
  <c r="X42" i="2"/>
  <c r="Y42" i="2"/>
  <c r="Z42" i="2" s="1"/>
  <c r="X58" i="2"/>
  <c r="Y58" i="2"/>
  <c r="Z58" i="2" s="1"/>
  <c r="X78" i="2"/>
  <c r="Y78" i="2"/>
  <c r="Z78" i="2" s="1"/>
  <c r="X94" i="2"/>
  <c r="Y94" i="2"/>
  <c r="Z94" i="2" s="1"/>
  <c r="X117" i="2"/>
  <c r="Y117" i="2"/>
  <c r="Z117" i="2" s="1"/>
  <c r="X141" i="2"/>
  <c r="Y141" i="2"/>
  <c r="Z141" i="2" s="1"/>
  <c r="X165" i="2"/>
  <c r="Y165" i="2"/>
  <c r="Z165" i="2" s="1"/>
  <c r="X189" i="2"/>
  <c r="Y189" i="2"/>
  <c r="Z189" i="2" s="1"/>
  <c r="X73" i="2"/>
  <c r="Y73" i="2"/>
  <c r="Z73" i="2" s="1"/>
  <c r="X145" i="2"/>
  <c r="Y145" i="2"/>
  <c r="Z145" i="2" s="1"/>
  <c r="X39" i="2"/>
  <c r="Y39" i="2"/>
  <c r="Z39" i="2" s="1"/>
  <c r="X75" i="2"/>
  <c r="Y75" i="2"/>
  <c r="Z75" i="2" s="1"/>
  <c r="X111" i="2"/>
  <c r="Y111" i="2"/>
  <c r="Z111" i="2" s="1"/>
  <c r="X147" i="2"/>
  <c r="Y147" i="2"/>
  <c r="Z147" i="2" s="1"/>
  <c r="X183" i="2"/>
  <c r="Y183" i="2"/>
  <c r="Z183" i="2" s="1"/>
  <c r="X142" i="2"/>
  <c r="Y142" i="2"/>
  <c r="Z142" i="2" s="1"/>
  <c r="X203" i="2"/>
  <c r="Y203" i="2"/>
  <c r="Z203" i="2" s="1"/>
  <c r="X239" i="2"/>
  <c r="Y239" i="2"/>
  <c r="Z239" i="2" s="1"/>
  <c r="X278" i="2"/>
  <c r="Y278" i="2"/>
  <c r="Z278" i="2" s="1"/>
  <c r="X207" i="2"/>
  <c r="Y207" i="2"/>
  <c r="Z207" i="2" s="1"/>
  <c r="X243" i="2"/>
  <c r="Y243" i="2"/>
  <c r="Z243" i="2" s="1"/>
  <c r="X298" i="2"/>
  <c r="Y298" i="2"/>
  <c r="Z298" i="2" s="1"/>
  <c r="X257" i="2"/>
  <c r="Y257" i="2"/>
  <c r="Z257" i="2" s="1"/>
  <c r="X293" i="2"/>
  <c r="Y293" i="2"/>
  <c r="Z293" i="2" s="1"/>
  <c r="X306" i="2"/>
  <c r="Y306" i="2"/>
  <c r="Z306" i="2" s="1"/>
  <c r="X339" i="2"/>
  <c r="Y339" i="2"/>
  <c r="Z339" i="2" s="1"/>
  <c r="X375" i="2"/>
  <c r="Y375" i="2"/>
  <c r="Z375" i="2" s="1"/>
  <c r="X319" i="2"/>
  <c r="Y319" i="2"/>
  <c r="Z319" i="2" s="1"/>
  <c r="X355" i="2"/>
  <c r="Y355" i="2"/>
  <c r="Z355" i="2" s="1"/>
  <c r="X387" i="2"/>
  <c r="Y387" i="2"/>
  <c r="Z387" i="2" s="1"/>
  <c r="X341" i="2"/>
  <c r="Y341" i="2"/>
  <c r="Z341" i="2" s="1"/>
  <c r="X268" i="2"/>
  <c r="Y268" i="2"/>
  <c r="Z268" i="2" s="1"/>
  <c r="X333" i="2"/>
  <c r="Y333" i="2"/>
  <c r="Z333" i="2" s="1"/>
  <c r="X369" i="2"/>
  <c r="Y369" i="2"/>
  <c r="Z369" i="2" s="1"/>
  <c r="X335" i="2"/>
  <c r="Y335" i="2"/>
  <c r="Z335" i="2" s="1"/>
  <c r="X395" i="2"/>
  <c r="Y395" i="2"/>
  <c r="Z395" i="2" s="1"/>
  <c r="X448" i="2"/>
  <c r="Y448" i="2"/>
  <c r="Z448" i="2" s="1"/>
  <c r="X521" i="2"/>
  <c r="Y521" i="2"/>
  <c r="Z521" i="2" s="1"/>
  <c r="X489" i="2"/>
  <c r="Y489" i="2"/>
  <c r="Z489" i="2" s="1"/>
  <c r="X417" i="2"/>
  <c r="Y417" i="2"/>
  <c r="Z417" i="2" s="1"/>
  <c r="X441" i="2"/>
  <c r="Y441" i="2"/>
  <c r="Z441" i="2" s="1"/>
  <c r="X465" i="2"/>
  <c r="Y465" i="2"/>
  <c r="Z465" i="2" s="1"/>
  <c r="X506" i="2"/>
  <c r="Y506" i="2"/>
  <c r="Z506" i="2" s="1"/>
  <c r="X490" i="2"/>
  <c r="Y490" i="2"/>
  <c r="Z490" i="2" s="1"/>
  <c r="X542" i="2"/>
  <c r="Y542" i="2"/>
  <c r="Z542" i="2" s="1"/>
  <c r="X413" i="2"/>
  <c r="Y413" i="2"/>
  <c r="Z413" i="2" s="1"/>
  <c r="X435" i="2"/>
  <c r="Y435" i="2"/>
  <c r="Z435" i="2" s="1"/>
  <c r="X459" i="2"/>
  <c r="Y459" i="2"/>
  <c r="Z459" i="2" s="1"/>
  <c r="X483" i="2"/>
  <c r="Y483" i="2"/>
  <c r="Z483" i="2" s="1"/>
  <c r="X40" i="2"/>
  <c r="Y40" i="2"/>
  <c r="Z40" i="2" s="1"/>
  <c r="X271" i="2"/>
  <c r="Y271" i="2"/>
  <c r="Z271" i="2" s="1"/>
  <c r="X486" i="2"/>
  <c r="Y486" i="2"/>
  <c r="Z486" i="2" s="1"/>
  <c r="X88" i="2"/>
  <c r="Y88" i="2"/>
  <c r="Z88" i="2" s="1"/>
  <c r="X283" i="2"/>
  <c r="Y283" i="2"/>
  <c r="Z283" i="2" s="1"/>
  <c r="X474" i="2"/>
  <c r="Y474" i="2"/>
  <c r="Z474" i="2" s="1"/>
  <c r="X197" i="2"/>
  <c r="Y197" i="2"/>
  <c r="Z197" i="2" s="1"/>
  <c r="X399" i="2"/>
  <c r="Y399" i="2"/>
  <c r="Z399" i="2" s="1"/>
  <c r="X96" i="2"/>
  <c r="Y96" i="2"/>
  <c r="Z96" i="2" s="1"/>
  <c r="X232" i="2"/>
  <c r="Y232" i="2"/>
  <c r="Z232" i="2" s="1"/>
  <c r="X464" i="2"/>
  <c r="Y464" i="2"/>
  <c r="Z464" i="2" s="1"/>
  <c r="X48" i="2"/>
  <c r="Y48" i="2"/>
  <c r="Z48" i="2" s="1"/>
  <c r="X173" i="2"/>
  <c r="Y173" i="2"/>
  <c r="Z173" i="2" s="1"/>
  <c r="X415" i="2"/>
  <c r="Y415" i="2"/>
  <c r="Z415" i="2" s="1"/>
  <c r="X47" i="2"/>
  <c r="Y47" i="2"/>
  <c r="Z47" i="2" s="1"/>
  <c r="X156" i="2"/>
  <c r="Y156" i="2"/>
  <c r="Z156" i="2" s="1"/>
  <c r="X230" i="2"/>
  <c r="Y230" i="2"/>
  <c r="Z230" i="2" s="1"/>
  <c r="X512" i="2"/>
  <c r="Y512" i="2"/>
  <c r="Z512" i="2" s="1"/>
  <c r="X151" i="2"/>
  <c r="Y151" i="2"/>
  <c r="Z151" i="2" s="1"/>
  <c r="X452" i="2"/>
  <c r="Y452" i="2"/>
  <c r="Z452" i="2" s="1"/>
  <c r="X191" i="2"/>
  <c r="Y191" i="2"/>
  <c r="Z191" i="2" s="1"/>
  <c r="X366" i="2"/>
  <c r="Y366" i="2"/>
  <c r="Z366" i="2" s="1"/>
  <c r="X491" i="2"/>
  <c r="Y491" i="2"/>
  <c r="Z491" i="2" s="1"/>
  <c r="X242" i="2"/>
  <c r="Y242" i="2"/>
  <c r="Z242" i="2" s="1"/>
  <c r="X545" i="2"/>
  <c r="Y545" i="2"/>
  <c r="Z545" i="2" s="1"/>
  <c r="X254" i="2"/>
  <c r="Y254" i="2"/>
  <c r="Z254" i="2" s="1"/>
  <c r="X103" i="2"/>
  <c r="Y103" i="2"/>
  <c r="Z103" i="2" s="1"/>
  <c r="X540" i="2"/>
  <c r="Y540" i="2"/>
  <c r="Z540" i="2" s="1"/>
  <c r="X139" i="2"/>
  <c r="Y139" i="2"/>
  <c r="Z139" i="2" s="1"/>
  <c r="X196" i="2"/>
  <c r="Y196" i="2"/>
  <c r="Z196" i="2" s="1"/>
  <c r="X223" i="2"/>
  <c r="Y223" i="2"/>
  <c r="Z223" i="2" s="1"/>
  <c r="X264" i="2"/>
  <c r="Y264" i="2"/>
  <c r="Z264" i="2" s="1"/>
  <c r="X445" i="2"/>
  <c r="Y445" i="2"/>
  <c r="Z445" i="2" s="1"/>
  <c r="X83" i="2"/>
  <c r="Y83" i="2"/>
  <c r="Z83" i="2" s="1"/>
  <c r="X247" i="2"/>
  <c r="Y247" i="2"/>
  <c r="Z247" i="2" s="1"/>
  <c r="X289" i="2"/>
  <c r="Y289" i="2"/>
  <c r="Z289" i="2" s="1"/>
  <c r="X98" i="2"/>
  <c r="Y98" i="2"/>
  <c r="Z98" i="2" s="1"/>
  <c r="X194" i="2"/>
  <c r="Y194" i="2"/>
  <c r="Z194" i="2" s="1"/>
  <c r="X80" i="2"/>
  <c r="Y80" i="2"/>
  <c r="Z80" i="2" s="1"/>
  <c r="X154" i="2"/>
  <c r="Y154" i="2"/>
  <c r="Z154" i="2" s="1"/>
  <c r="X214" i="2"/>
  <c r="Y214" i="2"/>
  <c r="Z214" i="2" s="1"/>
  <c r="X296" i="2"/>
  <c r="Y296" i="2"/>
  <c r="Z296" i="2" s="1"/>
  <c r="X326" i="2"/>
  <c r="Y326" i="2"/>
  <c r="Z326" i="2" s="1"/>
  <c r="X353" i="2"/>
  <c r="Y353" i="2"/>
  <c r="Z353" i="2" s="1"/>
  <c r="X347" i="2"/>
  <c r="Y347" i="2"/>
  <c r="Z347" i="2" s="1"/>
  <c r="X501" i="2"/>
  <c r="Y501" i="2"/>
  <c r="Z501" i="2" s="1"/>
  <c r="X526" i="2"/>
  <c r="Y526" i="2"/>
  <c r="Z526" i="2" s="1"/>
  <c r="X461" i="2"/>
  <c r="Y461" i="2"/>
  <c r="Z461" i="2" s="1"/>
  <c r="X519" i="2"/>
  <c r="Y519" i="2"/>
  <c r="Z519" i="2" s="1"/>
  <c r="X64" i="2"/>
  <c r="Y64" i="2"/>
  <c r="Z64" i="2" s="1"/>
  <c r="X511" i="2"/>
  <c r="Y511" i="2"/>
  <c r="Z511" i="2" s="1"/>
  <c r="X53" i="2"/>
  <c r="Y53" i="2"/>
  <c r="Z53" i="2" s="1"/>
  <c r="X523" i="2"/>
  <c r="Y523" i="2"/>
  <c r="Z523" i="2" s="1"/>
  <c r="X421" i="2"/>
  <c r="Y421" i="2"/>
  <c r="Z421" i="2" s="1"/>
  <c r="X288" i="2"/>
  <c r="Y288" i="2"/>
  <c r="Z288" i="2" s="1"/>
  <c r="X155" i="2"/>
  <c r="Y155" i="2"/>
  <c r="Z155" i="2" s="1"/>
  <c r="X505" i="2"/>
  <c r="Y505" i="2"/>
  <c r="Z505" i="2" s="1"/>
  <c r="X102" i="2"/>
  <c r="Y102" i="2"/>
  <c r="Z102" i="2" s="1"/>
  <c r="X198" i="2"/>
  <c r="Y198" i="2"/>
  <c r="Z198" i="2" s="1"/>
  <c r="X123" i="2"/>
  <c r="Y123" i="2"/>
  <c r="Z123" i="2" s="1"/>
  <c r="X251" i="2"/>
  <c r="Y251" i="2"/>
  <c r="Z251" i="2" s="1"/>
  <c r="X221" i="2"/>
  <c r="Y221" i="2"/>
  <c r="Z221" i="2" s="1"/>
  <c r="X315" i="2"/>
  <c r="Y315" i="2"/>
  <c r="Z315" i="2" s="1"/>
  <c r="X367" i="2"/>
  <c r="Y367" i="2"/>
  <c r="Z367" i="2" s="1"/>
  <c r="X345" i="2"/>
  <c r="Y345" i="2"/>
  <c r="Z345" i="2" s="1"/>
  <c r="X472" i="2"/>
  <c r="Y472" i="2"/>
  <c r="Z472" i="2" s="1"/>
  <c r="X420" i="2"/>
  <c r="Y420" i="2"/>
  <c r="Z420" i="2" s="1"/>
  <c r="X515" i="2"/>
  <c r="Y515" i="2"/>
  <c r="Z515" i="2" s="1"/>
  <c r="X470" i="2"/>
  <c r="Y470" i="2"/>
  <c r="Z470" i="2" s="1"/>
  <c r="X234" i="2"/>
  <c r="Y234" i="2"/>
  <c r="Z234" i="2" s="1"/>
  <c r="X132" i="2"/>
  <c r="Y132" i="2"/>
  <c r="Z132" i="2" s="1"/>
  <c r="X300" i="2"/>
  <c r="Y300" i="2"/>
  <c r="Z300" i="2" s="1"/>
  <c r="X336" i="2"/>
  <c r="Y336" i="2"/>
  <c r="Z336" i="2" s="1"/>
  <c r="X213" i="2"/>
  <c r="Y213" i="2"/>
  <c r="Z213" i="2" s="1"/>
  <c r="X149" i="2"/>
  <c r="Y149" i="2"/>
  <c r="Z149" i="2" s="1"/>
  <c r="X240" i="2"/>
  <c r="Y240" i="2"/>
  <c r="Z240" i="2" s="1"/>
  <c r="X394" i="2"/>
  <c r="Y394" i="2"/>
  <c r="Z394" i="2" s="1"/>
  <c r="X330" i="2"/>
  <c r="Y330" i="2"/>
  <c r="Z330" i="2" s="1"/>
  <c r="X86" i="2"/>
  <c r="Y86" i="2"/>
  <c r="Z86" i="2" s="1"/>
  <c r="X37" i="2"/>
  <c r="Y37" i="2"/>
  <c r="Z37" i="2" s="1"/>
  <c r="X181" i="2"/>
  <c r="Y181" i="2"/>
  <c r="Z181" i="2" s="1"/>
  <c r="X56" i="2"/>
  <c r="Y56" i="2"/>
  <c r="Z56" i="2" s="1"/>
  <c r="X92" i="2"/>
  <c r="Y92" i="2"/>
  <c r="Z92" i="2" s="1"/>
  <c r="X128" i="2"/>
  <c r="Y128" i="2"/>
  <c r="Z128" i="2" s="1"/>
  <c r="X164" i="2"/>
  <c r="Y164" i="2"/>
  <c r="Z164" i="2" s="1"/>
  <c r="X106" i="2"/>
  <c r="Y106" i="2"/>
  <c r="Z106" i="2" s="1"/>
  <c r="X178" i="2"/>
  <c r="Y178" i="2"/>
  <c r="Z178" i="2" s="1"/>
  <c r="X224" i="2"/>
  <c r="Y224" i="2"/>
  <c r="Z224" i="2" s="1"/>
  <c r="X263" i="2"/>
  <c r="Y263" i="2"/>
  <c r="Z263" i="2" s="1"/>
  <c r="X299" i="2"/>
  <c r="Y299" i="2"/>
  <c r="Z299" i="2" s="1"/>
  <c r="X226" i="2"/>
  <c r="Y226" i="2"/>
  <c r="Z226" i="2" s="1"/>
  <c r="X262" i="2"/>
  <c r="Y262" i="2"/>
  <c r="Z262" i="2" s="1"/>
  <c r="X233" i="2"/>
  <c r="Y233" i="2"/>
  <c r="Z233" i="2" s="1"/>
  <c r="X272" i="2"/>
  <c r="Y272" i="2"/>
  <c r="Z272" i="2" s="1"/>
  <c r="X308" i="2"/>
  <c r="Y308" i="2"/>
  <c r="Z308" i="2" s="1"/>
  <c r="X322" i="2"/>
  <c r="Y322" i="2"/>
  <c r="Z322" i="2" s="1"/>
  <c r="X358" i="2"/>
  <c r="Y358" i="2"/>
  <c r="Z358" i="2" s="1"/>
  <c r="X280" i="2"/>
  <c r="Y280" i="2"/>
  <c r="Z280" i="2" s="1"/>
  <c r="X338" i="2"/>
  <c r="Y338" i="2"/>
  <c r="Z338" i="2" s="1"/>
  <c r="X374" i="2"/>
  <c r="Y374" i="2"/>
  <c r="Z374" i="2" s="1"/>
  <c r="X294" i="2"/>
  <c r="Y294" i="2"/>
  <c r="Z294" i="2" s="1"/>
  <c r="X377" i="2"/>
  <c r="Y377" i="2"/>
  <c r="Z377" i="2" s="1"/>
  <c r="X316" i="2"/>
  <c r="Y316" i="2"/>
  <c r="Z316" i="2" s="1"/>
  <c r="X352" i="2"/>
  <c r="Y352" i="2"/>
  <c r="Z352" i="2" s="1"/>
  <c r="X285" i="2"/>
  <c r="Y285" i="2"/>
  <c r="Z285" i="2" s="1"/>
  <c r="X371" i="2"/>
  <c r="Y371" i="2"/>
  <c r="Z371" i="2" s="1"/>
  <c r="X412" i="2"/>
  <c r="Y412" i="2"/>
  <c r="Z412" i="2" s="1"/>
  <c r="X484" i="2"/>
  <c r="Y484" i="2"/>
  <c r="Z484" i="2" s="1"/>
  <c r="X536" i="2"/>
  <c r="Y536" i="2"/>
  <c r="Z536" i="2" s="1"/>
  <c r="X402" i="2"/>
  <c r="Y402" i="2"/>
  <c r="Z402" i="2" s="1"/>
  <c r="X429" i="2"/>
  <c r="Y429" i="2"/>
  <c r="Z429" i="2" s="1"/>
  <c r="X453" i="2"/>
  <c r="Y453" i="2"/>
  <c r="Z453" i="2" s="1"/>
  <c r="X492" i="2"/>
  <c r="Y492" i="2"/>
  <c r="Z492" i="2" s="1"/>
  <c r="X454" i="2"/>
  <c r="Y454" i="2"/>
  <c r="Z454" i="2" s="1"/>
  <c r="X518" i="2"/>
  <c r="Y518" i="2"/>
  <c r="Z518" i="2" s="1"/>
  <c r="X403" i="2"/>
  <c r="Y403" i="2"/>
  <c r="Z403" i="2" s="1"/>
  <c r="X423" i="2"/>
  <c r="Y423" i="2"/>
  <c r="Z423" i="2" s="1"/>
  <c r="X447" i="2"/>
  <c r="Y447" i="2"/>
  <c r="Z447" i="2" s="1"/>
  <c r="X471" i="2"/>
  <c r="Y471" i="2"/>
  <c r="Z471" i="2" s="1"/>
  <c r="X495" i="2"/>
  <c r="Y495" i="2"/>
  <c r="Z495" i="2" s="1"/>
  <c r="X228" i="2"/>
  <c r="Y228" i="2"/>
  <c r="Z228" i="2" s="1"/>
  <c r="X325" i="2"/>
  <c r="Y325" i="2"/>
  <c r="Z325" i="2" s="1"/>
  <c r="X541" i="2"/>
  <c r="Y541" i="2"/>
  <c r="Z541" i="2" s="1"/>
  <c r="X258" i="2"/>
  <c r="Y258" i="2"/>
  <c r="Z258" i="2" s="1"/>
  <c r="X397" i="2"/>
  <c r="Y397" i="2"/>
  <c r="Z397" i="2" s="1"/>
  <c r="X516" i="2"/>
  <c r="Y516" i="2"/>
  <c r="Z516" i="2" s="1"/>
  <c r="X291" i="2"/>
  <c r="Y291" i="2"/>
  <c r="Z291" i="2" s="1"/>
  <c r="X43" i="2"/>
  <c r="Y43" i="2"/>
  <c r="Z43" i="2" s="1"/>
  <c r="X148" i="2"/>
  <c r="Y148" i="2"/>
  <c r="Z148" i="2" s="1"/>
  <c r="X344" i="2"/>
  <c r="Y344" i="2"/>
  <c r="Z344" i="2" s="1"/>
  <c r="X517" i="2"/>
  <c r="Y517" i="2"/>
  <c r="Z517" i="2" s="1"/>
  <c r="X124" i="2"/>
  <c r="Y124" i="2"/>
  <c r="Z124" i="2" s="1"/>
  <c r="X318" i="2"/>
  <c r="Y318" i="2"/>
  <c r="Z318" i="2" s="1"/>
  <c r="X463" i="2"/>
  <c r="Y463" i="2"/>
  <c r="Z463" i="2" s="1"/>
  <c r="X100" i="2"/>
  <c r="Y100" i="2"/>
  <c r="Z100" i="2" s="1"/>
  <c r="X185" i="2"/>
  <c r="Y185" i="2"/>
  <c r="Z185" i="2" s="1"/>
  <c r="X342" i="2"/>
  <c r="Y342" i="2"/>
  <c r="Z342" i="2" s="1"/>
  <c r="X529" i="2"/>
  <c r="Y529" i="2"/>
  <c r="Z529" i="2" s="1"/>
  <c r="X265" i="2"/>
  <c r="Y265" i="2"/>
  <c r="Z265" i="2" s="1"/>
  <c r="X113" i="2"/>
  <c r="Y113" i="2"/>
  <c r="Z113" i="2" s="1"/>
  <c r="X225" i="2"/>
  <c r="Y225" i="2"/>
  <c r="Z225" i="2" s="1"/>
  <c r="X476" i="2"/>
  <c r="Y476" i="2"/>
  <c r="Z476" i="2" s="1"/>
  <c r="X115" i="2"/>
  <c r="Y115" i="2"/>
  <c r="Z115" i="2" s="1"/>
  <c r="X481" i="2"/>
  <c r="Y481" i="2"/>
  <c r="Z481" i="2" s="1"/>
  <c r="X180" i="2"/>
  <c r="Y180" i="2"/>
  <c r="Z180" i="2" s="1"/>
  <c r="X438" i="2"/>
  <c r="Y438" i="2"/>
  <c r="Z438" i="2" s="1"/>
  <c r="X222" i="2"/>
  <c r="Y222" i="2"/>
  <c r="Z222" i="2" s="1"/>
  <c r="X380" i="2"/>
  <c r="Y380" i="2"/>
  <c r="Z380" i="2" s="1"/>
  <c r="X493" i="2"/>
  <c r="Y493" i="2"/>
  <c r="Z493" i="2" s="1"/>
  <c r="X544" i="2"/>
  <c r="Y544" i="2"/>
  <c r="Z544" i="2" s="1"/>
  <c r="X119" i="2"/>
  <c r="Y119" i="2"/>
  <c r="Z119" i="2" s="1"/>
  <c r="X396" i="2"/>
  <c r="Y396" i="2"/>
  <c r="Z396" i="2" s="1"/>
  <c r="X348" i="2"/>
  <c r="Y348" i="2"/>
  <c r="Z348" i="2" s="1"/>
  <c r="X354" i="2"/>
  <c r="Y354" i="2"/>
  <c r="Z354" i="2" s="1"/>
  <c r="X229" i="2"/>
  <c r="Y229" i="2"/>
  <c r="Z229" i="2" s="1"/>
  <c r="X65" i="2"/>
  <c r="Y65" i="2"/>
  <c r="Z65" i="2" s="1"/>
  <c r="X81" i="2"/>
  <c r="Y81" i="2"/>
  <c r="Z81" i="2" s="1"/>
  <c r="X170" i="2"/>
  <c r="Y170" i="2"/>
  <c r="Z170" i="2" s="1"/>
  <c r="X157" i="2"/>
  <c r="Y157" i="2"/>
  <c r="Z157" i="2" s="1"/>
  <c r="X116" i="2"/>
  <c r="Y116" i="2"/>
  <c r="Z116" i="2" s="1"/>
  <c r="X212" i="2"/>
  <c r="Y212" i="2"/>
  <c r="Z212" i="2" s="1"/>
  <c r="X209" i="2"/>
  <c r="Y209" i="2"/>
  <c r="Z209" i="2" s="1"/>
  <c r="X346" i="2"/>
  <c r="Y346" i="2"/>
  <c r="Z346" i="2" s="1"/>
  <c r="X392" i="2"/>
  <c r="Y392" i="2"/>
  <c r="Z392" i="2" s="1"/>
  <c r="X340" i="2"/>
  <c r="Y340" i="2"/>
  <c r="Z340" i="2" s="1"/>
  <c r="X460" i="2"/>
  <c r="Y460" i="2"/>
  <c r="Z460" i="2" s="1"/>
  <c r="X443" i="2"/>
  <c r="Y443" i="2"/>
  <c r="Z443" i="2" s="1"/>
  <c r="X509" i="2"/>
  <c r="Y509" i="2"/>
  <c r="Z509" i="2" s="1"/>
  <c r="X76" i="2"/>
  <c r="Y76" i="2"/>
  <c r="Z76" i="2" s="1"/>
  <c r="X337" i="2"/>
  <c r="Y337" i="2"/>
  <c r="Z337" i="2" s="1"/>
  <c r="X301" i="2"/>
  <c r="Y301" i="2"/>
  <c r="Z301" i="2" s="1"/>
  <c r="X418" i="2"/>
  <c r="Y418" i="2"/>
  <c r="Z418" i="2" s="1"/>
  <c r="X246" i="2"/>
  <c r="Y246" i="2"/>
  <c r="Z246" i="2" s="1"/>
  <c r="X35" i="2"/>
  <c r="Y35" i="2"/>
  <c r="Z35" i="2" s="1"/>
  <c r="X143" i="2"/>
  <c r="Y143" i="2"/>
  <c r="Z143" i="2" s="1"/>
  <c r="X457" i="2"/>
  <c r="Y457" i="2"/>
  <c r="Z457" i="2" s="1"/>
  <c r="X82" i="2"/>
  <c r="Y82" i="2"/>
  <c r="Z82" i="2" s="1"/>
  <c r="X174" i="2"/>
  <c r="Y174" i="2"/>
  <c r="Z174" i="2" s="1"/>
  <c r="X51" i="2"/>
  <c r="Y51" i="2"/>
  <c r="Z51" i="2" s="1"/>
  <c r="X195" i="2"/>
  <c r="Y195" i="2"/>
  <c r="Z195" i="2" s="1"/>
  <c r="X290" i="2"/>
  <c r="Y290" i="2"/>
  <c r="Z290" i="2" s="1"/>
  <c r="X305" i="2"/>
  <c r="Y305" i="2"/>
  <c r="Z305" i="2" s="1"/>
  <c r="X331" i="2"/>
  <c r="Y331" i="2"/>
  <c r="Z331" i="2" s="1"/>
  <c r="X304" i="2"/>
  <c r="Y304" i="2"/>
  <c r="Z304" i="2" s="1"/>
  <c r="X405" i="2"/>
  <c r="Y405" i="2"/>
  <c r="Z405" i="2" s="1"/>
  <c r="X444" i="2"/>
  <c r="Y444" i="2"/>
  <c r="Z444" i="2" s="1"/>
  <c r="X391" i="2"/>
  <c r="Y391" i="2"/>
  <c r="Z391" i="2" s="1"/>
  <c r="X494" i="2"/>
  <c r="Y494" i="2"/>
  <c r="Z494" i="2" s="1"/>
  <c r="X535" i="2"/>
  <c r="Y535" i="2"/>
  <c r="Z535" i="2" s="1"/>
  <c r="X259" i="2"/>
  <c r="Y259" i="2"/>
  <c r="Z259" i="2" s="1"/>
  <c r="X514" i="2"/>
  <c r="Y514" i="2"/>
  <c r="Z514" i="2" s="1"/>
  <c r="X72" i="2"/>
  <c r="Y72" i="2"/>
  <c r="Z72" i="2" s="1"/>
  <c r="X256" i="2"/>
  <c r="Y256" i="2"/>
  <c r="Z256" i="2" s="1"/>
  <c r="X84" i="2"/>
  <c r="Y84" i="2"/>
  <c r="Z84" i="2" s="1"/>
  <c r="X216" i="2"/>
  <c r="Y216" i="2"/>
  <c r="Z216" i="2" s="1"/>
  <c r="X531" i="2"/>
  <c r="Y531" i="2"/>
  <c r="Z531" i="2" s="1"/>
  <c r="X237" i="2"/>
  <c r="Y237" i="2"/>
  <c r="Z237" i="2" s="1"/>
  <c r="X50" i="2"/>
  <c r="Y50" i="2"/>
  <c r="Z50" i="2" s="1"/>
  <c r="X105" i="2"/>
  <c r="Y105" i="2"/>
  <c r="Z105" i="2" s="1"/>
  <c r="X109" i="2"/>
  <c r="Y109" i="2"/>
  <c r="Z109" i="2" s="1"/>
  <c r="X90" i="2"/>
  <c r="Y90" i="2"/>
  <c r="Z90" i="2" s="1"/>
  <c r="X182" i="2"/>
  <c r="Y182" i="2"/>
  <c r="Z182" i="2" s="1"/>
  <c r="X99" i="2"/>
  <c r="Y99" i="2"/>
  <c r="Z99" i="2" s="1"/>
  <c r="X227" i="2"/>
  <c r="Y227" i="2"/>
  <c r="Z227" i="2" s="1"/>
  <c r="X274" i="2"/>
  <c r="Y274" i="2"/>
  <c r="Z274" i="2" s="1"/>
  <c r="X327" i="2"/>
  <c r="Y327" i="2"/>
  <c r="Z327" i="2" s="1"/>
  <c r="X343" i="2"/>
  <c r="Y343" i="2"/>
  <c r="Z343" i="2" s="1"/>
  <c r="X321" i="2"/>
  <c r="Y321" i="2"/>
  <c r="Z321" i="2" s="1"/>
  <c r="X424" i="2"/>
  <c r="Y424" i="2"/>
  <c r="Z424" i="2" s="1"/>
  <c r="X407" i="2"/>
  <c r="Y407" i="2"/>
  <c r="Z407" i="2" s="1"/>
  <c r="X466" i="2"/>
  <c r="Y466" i="2"/>
  <c r="Z466" i="2" s="1"/>
  <c r="X473" i="2"/>
  <c r="Y473" i="2"/>
  <c r="Z473" i="2" s="1"/>
  <c r="X361" i="2"/>
  <c r="Y361" i="2"/>
  <c r="Z361" i="2" s="1"/>
  <c r="X426" i="2"/>
  <c r="Y426" i="2"/>
  <c r="Z426" i="2" s="1"/>
  <c r="X534" i="2"/>
  <c r="Y534" i="2"/>
  <c r="Z534" i="2" s="1"/>
  <c r="X295" i="2"/>
  <c r="Y295" i="2"/>
  <c r="Z295" i="2" s="1"/>
  <c r="X55" i="2"/>
  <c r="Y55" i="2"/>
  <c r="Z55" i="2" s="1"/>
  <c r="X168" i="2"/>
  <c r="Y168" i="2"/>
  <c r="Z168" i="2" s="1"/>
  <c r="X404" i="2"/>
  <c r="Y404" i="2"/>
  <c r="Z404" i="2" s="1"/>
  <c r="X520" i="2"/>
  <c r="Y520" i="2"/>
  <c r="Z520" i="2" s="1"/>
  <c r="X144" i="2"/>
  <c r="Y144" i="2"/>
  <c r="Z144" i="2" s="1"/>
  <c r="X406" i="2"/>
  <c r="Y406" i="2"/>
  <c r="Z406" i="2" s="1"/>
  <c r="X217" i="2"/>
  <c r="Y217" i="2"/>
  <c r="Z217" i="2" s="1"/>
  <c r="X430" i="2"/>
  <c r="Y430" i="2"/>
  <c r="Z430" i="2" s="1"/>
  <c r="X77" i="2"/>
  <c r="Y77" i="2"/>
  <c r="Z77" i="2" s="1"/>
  <c r="X372" i="2"/>
  <c r="Y372" i="2"/>
  <c r="Z372" i="2" s="1"/>
  <c r="X163" i="2"/>
  <c r="Y163" i="2"/>
  <c r="Z163" i="2" s="1"/>
  <c r="X253" i="2"/>
  <c r="Y253" i="2"/>
  <c r="Z253" i="2" s="1"/>
  <c r="X479" i="2"/>
  <c r="Y479" i="2"/>
  <c r="Z479" i="2" s="1"/>
  <c r="X137" i="2"/>
  <c r="Y137" i="2"/>
  <c r="Z137" i="2" s="1"/>
  <c r="X487" i="2"/>
  <c r="Y487" i="2"/>
  <c r="Z487" i="2" s="1"/>
  <c r="X192" i="2"/>
  <c r="Y192" i="2"/>
  <c r="Z192" i="2" s="1"/>
  <c r="X469" i="2"/>
  <c r="Y469" i="2"/>
  <c r="Z469" i="2" s="1"/>
  <c r="X241" i="2"/>
  <c r="Y241" i="2"/>
  <c r="Z241" i="2" s="1"/>
  <c r="X390" i="2"/>
  <c r="Y390" i="2"/>
  <c r="Z390" i="2" s="1"/>
  <c r="X41" i="2"/>
  <c r="Y41" i="2"/>
  <c r="Z41" i="2" s="1"/>
  <c r="X368" i="2"/>
  <c r="Y368" i="2"/>
  <c r="Z368" i="2" s="1"/>
  <c r="X161" i="2"/>
  <c r="Y161" i="2"/>
  <c r="Z161" i="2" s="1"/>
  <c r="X400" i="2"/>
  <c r="Y400" i="2"/>
  <c r="Z400" i="2" s="1"/>
  <c r="X360" i="2"/>
  <c r="Y360" i="2"/>
  <c r="Z360" i="2" s="1"/>
  <c r="X95" i="2"/>
  <c r="Y95" i="2"/>
  <c r="Z95" i="2" s="1"/>
  <c r="X277" i="2"/>
  <c r="Y277" i="2"/>
  <c r="Z277" i="2" s="1"/>
  <c r="X167" i="2"/>
  <c r="Y167" i="2"/>
  <c r="Z167" i="2" s="1"/>
  <c r="X62" i="2"/>
  <c r="Y62" i="2"/>
  <c r="Z62" i="2" s="1"/>
  <c r="X146" i="2"/>
  <c r="Y146" i="2"/>
  <c r="Z146" i="2" s="1"/>
  <c r="X44" i="2"/>
  <c r="Y44" i="2"/>
  <c r="Z44" i="2" s="1"/>
  <c r="X188" i="2"/>
  <c r="Y188" i="2"/>
  <c r="Z188" i="2" s="1"/>
  <c r="X248" i="2"/>
  <c r="Y248" i="2"/>
  <c r="Z248" i="2" s="1"/>
  <c r="X250" i="2"/>
  <c r="Y250" i="2"/>
  <c r="Z250" i="2" s="1"/>
  <c r="X312" i="2"/>
  <c r="Y312" i="2"/>
  <c r="Z312" i="2" s="1"/>
  <c r="X362" i="2"/>
  <c r="Y362" i="2"/>
  <c r="Z362" i="2" s="1"/>
  <c r="X376" i="2"/>
  <c r="Y376" i="2"/>
  <c r="Z376" i="2" s="1"/>
  <c r="X524" i="2"/>
  <c r="Y524" i="2"/>
  <c r="Z524" i="2" s="1"/>
  <c r="X467" i="2"/>
  <c r="Y467" i="2"/>
  <c r="Z467" i="2" s="1"/>
  <c r="X437" i="2"/>
  <c r="Y437" i="2"/>
  <c r="Z437" i="2" s="1"/>
  <c r="X303" i="2"/>
  <c r="Y303" i="2"/>
  <c r="Z303" i="2" s="1"/>
  <c r="X510" i="2"/>
  <c r="Y510" i="2"/>
  <c r="Z510" i="2" s="1"/>
  <c r="X112" i="2"/>
  <c r="Y112" i="2"/>
  <c r="Z112" i="2" s="1"/>
  <c r="X218" i="2"/>
  <c r="Y218" i="2"/>
  <c r="Z218" i="2" s="1"/>
  <c r="X172" i="2"/>
  <c r="Y172" i="2"/>
  <c r="Z172" i="2" s="1"/>
  <c r="X79" i="2"/>
  <c r="Y79" i="2"/>
  <c r="Z79" i="2" s="1"/>
  <c r="X451" i="2"/>
  <c r="Y451" i="2"/>
  <c r="Z451" i="2" s="1"/>
  <c r="X107" i="2"/>
  <c r="Y107" i="2"/>
  <c r="Z107" i="2" s="1"/>
  <c r="X276" i="2"/>
  <c r="Y276" i="2"/>
  <c r="Z276" i="2" s="1"/>
  <c r="X89" i="2"/>
  <c r="Y89" i="2"/>
  <c r="Z89" i="2" s="1"/>
  <c r="X66" i="2"/>
  <c r="Y66" i="2"/>
  <c r="Z66" i="2" s="1"/>
  <c r="X150" i="2"/>
  <c r="Y150" i="2"/>
  <c r="Z150" i="2" s="1"/>
  <c r="X97" i="2"/>
  <c r="Y97" i="2"/>
  <c r="Z97" i="2" s="1"/>
  <c r="X87" i="2"/>
  <c r="Y87" i="2"/>
  <c r="Z87" i="2" s="1"/>
  <c r="X166" i="2"/>
  <c r="Y166" i="2"/>
  <c r="Z166" i="2" s="1"/>
  <c r="X255" i="2"/>
  <c r="Y255" i="2"/>
  <c r="Z255" i="2" s="1"/>
  <c r="X351" i="2"/>
  <c r="Y351" i="2"/>
  <c r="Z351" i="2" s="1"/>
  <c r="X393" i="2"/>
  <c r="Y393" i="2"/>
  <c r="Z393" i="2" s="1"/>
  <c r="X381" i="2"/>
  <c r="Y381" i="2"/>
  <c r="Z381" i="2" s="1"/>
  <c r="X533" i="2"/>
  <c r="Y533" i="2"/>
  <c r="Z533" i="2" s="1"/>
  <c r="X468" i="2"/>
  <c r="Y468" i="2"/>
  <c r="Z468" i="2" s="1"/>
  <c r="X422" i="2"/>
  <c r="Y422" i="2"/>
  <c r="Z422" i="2" s="1"/>
  <c r="X204" i="2"/>
  <c r="Y204" i="2"/>
  <c r="Z204" i="2" s="1"/>
  <c r="X373" i="2"/>
  <c r="Y373" i="2"/>
  <c r="Z373" i="2" s="1"/>
  <c r="X528" i="2"/>
  <c r="Y528" i="2"/>
  <c r="Z528" i="2" s="1"/>
  <c r="X108" i="2"/>
  <c r="Y108" i="2"/>
  <c r="Z108" i="2" s="1"/>
  <c r="X175" i="2"/>
  <c r="Y175" i="2"/>
  <c r="Z175" i="2" s="1"/>
  <c r="X91" i="2"/>
  <c r="Y91" i="2"/>
  <c r="Z91" i="2" s="1"/>
  <c r="X475" i="2"/>
  <c r="Y475" i="2"/>
  <c r="Z475" i="2" s="1"/>
  <c r="X440" i="2"/>
  <c r="Y440" i="2"/>
  <c r="Z440" i="2" s="1"/>
  <c r="X59" i="2"/>
  <c r="Y59" i="2"/>
  <c r="Z59" i="2" s="1"/>
  <c r="X153" i="2"/>
  <c r="Y153" i="2"/>
  <c r="Z153" i="2" s="1"/>
  <c r="X34" i="2"/>
  <c r="Y34" i="2"/>
  <c r="Z34" i="2" s="1"/>
  <c r="X70" i="2"/>
  <c r="Y70" i="2"/>
  <c r="Z70" i="2" s="1"/>
  <c r="X134" i="2"/>
  <c r="Y134" i="2"/>
  <c r="Z134" i="2" s="1"/>
  <c r="X49" i="2"/>
  <c r="Y49" i="2"/>
  <c r="Z49" i="2" s="1"/>
  <c r="X63" i="2"/>
  <c r="Y63" i="2"/>
  <c r="Z63" i="2" s="1"/>
  <c r="X171" i="2"/>
  <c r="Y171" i="2"/>
  <c r="Z171" i="2" s="1"/>
  <c r="X190" i="2"/>
  <c r="Y190" i="2"/>
  <c r="Z190" i="2" s="1"/>
  <c r="X302" i="2"/>
  <c r="Y302" i="2"/>
  <c r="Z302" i="2" s="1"/>
  <c r="X245" i="2"/>
  <c r="Y245" i="2"/>
  <c r="Z245" i="2" s="1"/>
  <c r="X314" i="2"/>
  <c r="Y314" i="2"/>
  <c r="Z314" i="2" s="1"/>
  <c r="X309" i="2"/>
  <c r="Y309" i="2"/>
  <c r="Z309" i="2" s="1"/>
  <c r="X317" i="2"/>
  <c r="Y317" i="2"/>
  <c r="Z317" i="2" s="1"/>
  <c r="X357" i="2"/>
  <c r="Y357" i="2"/>
  <c r="Z357" i="2" s="1"/>
  <c r="X383" i="2"/>
  <c r="Y383" i="2"/>
  <c r="Z383" i="2" s="1"/>
  <c r="X477" i="2"/>
  <c r="Y477" i="2"/>
  <c r="Z477" i="2" s="1"/>
  <c r="X455" i="2"/>
  <c r="Y455" i="2"/>
  <c r="Z455" i="2" s="1"/>
  <c r="X527" i="2"/>
  <c r="Y527" i="2"/>
  <c r="Z527" i="2" s="1"/>
  <c r="X425" i="2"/>
  <c r="Y425" i="2"/>
  <c r="Z425" i="2" s="1"/>
  <c r="X497" i="2"/>
  <c r="Y497" i="2"/>
  <c r="Z497" i="2" s="1"/>
  <c r="X538" i="2"/>
  <c r="Y538" i="2"/>
  <c r="Z538" i="2" s="1"/>
  <c r="X120" i="2"/>
  <c r="Y120" i="2"/>
  <c r="Z120" i="2" s="1"/>
  <c r="X38" i="2"/>
  <c r="Y38" i="2"/>
  <c r="Z38" i="2" s="1"/>
  <c r="X57" i="2"/>
  <c r="Y57" i="2"/>
  <c r="Z57" i="2" s="1"/>
  <c r="X74" i="2"/>
  <c r="Y74" i="2"/>
  <c r="Z74" i="2" s="1"/>
  <c r="X93" i="2"/>
  <c r="Y93" i="2"/>
  <c r="Z93" i="2" s="1"/>
  <c r="X114" i="2"/>
  <c r="Y114" i="2"/>
  <c r="Z114" i="2" s="1"/>
  <c r="X138" i="2"/>
  <c r="Y138" i="2"/>
  <c r="Z138" i="2" s="1"/>
  <c r="X162" i="2"/>
  <c r="Y162" i="2"/>
  <c r="Z162" i="2" s="1"/>
  <c r="X186" i="2"/>
  <c r="Y186" i="2"/>
  <c r="Z186" i="2" s="1"/>
  <c r="X61" i="2"/>
  <c r="Y61" i="2"/>
  <c r="Z61" i="2" s="1"/>
  <c r="X133" i="2"/>
  <c r="Y133" i="2"/>
  <c r="Z133" i="2" s="1"/>
  <c r="X36" i="2"/>
  <c r="Y36" i="2"/>
  <c r="Z36" i="2" s="1"/>
  <c r="X68" i="2"/>
  <c r="Y68" i="2"/>
  <c r="Z68" i="2" s="1"/>
  <c r="X104" i="2"/>
  <c r="Y104" i="2"/>
  <c r="Z104" i="2" s="1"/>
  <c r="X140" i="2"/>
  <c r="Y140" i="2"/>
  <c r="Z140" i="2" s="1"/>
  <c r="X176" i="2"/>
  <c r="Y176" i="2"/>
  <c r="Z176" i="2" s="1"/>
  <c r="X130" i="2"/>
  <c r="Y130" i="2"/>
  <c r="Z130" i="2" s="1"/>
  <c r="X200" i="2"/>
  <c r="Y200" i="2"/>
  <c r="Z200" i="2" s="1"/>
  <c r="X236" i="2"/>
  <c r="Y236" i="2"/>
  <c r="Z236" i="2" s="1"/>
  <c r="X275" i="2"/>
  <c r="Y275" i="2"/>
  <c r="Z275" i="2" s="1"/>
  <c r="X202" i="2"/>
  <c r="Y202" i="2"/>
  <c r="Z202" i="2" s="1"/>
  <c r="X238" i="2"/>
  <c r="Y238" i="2"/>
  <c r="Z238" i="2" s="1"/>
  <c r="X286" i="2"/>
  <c r="Y286" i="2"/>
  <c r="Z286" i="2" s="1"/>
  <c r="X310" i="2"/>
  <c r="Y310" i="2"/>
  <c r="Z310" i="2" s="1"/>
  <c r="X284" i="2"/>
  <c r="Y284" i="2"/>
  <c r="Z284" i="2" s="1"/>
  <c r="X270" i="2"/>
  <c r="Y270" i="2"/>
  <c r="Z270" i="2" s="1"/>
  <c r="X334" i="2"/>
  <c r="Y334" i="2"/>
  <c r="Z334" i="2" s="1"/>
  <c r="X370" i="2"/>
  <c r="Y370" i="2"/>
  <c r="Z370" i="2" s="1"/>
  <c r="X311" i="2"/>
  <c r="Y311" i="2"/>
  <c r="Z311" i="2" s="1"/>
  <c r="X350" i="2"/>
  <c r="Y350" i="2"/>
  <c r="Z350" i="2" s="1"/>
  <c r="X386" i="2"/>
  <c r="Y386" i="2"/>
  <c r="Z386" i="2" s="1"/>
  <c r="X329" i="2"/>
  <c r="Y329" i="2"/>
  <c r="Z329" i="2" s="1"/>
  <c r="X261" i="2"/>
  <c r="Y261" i="2"/>
  <c r="Z261" i="2" s="1"/>
  <c r="X328" i="2"/>
  <c r="Y328" i="2"/>
  <c r="Z328" i="2" s="1"/>
  <c r="X364" i="2"/>
  <c r="Y364" i="2"/>
  <c r="Z364" i="2" s="1"/>
  <c r="X323" i="2"/>
  <c r="Y323" i="2"/>
  <c r="Z323" i="2" s="1"/>
  <c r="X389" i="2"/>
  <c r="Y389" i="2"/>
  <c r="Z389" i="2" s="1"/>
  <c r="X436" i="2"/>
  <c r="Y436" i="2"/>
  <c r="Z436" i="2" s="1"/>
  <c r="X508" i="2"/>
  <c r="Y508" i="2"/>
  <c r="Z508" i="2" s="1"/>
  <c r="X480" i="2"/>
  <c r="Y480" i="2"/>
  <c r="Z480" i="2" s="1"/>
  <c r="X408" i="2"/>
  <c r="Y408" i="2"/>
  <c r="Z408" i="2" s="1"/>
  <c r="X432" i="2"/>
  <c r="Y432" i="2"/>
  <c r="Z432" i="2" s="1"/>
  <c r="X456" i="2"/>
  <c r="Y456" i="2"/>
  <c r="Z456" i="2" s="1"/>
  <c r="X313" i="2"/>
  <c r="Y313" i="2"/>
  <c r="Z313" i="2" s="1"/>
  <c r="X478" i="2"/>
  <c r="Y478" i="2"/>
  <c r="Z478" i="2" s="1"/>
  <c r="X530" i="2"/>
  <c r="Y530" i="2"/>
  <c r="Z530" i="2" s="1"/>
  <c r="X411" i="2"/>
  <c r="Y411" i="2"/>
  <c r="Z411" i="2" s="1"/>
  <c r="X434" i="2"/>
  <c r="Y434" i="2"/>
  <c r="Z434" i="2" s="1"/>
  <c r="X458" i="2"/>
  <c r="Y458" i="2"/>
  <c r="Z458" i="2" s="1"/>
  <c r="X482" i="2"/>
  <c r="Y482" i="2"/>
  <c r="Z482" i="2" s="1"/>
  <c r="X507" i="2"/>
  <c r="Y507" i="2"/>
  <c r="Z507" i="2" s="1"/>
  <c r="X267" i="2"/>
  <c r="Y267" i="2"/>
  <c r="Z267" i="2" s="1"/>
  <c r="X384" i="2"/>
  <c r="Y384" i="2"/>
  <c r="Z384" i="2" s="1"/>
  <c r="X52" i="2"/>
  <c r="Y52" i="2"/>
  <c r="Z52" i="2" s="1"/>
  <c r="X282" i="2"/>
  <c r="Y282" i="2"/>
  <c r="Z282" i="2" s="1"/>
  <c r="X450" i="2"/>
  <c r="Y450" i="2"/>
  <c r="Z450" i="2" s="1"/>
  <c r="X537" i="2"/>
  <c r="Y537" i="2"/>
  <c r="Z537" i="2" s="1"/>
  <c r="X349" i="2"/>
  <c r="Y349" i="2"/>
  <c r="Z349" i="2" s="1"/>
  <c r="X71" i="2"/>
  <c r="Y71" i="2"/>
  <c r="Z71" i="2" s="1"/>
  <c r="X187" i="2"/>
  <c r="Y187" i="2"/>
  <c r="Z187" i="2" s="1"/>
  <c r="X416" i="2"/>
  <c r="Y416" i="2"/>
  <c r="Z416" i="2" s="1"/>
  <c r="X532" i="2"/>
  <c r="Y532" i="2"/>
  <c r="Z532" i="2" s="1"/>
  <c r="X160" i="2"/>
  <c r="Y160" i="2"/>
  <c r="Z160" i="2" s="1"/>
  <c r="X409" i="2"/>
  <c r="Y409" i="2"/>
  <c r="Z409" i="2" s="1"/>
  <c r="X503" i="2"/>
  <c r="Y503" i="2"/>
  <c r="Z503" i="2" s="1"/>
  <c r="X136" i="2"/>
  <c r="Y136" i="2"/>
  <c r="Z136" i="2" s="1"/>
  <c r="X220" i="2"/>
  <c r="Y220" i="2"/>
  <c r="Z220" i="2" s="1"/>
  <c r="X499" i="2"/>
  <c r="Y499" i="2"/>
  <c r="Z499" i="2" s="1"/>
  <c r="X101" i="2"/>
  <c r="Y101" i="2"/>
  <c r="Z101" i="2" s="1"/>
  <c r="X378" i="2"/>
  <c r="Y378" i="2"/>
  <c r="Z378" i="2" s="1"/>
  <c r="X179" i="2"/>
  <c r="Y179" i="2"/>
  <c r="Z179" i="2" s="1"/>
  <c r="X356" i="2"/>
  <c r="Y356" i="2"/>
  <c r="Z356" i="2" s="1"/>
  <c r="X488" i="2"/>
  <c r="Y488" i="2"/>
  <c r="Z488" i="2" s="1"/>
  <c r="X208" i="2"/>
  <c r="Y208" i="2"/>
  <c r="Z208" i="2" s="1"/>
  <c r="X539" i="2"/>
  <c r="Y539" i="2"/>
  <c r="Z539" i="2" s="1"/>
  <c r="X205" i="2"/>
  <c r="Y205" i="2"/>
  <c r="Z205" i="2" s="1"/>
  <c r="X60" i="2"/>
  <c r="Y60" i="2"/>
  <c r="Z60" i="2" s="1"/>
  <c r="X244" i="2"/>
  <c r="Y244" i="2"/>
  <c r="Z244" i="2" s="1"/>
  <c r="X427" i="2"/>
  <c r="Y427" i="2"/>
  <c r="Z427" i="2" s="1"/>
  <c r="X184" i="2"/>
  <c r="Y184" i="2"/>
  <c r="Z184" i="2" s="1"/>
  <c r="X199" i="2"/>
  <c r="Y199" i="2"/>
  <c r="Z199" i="2" s="1"/>
  <c r="X201" i="2"/>
  <c r="Y201" i="2"/>
  <c r="Z201" i="2" s="1"/>
  <c r="X433" i="2"/>
  <c r="Y433" i="2"/>
  <c r="Z433" i="2" s="1"/>
  <c r="X462" i="2"/>
  <c r="Y462" i="2"/>
  <c r="Z462" i="2" s="1"/>
  <c r="X235" i="2"/>
  <c r="Y235" i="2"/>
  <c r="Z235" i="2" s="1"/>
  <c r="X125" i="2"/>
  <c r="Y125" i="2"/>
  <c r="Z125" i="2" s="1"/>
  <c r="X131" i="2"/>
  <c r="Y131" i="2"/>
  <c r="Z131" i="2" s="1"/>
  <c r="T51" i="5"/>
  <c r="S57" i="5"/>
  <c r="T57" i="5"/>
  <c r="X546" i="2" l="1"/>
  <c r="I31" i="2" s="1"/>
  <c r="Z546" i="2"/>
  <c r="I32" i="2" s="1"/>
  <c r="F3" i="2" l="1"/>
  <c r="I5" i="2"/>
  <c r="J5" i="2"/>
  <c r="G5" i="2" s="1"/>
  <c r="I6" i="2"/>
  <c r="J6" i="2"/>
  <c r="G6" i="2" s="1"/>
  <c r="I7" i="2"/>
  <c r="J7" i="2"/>
  <c r="G7" i="2" s="1"/>
  <c r="I8" i="2"/>
  <c r="J8" i="2"/>
  <c r="G8" i="2" s="1"/>
  <c r="I9" i="2"/>
  <c r="J9" i="2"/>
  <c r="G9" i="2" s="1"/>
  <c r="E9" i="2" s="1"/>
  <c r="I10" i="2"/>
  <c r="J10" i="2"/>
  <c r="G10" i="2" s="1"/>
  <c r="I11" i="2"/>
  <c r="J11" i="2"/>
  <c r="G11" i="2" s="1"/>
  <c r="I12" i="2"/>
  <c r="J12" i="2"/>
  <c r="G12" i="2" s="1"/>
  <c r="I13" i="2"/>
  <c r="J13" i="2"/>
  <c r="G13" i="2" s="1"/>
  <c r="I14" i="2"/>
  <c r="J14" i="2"/>
  <c r="G14" i="2" s="1"/>
  <c r="I15" i="2"/>
  <c r="J15" i="2"/>
  <c r="G15" i="2" s="1"/>
  <c r="I16" i="2"/>
  <c r="J16" i="2"/>
  <c r="G16" i="2" s="1"/>
  <c r="I17" i="2"/>
  <c r="J17" i="2"/>
  <c r="G17" i="2" s="1"/>
  <c r="I18" i="2"/>
  <c r="J18" i="2"/>
  <c r="G18" i="2" s="1"/>
  <c r="I19" i="2"/>
  <c r="J19" i="2"/>
  <c r="G19" i="2" s="1"/>
  <c r="I20" i="2"/>
  <c r="J20" i="2"/>
  <c r="G20" i="2" s="1"/>
  <c r="I21" i="2"/>
  <c r="J21" i="2"/>
  <c r="G21" i="2" s="1"/>
  <c r="E21" i="2" s="1"/>
  <c r="C21" i="2" s="1"/>
  <c r="I22" i="2"/>
  <c r="J22" i="2"/>
  <c r="G22" i="2" s="1"/>
  <c r="I23" i="2"/>
  <c r="J23" i="2"/>
  <c r="G23" i="2" s="1"/>
  <c r="I24" i="2"/>
  <c r="J24" i="2"/>
  <c r="G24" i="2" s="1"/>
  <c r="I25" i="2"/>
  <c r="J25" i="2"/>
  <c r="G25" i="2" s="1"/>
  <c r="E25" i="2" s="1"/>
  <c r="C25" i="2" s="1"/>
  <c r="I26" i="2"/>
  <c r="J26" i="2"/>
  <c r="G26" i="2" s="1"/>
  <c r="I27" i="2"/>
  <c r="J27" i="2"/>
  <c r="G27" i="2" s="1"/>
  <c r="I28" i="2"/>
  <c r="J28" i="2"/>
  <c r="G28" i="2" s="1"/>
  <c r="I29" i="2"/>
  <c r="J29" i="2"/>
  <c r="G29" i="2" s="1"/>
  <c r="E29" i="2" l="1"/>
  <c r="C29" i="2" s="1"/>
  <c r="E17" i="2"/>
  <c r="C17" i="2" s="1"/>
  <c r="E5" i="2"/>
  <c r="C5" i="2" s="1"/>
  <c r="E28" i="2"/>
  <c r="C28" i="2" s="1"/>
  <c r="E23" i="2"/>
  <c r="C23" i="2" s="1"/>
  <c r="E19" i="2"/>
  <c r="C19" i="2" s="1"/>
  <c r="E15" i="2"/>
  <c r="E11" i="2"/>
  <c r="E7" i="2"/>
  <c r="E26" i="2"/>
  <c r="C26" i="2" s="1"/>
  <c r="E22" i="2"/>
  <c r="C22" i="2" s="1"/>
  <c r="E18" i="2"/>
  <c r="C18" i="2" s="1"/>
  <c r="E14" i="2"/>
  <c r="E10" i="2"/>
  <c r="E6" i="2"/>
  <c r="E24" i="2"/>
  <c r="C24" i="2" s="1"/>
  <c r="E16" i="2"/>
  <c r="C16" i="2" s="1"/>
  <c r="E12" i="2"/>
  <c r="E8" i="2"/>
  <c r="E27" i="2"/>
  <c r="C27" i="2" s="1"/>
  <c r="E20" i="2"/>
  <c r="C20" i="2" s="1"/>
  <c r="E13" i="2"/>
  <c r="C3" i="1"/>
  <c r="C6" i="2" l="1"/>
  <c r="C7" i="2" s="1"/>
  <c r="C8" i="2" s="1"/>
  <c r="C9" i="2" s="1"/>
  <c r="C10" i="2" s="1"/>
  <c r="C11" i="2" s="1"/>
  <c r="C12" i="2" s="1"/>
  <c r="C13" i="2" s="1"/>
  <c r="C14" i="2" s="1"/>
  <c r="C15" i="2" s="1"/>
  <c r="C4" i="1"/>
  <c r="J37" i="1" s="1"/>
  <c r="E3" i="2"/>
  <c r="Q2" i="2" s="1"/>
  <c r="C2" i="1" l="1"/>
</calcChain>
</file>

<file path=xl/sharedStrings.xml><?xml version="1.0" encoding="utf-8"?>
<sst xmlns="http://schemas.openxmlformats.org/spreadsheetml/2006/main" count="4562" uniqueCount="1679">
  <si>
    <t>Qty</t>
  </si>
  <si>
    <t>Boxes</t>
  </si>
  <si>
    <t>Entries</t>
  </si>
  <si>
    <t>+</t>
  </si>
  <si>
    <t># of P</t>
  </si>
  <si>
    <t>Parital Q</t>
  </si>
  <si>
    <t>Sub Q</t>
  </si>
  <si>
    <t>Your Sum:</t>
  </si>
  <si>
    <t>Default Quanity:</t>
  </si>
  <si>
    <t>Quanity:</t>
  </si>
  <si>
    <t>;;</t>
  </si>
  <si>
    <t xml:space="preserve">A2C7754550000 </t>
  </si>
  <si>
    <t xml:space="preserve">A2C5342183400 </t>
  </si>
  <si>
    <t xml:space="preserve">A2C7481300000 </t>
  </si>
  <si>
    <t xml:space="preserve">&lt;&lt;empty&gt;&gt;         </t>
  </si>
  <si>
    <t>Diffrent Parts</t>
  </si>
  <si>
    <t xml:space="preserve">A2C7413490200 </t>
  </si>
  <si>
    <t xml:space="preserve">A2C5342182600 </t>
  </si>
  <si>
    <t xml:space="preserve">601-01-D1 </t>
  </si>
  <si>
    <t xml:space="preserve">601-01-D2 </t>
  </si>
  <si>
    <t xml:space="preserve">601-01-D3 </t>
  </si>
  <si>
    <t xml:space="preserve">601-01-D4 </t>
  </si>
  <si>
    <t xml:space="preserve">601-02-D1 </t>
  </si>
  <si>
    <t xml:space="preserve">601-02-D2 </t>
  </si>
  <si>
    <t xml:space="preserve">601-02-D3 </t>
  </si>
  <si>
    <t xml:space="preserve">601-03-D1 </t>
  </si>
  <si>
    <t xml:space="preserve">601-03-D2 </t>
  </si>
  <si>
    <t xml:space="preserve">601-03-D3 </t>
  </si>
  <si>
    <t xml:space="preserve">601-03-D4 </t>
  </si>
  <si>
    <t xml:space="preserve">601-13-D1 </t>
  </si>
  <si>
    <t xml:space="preserve">601-13-D2 </t>
  </si>
  <si>
    <t xml:space="preserve">601-13-D3 </t>
  </si>
  <si>
    <t xml:space="preserve">601-14-D1 </t>
  </si>
  <si>
    <t xml:space="preserve">601-14-D2 </t>
  </si>
  <si>
    <t xml:space="preserve">601-14-D3 </t>
  </si>
  <si>
    <t xml:space="preserve">601-14-D4 </t>
  </si>
  <si>
    <t xml:space="preserve">601-15-D1 </t>
  </si>
  <si>
    <t xml:space="preserve">601-15-D2 </t>
  </si>
  <si>
    <t xml:space="preserve">601-15-D3 </t>
  </si>
  <si>
    <t xml:space="preserve">A2C7433800000 </t>
  </si>
  <si>
    <t xml:space="preserve">A2C1234110000 </t>
  </si>
  <si>
    <t xml:space="preserve">A2C7430480000 </t>
  </si>
  <si>
    <t xml:space="preserve">A2C5342183100 </t>
  </si>
  <si>
    <t xml:space="preserve">601-01-C1 </t>
  </si>
  <si>
    <t xml:space="preserve">601-01-C2 </t>
  </si>
  <si>
    <t xml:space="preserve">601-01-C3 </t>
  </si>
  <si>
    <t xml:space="preserve">601-01-C4 </t>
  </si>
  <si>
    <t xml:space="preserve">601-02-C1 </t>
  </si>
  <si>
    <t xml:space="preserve">601-02-C2 </t>
  </si>
  <si>
    <t xml:space="preserve">601-02-C3 </t>
  </si>
  <si>
    <t xml:space="preserve">601-03-C1 </t>
  </si>
  <si>
    <t xml:space="preserve">601-03-C2 </t>
  </si>
  <si>
    <t xml:space="preserve">601-03-C3 </t>
  </si>
  <si>
    <t xml:space="preserve">601-13-C1 </t>
  </si>
  <si>
    <t xml:space="preserve">601-13-C2 </t>
  </si>
  <si>
    <t xml:space="preserve">601-13-C3 </t>
  </si>
  <si>
    <t xml:space="preserve">601-14-C1 </t>
  </si>
  <si>
    <t xml:space="preserve">601-14-C2 </t>
  </si>
  <si>
    <t xml:space="preserve">601-14-C3 </t>
  </si>
  <si>
    <t xml:space="preserve">601-14-C4 </t>
  </si>
  <si>
    <t xml:space="preserve">601-15-C1 </t>
  </si>
  <si>
    <t xml:space="preserve">601-15-C2 </t>
  </si>
  <si>
    <t xml:space="preserve">601-15-C3 </t>
  </si>
  <si>
    <t xml:space="preserve">A2C7433810000 </t>
  </si>
  <si>
    <t xml:space="preserve">A2C1931750000 </t>
  </si>
  <si>
    <t xml:space="preserve">A2C7313400100 </t>
  </si>
  <si>
    <t xml:space="preserve">A2C5335855200 </t>
  </si>
  <si>
    <t xml:space="preserve">601-01-B1 </t>
  </si>
  <si>
    <t xml:space="preserve">601-01-B2 </t>
  </si>
  <si>
    <t xml:space="preserve">601-01-B3 </t>
  </si>
  <si>
    <t xml:space="preserve">601-01-B4 </t>
  </si>
  <si>
    <t xml:space="preserve">601-02-B1 </t>
  </si>
  <si>
    <t xml:space="preserve">601-02-B2 </t>
  </si>
  <si>
    <t xml:space="preserve">601-02-B3 </t>
  </si>
  <si>
    <t xml:space="preserve">601-13-B1 </t>
  </si>
  <si>
    <t xml:space="preserve">601-13-B2 </t>
  </si>
  <si>
    <t xml:space="preserve">601-13-B3 </t>
  </si>
  <si>
    <t xml:space="preserve">601-14-B1 </t>
  </si>
  <si>
    <t xml:space="preserve">601-14-B2 </t>
  </si>
  <si>
    <t xml:space="preserve">601-14-B3 </t>
  </si>
  <si>
    <t xml:space="preserve">601-15-B1 </t>
  </si>
  <si>
    <t xml:space="preserve">601-15-B2 </t>
  </si>
  <si>
    <t xml:space="preserve">601-15-B3 </t>
  </si>
  <si>
    <t xml:space="preserve">601-01-A1 </t>
  </si>
  <si>
    <t xml:space="preserve">601-01-A2 </t>
  </si>
  <si>
    <t xml:space="preserve">601-01-A3 </t>
  </si>
  <si>
    <t xml:space="preserve">601-01-A4 </t>
  </si>
  <si>
    <t xml:space="preserve">601-13-A1 </t>
  </si>
  <si>
    <t xml:space="preserve">601-13-A2 </t>
  </si>
  <si>
    <t xml:space="preserve">601-13-A3 </t>
  </si>
  <si>
    <t xml:space="preserve">601-14-A1 </t>
  </si>
  <si>
    <t xml:space="preserve">601-14-A2 </t>
  </si>
  <si>
    <t xml:space="preserve">601-14-A3 </t>
  </si>
  <si>
    <t xml:space="preserve">A2C7489010000 </t>
  </si>
  <si>
    <t xml:space="preserve">A2C7489000000 </t>
  </si>
  <si>
    <t xml:space="preserve">A2C0305620000 </t>
  </si>
  <si>
    <t xml:space="preserve">602-01-D1 </t>
  </si>
  <si>
    <t xml:space="preserve">602-01-D2 </t>
  </si>
  <si>
    <t xml:space="preserve">602-01-D3 </t>
  </si>
  <si>
    <t xml:space="preserve">602-02-D1 </t>
  </si>
  <si>
    <t xml:space="preserve">602-02-D2 </t>
  </si>
  <si>
    <t xml:space="preserve">602-02-D3 </t>
  </si>
  <si>
    <t xml:space="preserve">602-03-D1 </t>
  </si>
  <si>
    <t xml:space="preserve">602-03-D2 </t>
  </si>
  <si>
    <t xml:space="preserve">602-03-D3 </t>
  </si>
  <si>
    <t xml:space="preserve">A2C7355500200 </t>
  </si>
  <si>
    <t xml:space="preserve">A2C7359230000 </t>
  </si>
  <si>
    <t xml:space="preserve">A2C0006361400 </t>
  </si>
  <si>
    <t xml:space="preserve">A2C7501830000 </t>
  </si>
  <si>
    <t xml:space="preserve">A2C7383230000 </t>
  </si>
  <si>
    <t xml:space="preserve">602-01-C1 </t>
  </si>
  <si>
    <t xml:space="preserve">602-01-C2 </t>
  </si>
  <si>
    <t xml:space="preserve">602-01-C3 </t>
  </si>
  <si>
    <t xml:space="preserve">602-01-C4 </t>
  </si>
  <si>
    <t xml:space="preserve">602-02-C1 </t>
  </si>
  <si>
    <t xml:space="preserve">602-02-C2 </t>
  </si>
  <si>
    <t xml:space="preserve">602-02-C3 </t>
  </si>
  <si>
    <t xml:space="preserve">602-02-C4 </t>
  </si>
  <si>
    <t xml:space="preserve">602-03-C1 </t>
  </si>
  <si>
    <t xml:space="preserve">602-03-C2 </t>
  </si>
  <si>
    <t xml:space="preserve">602-03-C3 </t>
  </si>
  <si>
    <t xml:space="preserve">602-14-C1 </t>
  </si>
  <si>
    <t xml:space="preserve">602-14-C2 </t>
  </si>
  <si>
    <t xml:space="preserve">602-14-C3 </t>
  </si>
  <si>
    <t xml:space="preserve">602-15-C1 </t>
  </si>
  <si>
    <t xml:space="preserve">602-15-C2 </t>
  </si>
  <si>
    <t xml:space="preserve">602-15-C3 </t>
  </si>
  <si>
    <t xml:space="preserve">602-16-C1 </t>
  </si>
  <si>
    <t xml:space="preserve">602-16-C2 </t>
  </si>
  <si>
    <t xml:space="preserve">602-16-C3 </t>
  </si>
  <si>
    <t xml:space="preserve">A2C7436900000 </t>
  </si>
  <si>
    <t xml:space="preserve">A2C7431790500 </t>
  </si>
  <si>
    <t xml:space="preserve">602-01-B1 </t>
  </si>
  <si>
    <t xml:space="preserve">602-01-B2 </t>
  </si>
  <si>
    <t xml:space="preserve">602-01-B3 </t>
  </si>
  <si>
    <t xml:space="preserve">602-02-B1 </t>
  </si>
  <si>
    <t xml:space="preserve">602-02-B2 </t>
  </si>
  <si>
    <t xml:space="preserve">602-02-B3 </t>
  </si>
  <si>
    <t xml:space="preserve">602-02-B4 </t>
  </si>
  <si>
    <t xml:space="preserve">602-03-B1 </t>
  </si>
  <si>
    <t xml:space="preserve">602-03-B2 </t>
  </si>
  <si>
    <t xml:space="preserve">602-03-B3 </t>
  </si>
  <si>
    <t xml:space="preserve">602-14-B1 </t>
  </si>
  <si>
    <t xml:space="preserve">602-14-B2 </t>
  </si>
  <si>
    <t xml:space="preserve">602-14-B3 </t>
  </si>
  <si>
    <t xml:space="preserve">602-15-B1 </t>
  </si>
  <si>
    <t xml:space="preserve">602-15-B2 </t>
  </si>
  <si>
    <t xml:space="preserve">602-15-B3 </t>
  </si>
  <si>
    <t xml:space="preserve">602-16-B1 </t>
  </si>
  <si>
    <t xml:space="preserve">602-16-B2 </t>
  </si>
  <si>
    <t xml:space="preserve">602-16-B3 </t>
  </si>
  <si>
    <t xml:space="preserve">602-01-A1 </t>
  </si>
  <si>
    <t xml:space="preserve">602-01-A2 </t>
  </si>
  <si>
    <t xml:space="preserve">602-01-A3 </t>
  </si>
  <si>
    <t xml:space="preserve">602-02-A1 </t>
  </si>
  <si>
    <t xml:space="preserve">602-02-A2 </t>
  </si>
  <si>
    <t xml:space="preserve">602-02-A3 </t>
  </si>
  <si>
    <t xml:space="preserve">602-02-A4 </t>
  </si>
  <si>
    <t xml:space="preserve">602-03-A1 </t>
  </si>
  <si>
    <t xml:space="preserve">602-03-A2 </t>
  </si>
  <si>
    <t xml:space="preserve">602-03-A3 </t>
  </si>
  <si>
    <t xml:space="preserve">602-14-A1 </t>
  </si>
  <si>
    <t xml:space="preserve">602-14-A2 </t>
  </si>
  <si>
    <t xml:space="preserve">602-14-A3 </t>
  </si>
  <si>
    <t xml:space="preserve">602-15-A1 </t>
  </si>
  <si>
    <t xml:space="preserve">602-15-A2 </t>
  </si>
  <si>
    <t xml:space="preserve">602-15-A3 </t>
  </si>
  <si>
    <t xml:space="preserve">602-15-A4 </t>
  </si>
  <si>
    <t xml:space="preserve">602-16-A1 </t>
  </si>
  <si>
    <t xml:space="preserve">602-16-A2 </t>
  </si>
  <si>
    <t xml:space="preserve">602-16-A3 </t>
  </si>
  <si>
    <t xml:space="preserve">602-16-A4 </t>
  </si>
  <si>
    <t xml:space="preserve">A2C5343756300 </t>
  </si>
  <si>
    <t xml:space="preserve">603-14-D1 </t>
  </si>
  <si>
    <t xml:space="preserve">603-14-D2 </t>
  </si>
  <si>
    <t xml:space="preserve">603-15-D1 </t>
  </si>
  <si>
    <t xml:space="preserve">603-15-D2 </t>
  </si>
  <si>
    <t xml:space="preserve">603-15-D3 </t>
  </si>
  <si>
    <t xml:space="preserve">603-15-D4 </t>
  </si>
  <si>
    <t xml:space="preserve">A2C1499290000 </t>
  </si>
  <si>
    <t xml:space="preserve">A2C7716160300 </t>
  </si>
  <si>
    <t xml:space="preserve">A1541709X0100 </t>
  </si>
  <si>
    <t xml:space="preserve">A2C5341178800 </t>
  </si>
  <si>
    <t xml:space="preserve">A1541589X0100 </t>
  </si>
  <si>
    <t xml:space="preserve">A2C7553950000 </t>
  </si>
  <si>
    <t xml:space="preserve">A2C5335855100 </t>
  </si>
  <si>
    <t xml:space="preserve">603-01-C1 </t>
  </si>
  <si>
    <t xml:space="preserve">603-01-C2 </t>
  </si>
  <si>
    <t xml:space="preserve">603-01-C3 </t>
  </si>
  <si>
    <t xml:space="preserve">603-02-C1 </t>
  </si>
  <si>
    <t xml:space="preserve">603-02-C2 </t>
  </si>
  <si>
    <t xml:space="preserve">603-02-C3 </t>
  </si>
  <si>
    <t xml:space="preserve">603-03-C1 </t>
  </si>
  <si>
    <t xml:space="preserve">603-03-C2 </t>
  </si>
  <si>
    <t xml:space="preserve">603-14-C1 </t>
  </si>
  <si>
    <t xml:space="preserve">603-14-C2 </t>
  </si>
  <si>
    <t xml:space="preserve">603-15-C1 </t>
  </si>
  <si>
    <t xml:space="preserve">603-15-C2 </t>
  </si>
  <si>
    <t xml:space="preserve">603-15-C3 </t>
  </si>
  <si>
    <t xml:space="preserve">603-16-C1 </t>
  </si>
  <si>
    <t xml:space="preserve">603-16-C2 </t>
  </si>
  <si>
    <t xml:space="preserve">603-16-C3 </t>
  </si>
  <si>
    <t xml:space="preserve">A2C7449700000 </t>
  </si>
  <si>
    <t xml:space="preserve">A2C7383270000 </t>
  </si>
  <si>
    <t xml:space="preserve">603-01-B1 </t>
  </si>
  <si>
    <t xml:space="preserve">603-01-B2 </t>
  </si>
  <si>
    <t xml:space="preserve">603-01-B3 </t>
  </si>
  <si>
    <t xml:space="preserve">603-02-B1 </t>
  </si>
  <si>
    <t xml:space="preserve">603-02-B2 </t>
  </si>
  <si>
    <t xml:space="preserve">603-02-B3 </t>
  </si>
  <si>
    <t xml:space="preserve">603-03-B1 </t>
  </si>
  <si>
    <t xml:space="preserve">603-03-B2 </t>
  </si>
  <si>
    <t xml:space="preserve">603-14-B1 </t>
  </si>
  <si>
    <t xml:space="preserve">603-14-B2 </t>
  </si>
  <si>
    <t xml:space="preserve">603-15-B1 </t>
  </si>
  <si>
    <t xml:space="preserve">603-15-B2 </t>
  </si>
  <si>
    <t xml:space="preserve">603-15-B3 </t>
  </si>
  <si>
    <t xml:space="preserve">603-16-B1 </t>
  </si>
  <si>
    <t xml:space="preserve">603-16-B2 </t>
  </si>
  <si>
    <t xml:space="preserve">603-16-B3 </t>
  </si>
  <si>
    <t xml:space="preserve">A1544293L0200 </t>
  </si>
  <si>
    <t xml:space="preserve">603-01-A1 </t>
  </si>
  <si>
    <t xml:space="preserve">603-01-A2 </t>
  </si>
  <si>
    <t xml:space="preserve">603-01-A3 </t>
  </si>
  <si>
    <t xml:space="preserve">603-02-A1 </t>
  </si>
  <si>
    <t xml:space="preserve">603-02-A2 </t>
  </si>
  <si>
    <t xml:space="preserve">603-02-A3 </t>
  </si>
  <si>
    <t xml:space="preserve">603-02-A4 </t>
  </si>
  <si>
    <t xml:space="preserve">603-03-A1 </t>
  </si>
  <si>
    <t xml:space="preserve">603-03-A2 </t>
  </si>
  <si>
    <t xml:space="preserve">603-14-A1 </t>
  </si>
  <si>
    <t xml:space="preserve">603-14-A2 </t>
  </si>
  <si>
    <t xml:space="preserve">603-15-A1 </t>
  </si>
  <si>
    <t xml:space="preserve">603-15-A2 </t>
  </si>
  <si>
    <t xml:space="preserve">603-15-A3 </t>
  </si>
  <si>
    <t xml:space="preserve">603-16-A1 </t>
  </si>
  <si>
    <t xml:space="preserve">603-16-A2 </t>
  </si>
  <si>
    <t xml:space="preserve">603-16-A3 </t>
  </si>
  <si>
    <t xml:space="preserve">A2C7553970000 </t>
  </si>
  <si>
    <t xml:space="preserve">A1542763Z0200 </t>
  </si>
  <si>
    <t xml:space="preserve">A2C7673990000 </t>
  </si>
  <si>
    <t xml:space="preserve">A2C7716190300 </t>
  </si>
  <si>
    <t xml:space="preserve">A2C7723110000 </t>
  </si>
  <si>
    <t xml:space="preserve">A2C7634420200 </t>
  </si>
  <si>
    <t xml:space="preserve">A2C9175080000 </t>
  </si>
  <si>
    <t xml:space="preserve">A2C7504280000 </t>
  </si>
  <si>
    <t xml:space="preserve">A2C7565140000 </t>
  </si>
  <si>
    <t xml:space="preserve">A2C5338681100 </t>
  </si>
  <si>
    <t xml:space="preserve">A2C7331280000 </t>
  </si>
  <si>
    <t xml:space="preserve">604-01-D1 </t>
  </si>
  <si>
    <t xml:space="preserve">604-01-D2 </t>
  </si>
  <si>
    <t xml:space="preserve">604-01-D3 </t>
  </si>
  <si>
    <t xml:space="preserve">604-02-D1 </t>
  </si>
  <si>
    <t xml:space="preserve">604-02-D2 </t>
  </si>
  <si>
    <t xml:space="preserve">604-02-D3 </t>
  </si>
  <si>
    <t xml:space="preserve">604-03-D1 </t>
  </si>
  <si>
    <t xml:space="preserve">604-03-D2 </t>
  </si>
  <si>
    <t xml:space="preserve">604-04-D1 </t>
  </si>
  <si>
    <t xml:space="preserve">604-04-D2 </t>
  </si>
  <si>
    <t xml:space="preserve">604-04-D3 </t>
  </si>
  <si>
    <t xml:space="preserve">604-05-D1 </t>
  </si>
  <si>
    <t xml:space="preserve">604-05-D2 </t>
  </si>
  <si>
    <t xml:space="preserve">604-05-D3 </t>
  </si>
  <si>
    <t xml:space="preserve">604-06-D1 </t>
  </si>
  <si>
    <t xml:space="preserve">604-06-D2 </t>
  </si>
  <si>
    <t xml:space="preserve">604-06-D3 </t>
  </si>
  <si>
    <t xml:space="preserve">604-07-D1 </t>
  </si>
  <si>
    <t xml:space="preserve">604-07-D2 </t>
  </si>
  <si>
    <t xml:space="preserve">604-07-D3 </t>
  </si>
  <si>
    <t xml:space="preserve">604-10-D1 </t>
  </si>
  <si>
    <t xml:space="preserve">604-10-D2 </t>
  </si>
  <si>
    <t xml:space="preserve">604-10-D3 </t>
  </si>
  <si>
    <t xml:space="preserve">604-11-D1 </t>
  </si>
  <si>
    <t xml:space="preserve">604-11-D2 </t>
  </si>
  <si>
    <t xml:space="preserve">604-11-D3 </t>
  </si>
  <si>
    <t xml:space="preserve">604-11-D4 </t>
  </si>
  <si>
    <t xml:space="preserve">604-12-D1 </t>
  </si>
  <si>
    <t xml:space="preserve">604-12-D2 </t>
  </si>
  <si>
    <t xml:space="preserve">604-12-D3 </t>
  </si>
  <si>
    <t xml:space="preserve">604-13-D1 </t>
  </si>
  <si>
    <t xml:space="preserve">604-13-D2 </t>
  </si>
  <si>
    <t xml:space="preserve">604-13-D3 </t>
  </si>
  <si>
    <t xml:space="preserve">604-13-D4 </t>
  </si>
  <si>
    <t xml:space="preserve">604-14-D1 </t>
  </si>
  <si>
    <t xml:space="preserve">604-14-D2 </t>
  </si>
  <si>
    <t xml:space="preserve">604-15-D1 </t>
  </si>
  <si>
    <t xml:space="preserve">604-15-D2 </t>
  </si>
  <si>
    <t xml:space="preserve">604-15-D3 </t>
  </si>
  <si>
    <t xml:space="preserve">604-16-D1 </t>
  </si>
  <si>
    <t xml:space="preserve">604-16-D2 </t>
  </si>
  <si>
    <t xml:space="preserve">604-16-D3 </t>
  </si>
  <si>
    <t xml:space="preserve">A2C7431800100 </t>
  </si>
  <si>
    <t xml:space="preserve">A2C7476810100 </t>
  </si>
  <si>
    <t xml:space="preserve">A2C1039870000 </t>
  </si>
  <si>
    <t xml:space="preserve">A2C1234100000 </t>
  </si>
  <si>
    <t xml:space="preserve">A2C7723120000 </t>
  </si>
  <si>
    <t xml:space="preserve">A2C7665680000 </t>
  </si>
  <si>
    <t xml:space="preserve">A2C7614630100 </t>
  </si>
  <si>
    <t xml:space="preserve">A2C7614620100 </t>
  </si>
  <si>
    <t xml:space="preserve">A2C9326290000 </t>
  </si>
  <si>
    <t xml:space="preserve">604-01-C1 </t>
  </si>
  <si>
    <t xml:space="preserve">604-01-C2 </t>
  </si>
  <si>
    <t xml:space="preserve">604-01-C3 </t>
  </si>
  <si>
    <t xml:space="preserve">604-02-C1 </t>
  </si>
  <si>
    <t xml:space="preserve">604-02-C2 </t>
  </si>
  <si>
    <t xml:space="preserve">604-02-C3 </t>
  </si>
  <si>
    <t xml:space="preserve">604-03-C1 </t>
  </si>
  <si>
    <t xml:space="preserve">604-03-C2 </t>
  </si>
  <si>
    <t xml:space="preserve">604-04-C1 </t>
  </si>
  <si>
    <t xml:space="preserve">604-04-C2 </t>
  </si>
  <si>
    <t xml:space="preserve">604-04-C3 </t>
  </si>
  <si>
    <t xml:space="preserve">604-05-C1 </t>
  </si>
  <si>
    <t xml:space="preserve">604-05-C2 </t>
  </si>
  <si>
    <t xml:space="preserve">604-05-C3 </t>
  </si>
  <si>
    <t xml:space="preserve">604-06-C1 </t>
  </si>
  <si>
    <t xml:space="preserve">604-06-C2 </t>
  </si>
  <si>
    <t xml:space="preserve">604-06-C3 </t>
  </si>
  <si>
    <t xml:space="preserve">604-08-C1 </t>
  </si>
  <si>
    <t xml:space="preserve">604-08-C2 </t>
  </si>
  <si>
    <t xml:space="preserve">604-08-C3 </t>
  </si>
  <si>
    <t xml:space="preserve">604-10-C1 </t>
  </si>
  <si>
    <t xml:space="preserve">604-10-C2 </t>
  </si>
  <si>
    <t xml:space="preserve">604-10-C3 </t>
  </si>
  <si>
    <t xml:space="preserve">604-10-C4 </t>
  </si>
  <si>
    <t xml:space="preserve">604-11-C1 </t>
  </si>
  <si>
    <t xml:space="preserve">604-11-C2 </t>
  </si>
  <si>
    <t xml:space="preserve">604-11-C3 </t>
  </si>
  <si>
    <t xml:space="preserve">604-11-C4 </t>
  </si>
  <si>
    <t xml:space="preserve">604-12-C1 </t>
  </si>
  <si>
    <t xml:space="preserve">604-12-C2 </t>
  </si>
  <si>
    <t xml:space="preserve">604-12-C3 </t>
  </si>
  <si>
    <t xml:space="preserve">604-12-C4 </t>
  </si>
  <si>
    <t xml:space="preserve">604-13-C1 </t>
  </si>
  <si>
    <t xml:space="preserve">604-13-C2 </t>
  </si>
  <si>
    <t xml:space="preserve">604-13-C3 </t>
  </si>
  <si>
    <t xml:space="preserve">604-13-C4 </t>
  </si>
  <si>
    <t xml:space="preserve">604-14-C1 </t>
  </si>
  <si>
    <t xml:space="preserve">604-14-C2 </t>
  </si>
  <si>
    <t xml:space="preserve">604-15-C1 </t>
  </si>
  <si>
    <t xml:space="preserve">604-15-C2 </t>
  </si>
  <si>
    <t xml:space="preserve">604-15-C3 </t>
  </si>
  <si>
    <t xml:space="preserve">604-15-C4 </t>
  </si>
  <si>
    <t xml:space="preserve">604-16-C1 </t>
  </si>
  <si>
    <t xml:space="preserve">604-16-C2 </t>
  </si>
  <si>
    <t xml:space="preserve">604-16-C3 </t>
  </si>
  <si>
    <t xml:space="preserve">A2C7686350100 </t>
  </si>
  <si>
    <t xml:space="preserve">A2C7476800100 </t>
  </si>
  <si>
    <t xml:space="preserve">A2C7397780200 </t>
  </si>
  <si>
    <t xml:space="preserve">A2C7623980100 </t>
  </si>
  <si>
    <t xml:space="preserve">A2C7665670000 </t>
  </si>
  <si>
    <t xml:space="preserve">A2C7677550100 </t>
  </si>
  <si>
    <t xml:space="preserve">A2C7634430200 </t>
  </si>
  <si>
    <t xml:space="preserve">A2C7623960100 </t>
  </si>
  <si>
    <t xml:space="preserve">A1543208X0200 </t>
  </si>
  <si>
    <t xml:space="preserve">A2C1285940000 </t>
  </si>
  <si>
    <t xml:space="preserve">604-01-B1 </t>
  </si>
  <si>
    <t xml:space="preserve">604-01-B2 </t>
  </si>
  <si>
    <t xml:space="preserve">604-01-B3 </t>
  </si>
  <si>
    <t xml:space="preserve">604-02-B1 </t>
  </si>
  <si>
    <t xml:space="preserve">604-02-B2 </t>
  </si>
  <si>
    <t xml:space="preserve">604-02-B3 </t>
  </si>
  <si>
    <t xml:space="preserve">604-03-B1 </t>
  </si>
  <si>
    <t xml:space="preserve">604-03-B2 </t>
  </si>
  <si>
    <t xml:space="preserve">604-03-B3 </t>
  </si>
  <si>
    <t xml:space="preserve">604-04-B1 </t>
  </si>
  <si>
    <t xml:space="preserve">604-04-B2 </t>
  </si>
  <si>
    <t xml:space="preserve">604-04-B3 </t>
  </si>
  <si>
    <t xml:space="preserve">604-05-B1 </t>
  </si>
  <si>
    <t xml:space="preserve">604-05-B2 </t>
  </si>
  <si>
    <t xml:space="preserve">604-05-B3 </t>
  </si>
  <si>
    <t xml:space="preserve">604-05-B4 </t>
  </si>
  <si>
    <t xml:space="preserve">604-06-B1 </t>
  </si>
  <si>
    <t xml:space="preserve">604-06-B2 </t>
  </si>
  <si>
    <t xml:space="preserve">604-06-B3 </t>
  </si>
  <si>
    <t xml:space="preserve">604-07-B1 </t>
  </si>
  <si>
    <t xml:space="preserve">604-07-B2 </t>
  </si>
  <si>
    <t xml:space="preserve">604-07-B3 </t>
  </si>
  <si>
    <t xml:space="preserve">604-08-B1 </t>
  </si>
  <si>
    <t xml:space="preserve">604-08-B2 </t>
  </si>
  <si>
    <t xml:space="preserve">604-08-B3 </t>
  </si>
  <si>
    <t xml:space="preserve">604-10-B1 </t>
  </si>
  <si>
    <t xml:space="preserve">604-10-B2 </t>
  </si>
  <si>
    <t xml:space="preserve">604-10-B3 </t>
  </si>
  <si>
    <t xml:space="preserve">604-11-B1 </t>
  </si>
  <si>
    <t xml:space="preserve">604-11-B2 </t>
  </si>
  <si>
    <t xml:space="preserve">604-11-B3 </t>
  </si>
  <si>
    <t xml:space="preserve">604-12-B1 </t>
  </si>
  <si>
    <t xml:space="preserve">604-12-B2 </t>
  </si>
  <si>
    <t xml:space="preserve">604-12-B3 </t>
  </si>
  <si>
    <t xml:space="preserve">604-13-B1 </t>
  </si>
  <si>
    <t xml:space="preserve">604-13-B2 </t>
  </si>
  <si>
    <t xml:space="preserve">604-13-B3 </t>
  </si>
  <si>
    <t xml:space="preserve">604-14-B1 </t>
  </si>
  <si>
    <t xml:space="preserve">604-14-B2 </t>
  </si>
  <si>
    <t xml:space="preserve">604-15-B1 </t>
  </si>
  <si>
    <t xml:space="preserve">604-15-B2 </t>
  </si>
  <si>
    <t xml:space="preserve">604-15-B3 </t>
  </si>
  <si>
    <t xml:space="preserve">604-15-B4 </t>
  </si>
  <si>
    <t xml:space="preserve">604-16-B1 </t>
  </si>
  <si>
    <t xml:space="preserve">604-16-B2 </t>
  </si>
  <si>
    <t xml:space="preserve">604-16-B3 </t>
  </si>
  <si>
    <t xml:space="preserve">A2C0006361300 </t>
  </si>
  <si>
    <t xml:space="preserve">A2C5339442500 </t>
  </si>
  <si>
    <t xml:space="preserve">A2C9237910000 </t>
  </si>
  <si>
    <t xml:space="preserve">A2C9953410100 </t>
  </si>
  <si>
    <t xml:space="preserve">A0742732X0100 </t>
  </si>
  <si>
    <t xml:space="preserve">A2C7634780100 </t>
  </si>
  <si>
    <t xml:space="preserve">A2C9480510000 </t>
  </si>
  <si>
    <t xml:space="preserve">A2C7363430200 </t>
  </si>
  <si>
    <t xml:space="preserve">604-01-A1 </t>
  </si>
  <si>
    <t xml:space="preserve">604-01-A2 </t>
  </si>
  <si>
    <t xml:space="preserve">604-01-A3 </t>
  </si>
  <si>
    <t xml:space="preserve">604-02-A1 </t>
  </si>
  <si>
    <t xml:space="preserve">604-02-A2 </t>
  </si>
  <si>
    <t xml:space="preserve">604-02-A3 </t>
  </si>
  <si>
    <t xml:space="preserve">604-03-A1 </t>
  </si>
  <si>
    <t xml:space="preserve">604-03-A2 </t>
  </si>
  <si>
    <t xml:space="preserve">604-03-A3 </t>
  </si>
  <si>
    <t xml:space="preserve">604-04-A1 </t>
  </si>
  <si>
    <t xml:space="preserve">604-04-A2 </t>
  </si>
  <si>
    <t xml:space="preserve">604-04-A3 </t>
  </si>
  <si>
    <t xml:space="preserve">604-05-A1 </t>
  </si>
  <si>
    <t xml:space="preserve">604-05-A2 </t>
  </si>
  <si>
    <t xml:space="preserve">604-05-A3 </t>
  </si>
  <si>
    <t xml:space="preserve">604-05-A4 </t>
  </si>
  <si>
    <t xml:space="preserve">604-06-A1 </t>
  </si>
  <si>
    <t xml:space="preserve">604-06-A2 </t>
  </si>
  <si>
    <t xml:space="preserve">604-06-A3 </t>
  </si>
  <si>
    <t xml:space="preserve">604-07-A1 </t>
  </si>
  <si>
    <t xml:space="preserve">604-07-A2 </t>
  </si>
  <si>
    <t xml:space="preserve">604-07-A3 </t>
  </si>
  <si>
    <t xml:space="preserve">604-07-A4 </t>
  </si>
  <si>
    <t xml:space="preserve">604-08-A1 </t>
  </si>
  <si>
    <t xml:space="preserve">604-08-A2 </t>
  </si>
  <si>
    <t xml:space="preserve">604-08-A3 </t>
  </si>
  <si>
    <t xml:space="preserve">604-11-A1 </t>
  </si>
  <si>
    <t xml:space="preserve">604-11-A2 </t>
  </si>
  <si>
    <t xml:space="preserve">604-11-A3 </t>
  </si>
  <si>
    <t xml:space="preserve">604-11-A4 </t>
  </si>
  <si>
    <t xml:space="preserve">604-12-A1 </t>
  </si>
  <si>
    <t xml:space="preserve">604-12-A2 </t>
  </si>
  <si>
    <t xml:space="preserve">604-12-A3 </t>
  </si>
  <si>
    <t xml:space="preserve">604-12-A4 </t>
  </si>
  <si>
    <t xml:space="preserve">604-14-A1 </t>
  </si>
  <si>
    <t xml:space="preserve">604-14-A2 </t>
  </si>
  <si>
    <t xml:space="preserve">604-15-A1 </t>
  </si>
  <si>
    <t xml:space="preserve">604-15-A2 </t>
  </si>
  <si>
    <t xml:space="preserve">604-15-A3 </t>
  </si>
  <si>
    <t xml:space="preserve">604-15-A4 </t>
  </si>
  <si>
    <t xml:space="preserve">604-16-A1 </t>
  </si>
  <si>
    <t xml:space="preserve">604-16-A2 </t>
  </si>
  <si>
    <t xml:space="preserve">604-16-A3 </t>
  </si>
  <si>
    <t xml:space="preserve">A2C7502110000 </t>
  </si>
  <si>
    <t xml:space="preserve">A2C7477580000 </t>
  </si>
  <si>
    <t xml:space="preserve">A2C1039860000 </t>
  </si>
  <si>
    <t xml:space="preserve">605-01-D1 </t>
  </si>
  <si>
    <t xml:space="preserve">605-01-D2 </t>
  </si>
  <si>
    <t xml:space="preserve">605-01-D3 </t>
  </si>
  <si>
    <t xml:space="preserve">605-02-D2 </t>
  </si>
  <si>
    <t xml:space="preserve">605-02-D3 </t>
  </si>
  <si>
    <t xml:space="preserve">605-03-D1 </t>
  </si>
  <si>
    <t xml:space="preserve">605-03-D2 </t>
  </si>
  <si>
    <t xml:space="preserve">605-12-D1 </t>
  </si>
  <si>
    <t xml:space="preserve">605-12-D2 </t>
  </si>
  <si>
    <t xml:space="preserve">605-13-D1 </t>
  </si>
  <si>
    <t xml:space="preserve">605-13-D2 </t>
  </si>
  <si>
    <t xml:space="preserve">605-13-D3 </t>
  </si>
  <si>
    <t xml:space="preserve">605-14-D1 </t>
  </si>
  <si>
    <t xml:space="preserve">605-14-D2 </t>
  </si>
  <si>
    <t xml:space="preserve">605-14-D3 </t>
  </si>
  <si>
    <t xml:space="preserve">A2C7604550100 </t>
  </si>
  <si>
    <t xml:space="preserve">A2C3854250000 </t>
  </si>
  <si>
    <t xml:space="preserve">605-01-C1 </t>
  </si>
  <si>
    <t xml:space="preserve">605-01-C2 </t>
  </si>
  <si>
    <t xml:space="preserve">605-01-C3 </t>
  </si>
  <si>
    <t xml:space="preserve">605-02-C2 </t>
  </si>
  <si>
    <t xml:space="preserve">605-02-C3 </t>
  </si>
  <si>
    <t xml:space="preserve">605-03-C1 </t>
  </si>
  <si>
    <t xml:space="preserve">605-03-C2 </t>
  </si>
  <si>
    <t xml:space="preserve">605-12-C1 </t>
  </si>
  <si>
    <t xml:space="preserve">605-12-C2 </t>
  </si>
  <si>
    <t xml:space="preserve">605-13-C1 </t>
  </si>
  <si>
    <t xml:space="preserve">605-13-C2 </t>
  </si>
  <si>
    <t xml:space="preserve">605-13-C3 </t>
  </si>
  <si>
    <t xml:space="preserve">605-13-C4 </t>
  </si>
  <si>
    <t xml:space="preserve">605-14-C1 </t>
  </si>
  <si>
    <t xml:space="preserve">605-14-C2 </t>
  </si>
  <si>
    <t xml:space="preserve">605-14-C3 </t>
  </si>
  <si>
    <t xml:space="preserve">A2C7413500200 </t>
  </si>
  <si>
    <t xml:space="preserve">A2C7430700000 </t>
  </si>
  <si>
    <t xml:space="preserve">A2C7382580200 </t>
  </si>
  <si>
    <t xml:space="preserve">605-01-B1 </t>
  </si>
  <si>
    <t xml:space="preserve">605-01-B2 </t>
  </si>
  <si>
    <t xml:space="preserve">605-01-B3 </t>
  </si>
  <si>
    <t xml:space="preserve">605-02-B2 </t>
  </si>
  <si>
    <t xml:space="preserve">605-02-B3 </t>
  </si>
  <si>
    <t xml:space="preserve">605-03-B1 </t>
  </si>
  <si>
    <t xml:space="preserve">605-03-B2 </t>
  </si>
  <si>
    <t xml:space="preserve">605-12-B1 </t>
  </si>
  <si>
    <t xml:space="preserve">605-12-B2 </t>
  </si>
  <si>
    <t xml:space="preserve">605-13-B1 </t>
  </si>
  <si>
    <t xml:space="preserve">605-13-B2 </t>
  </si>
  <si>
    <t xml:space="preserve">605-13-B3 </t>
  </si>
  <si>
    <t xml:space="preserve">605-14-B1 </t>
  </si>
  <si>
    <t xml:space="preserve">605-14-B2 </t>
  </si>
  <si>
    <t xml:space="preserve">605-14-B3 </t>
  </si>
  <si>
    <t xml:space="preserve">A2C7300690100 </t>
  </si>
  <si>
    <t xml:space="preserve">A2C7300670100 </t>
  </si>
  <si>
    <t xml:space="preserve">A2C0294060000 </t>
  </si>
  <si>
    <t xml:space="preserve">605-01-A1 </t>
  </si>
  <si>
    <t xml:space="preserve">605-01-A2 </t>
  </si>
  <si>
    <t xml:space="preserve">605-01-A3 </t>
  </si>
  <si>
    <t xml:space="preserve">605-02-A2 </t>
  </si>
  <si>
    <t xml:space="preserve">605-02-A3 </t>
  </si>
  <si>
    <t xml:space="preserve">605-03-A1 </t>
  </si>
  <si>
    <t xml:space="preserve">605-03-A2 </t>
  </si>
  <si>
    <t xml:space="preserve">605-12-A1 </t>
  </si>
  <si>
    <t xml:space="preserve">605-12-A2 </t>
  </si>
  <si>
    <t xml:space="preserve">605-13-A1 </t>
  </si>
  <si>
    <t xml:space="preserve">605-13-A2 </t>
  </si>
  <si>
    <t xml:space="preserve">605-13-A3 </t>
  </si>
  <si>
    <t xml:space="preserve">605-14-A1 </t>
  </si>
  <si>
    <t xml:space="preserve">605-14-A2 </t>
  </si>
  <si>
    <t xml:space="preserve">605-14-A3 </t>
  </si>
  <si>
    <t xml:space="preserve">A2C0405830000 </t>
  </si>
  <si>
    <t xml:space="preserve">A2C0217450000 </t>
  </si>
  <si>
    <t xml:space="preserve">A2C0297790000 </t>
  </si>
  <si>
    <t xml:space="preserve">A2C0259430000 </t>
  </si>
  <si>
    <t xml:space="preserve">606-01-D1 </t>
  </si>
  <si>
    <t xml:space="preserve">606-01-D2 </t>
  </si>
  <si>
    <t xml:space="preserve">606-01-D3 </t>
  </si>
  <si>
    <t xml:space="preserve">606-02-D1 </t>
  </si>
  <si>
    <t xml:space="preserve">606-02-D2 </t>
  </si>
  <si>
    <t xml:space="preserve">606-02-D3 </t>
  </si>
  <si>
    <t xml:space="preserve">606-03-D1 </t>
  </si>
  <si>
    <t xml:space="preserve">606-03-D2 </t>
  </si>
  <si>
    <t xml:space="preserve">606-04-D1 </t>
  </si>
  <si>
    <t xml:space="preserve">606-04-D2 </t>
  </si>
  <si>
    <t xml:space="preserve">606-04-D3 </t>
  </si>
  <si>
    <t xml:space="preserve">606-04-D4 </t>
  </si>
  <si>
    <t xml:space="preserve">606-05-D1 </t>
  </si>
  <si>
    <t xml:space="preserve">606-05-D2 </t>
  </si>
  <si>
    <t xml:space="preserve">606-05-D3 </t>
  </si>
  <si>
    <t xml:space="preserve">606-05-D4 </t>
  </si>
  <si>
    <t xml:space="preserve">A2C9519200000 </t>
  </si>
  <si>
    <t xml:space="preserve">A2C1742280000 </t>
  </si>
  <si>
    <t xml:space="preserve">606-01-C1 </t>
  </si>
  <si>
    <t xml:space="preserve">606-01-C2 </t>
  </si>
  <si>
    <t xml:space="preserve">606-01-C3 </t>
  </si>
  <si>
    <t xml:space="preserve">606-02-C1 </t>
  </si>
  <si>
    <t xml:space="preserve">606-02-C2 </t>
  </si>
  <si>
    <t xml:space="preserve">606-02-C3 </t>
  </si>
  <si>
    <t xml:space="preserve">606-03-C1 </t>
  </si>
  <si>
    <t xml:space="preserve">606-03-C2 </t>
  </si>
  <si>
    <t xml:space="preserve">606-04-C1 </t>
  </si>
  <si>
    <t xml:space="preserve">606-04-C2 </t>
  </si>
  <si>
    <t xml:space="preserve">606-04-C3 </t>
  </si>
  <si>
    <t xml:space="preserve">606-04-C4 </t>
  </si>
  <si>
    <t xml:space="preserve">606-05-C1 </t>
  </si>
  <si>
    <t xml:space="preserve">606-05-C2 </t>
  </si>
  <si>
    <t xml:space="preserve">606-05-C3 </t>
  </si>
  <si>
    <t xml:space="preserve">606-05-C4 </t>
  </si>
  <si>
    <t xml:space="preserve">A2C7420100000 </t>
  </si>
  <si>
    <t xml:space="preserve">A1542764Z0300 </t>
  </si>
  <si>
    <t xml:space="preserve">A2C7361210000 </t>
  </si>
  <si>
    <t xml:space="preserve">A2C0305630000 </t>
  </si>
  <si>
    <t xml:space="preserve">A2C0304660000 </t>
  </si>
  <si>
    <t xml:space="preserve">606-01-B1 </t>
  </si>
  <si>
    <t xml:space="preserve">606-01-B2 </t>
  </si>
  <si>
    <t xml:space="preserve">606-01-B3 </t>
  </si>
  <si>
    <t xml:space="preserve">606-02-B1 </t>
  </si>
  <si>
    <t xml:space="preserve">606-02-B2 </t>
  </si>
  <si>
    <t xml:space="preserve">606-02-B3 </t>
  </si>
  <si>
    <t xml:space="preserve">606-03-B1 </t>
  </si>
  <si>
    <t xml:space="preserve">606-03-B2 </t>
  </si>
  <si>
    <t xml:space="preserve">606-04-B1 </t>
  </si>
  <si>
    <t xml:space="preserve">606-04-B2 </t>
  </si>
  <si>
    <t xml:space="preserve">606-04-B3 </t>
  </si>
  <si>
    <t xml:space="preserve">606-04-B4 </t>
  </si>
  <si>
    <t xml:space="preserve">606-05-B1 </t>
  </si>
  <si>
    <t xml:space="preserve">606-05-B2 </t>
  </si>
  <si>
    <t xml:space="preserve">606-05-B3 </t>
  </si>
  <si>
    <t xml:space="preserve">606-05-B4 </t>
  </si>
  <si>
    <t xml:space="preserve">A2C0405840000 </t>
  </si>
  <si>
    <t xml:space="preserve">606-01-A1 </t>
  </si>
  <si>
    <t xml:space="preserve">606-01-A2 </t>
  </si>
  <si>
    <t xml:space="preserve">606-01-A3 </t>
  </si>
  <si>
    <t xml:space="preserve">606-01-A4 </t>
  </si>
  <si>
    <t xml:space="preserve">606-02-A1 </t>
  </si>
  <si>
    <t xml:space="preserve">606-02-A2 </t>
  </si>
  <si>
    <t xml:space="preserve">606-02-A3 </t>
  </si>
  <si>
    <t xml:space="preserve">606-03-A1 </t>
  </si>
  <si>
    <t xml:space="preserve">606-03-A2 </t>
  </si>
  <si>
    <t xml:space="preserve">606-03-A3 </t>
  </si>
  <si>
    <t xml:space="preserve">606-04-A1 </t>
  </si>
  <si>
    <t xml:space="preserve">606-04-A2 </t>
  </si>
  <si>
    <t xml:space="preserve">606-04-A3 </t>
  </si>
  <si>
    <t xml:space="preserve">606-04-A4 </t>
  </si>
  <si>
    <t xml:space="preserve">606-05-A1 </t>
  </si>
  <si>
    <t xml:space="preserve">606-05-A2 </t>
  </si>
  <si>
    <t xml:space="preserve">606-05-A3 </t>
  </si>
  <si>
    <t xml:space="preserve">606-05-A4 </t>
  </si>
  <si>
    <t>*</t>
  </si>
  <si>
    <t>Same</t>
  </si>
  <si>
    <t>Part Number</t>
  </si>
  <si>
    <t>Vender</t>
  </si>
  <si>
    <t>Weight</t>
  </si>
  <si>
    <t>A0742732X0100</t>
  </si>
  <si>
    <t>A1142190M0100</t>
  </si>
  <si>
    <t>Wacker</t>
  </si>
  <si>
    <t>Metal Technology</t>
  </si>
  <si>
    <t>Nedec</t>
  </si>
  <si>
    <t>Twin City</t>
  </si>
  <si>
    <t>Delphi</t>
  </si>
  <si>
    <t>Waukesha</t>
  </si>
  <si>
    <t>Sumida</t>
  </si>
  <si>
    <t>A1531559A0100</t>
  </si>
  <si>
    <t>Minneapolis</t>
  </si>
  <si>
    <t>A1531657A0100</t>
  </si>
  <si>
    <t>A1531658A0100</t>
  </si>
  <si>
    <t>A1540077L0200</t>
  </si>
  <si>
    <t>A1540078L0200</t>
  </si>
  <si>
    <t>A1541589X0100</t>
  </si>
  <si>
    <t>A1541709X0100</t>
  </si>
  <si>
    <t>A1542139X0100</t>
  </si>
  <si>
    <t>Foxlink</t>
  </si>
  <si>
    <t>A1542763Z0200</t>
  </si>
  <si>
    <t>Pace Industry</t>
  </si>
  <si>
    <t>A1542764Z0100</t>
  </si>
  <si>
    <t>Perfection Springs</t>
  </si>
  <si>
    <t>A1542764Z0300</t>
  </si>
  <si>
    <t>A1543208X0200</t>
  </si>
  <si>
    <t>Jackson Die</t>
  </si>
  <si>
    <t>A1544293L0200</t>
  </si>
  <si>
    <t>A2C0006354900</t>
  </si>
  <si>
    <t>NGK Eroupe</t>
  </si>
  <si>
    <t>A2C0006361300</t>
  </si>
  <si>
    <t>A2C0006361400</t>
  </si>
  <si>
    <t>A2C0153000000</t>
  </si>
  <si>
    <t>A2C0255240000</t>
  </si>
  <si>
    <t>A2C0170860000</t>
  </si>
  <si>
    <t>A2C0217460000</t>
  </si>
  <si>
    <t>A2C0291490000</t>
  </si>
  <si>
    <t>A2C0295410000</t>
  </si>
  <si>
    <t>A2C0299660000</t>
  </si>
  <si>
    <t>A2C0305610000</t>
  </si>
  <si>
    <t>A2C0305620000</t>
  </si>
  <si>
    <t>A2C0305630000</t>
  </si>
  <si>
    <t>A2C0311490000</t>
  </si>
  <si>
    <t>A2C0311520000</t>
  </si>
  <si>
    <t>A2C0316190000</t>
  </si>
  <si>
    <t>A2C0400490000</t>
  </si>
  <si>
    <t>A2C0400500000</t>
  </si>
  <si>
    <t>A2C0400530000</t>
  </si>
  <si>
    <t>A2C1039860000</t>
  </si>
  <si>
    <t>A2C1039870000</t>
  </si>
  <si>
    <t>Tro Manufacturing</t>
  </si>
  <si>
    <t>A2C1836950000</t>
  </si>
  <si>
    <t>A2C1931750000</t>
  </si>
  <si>
    <t>A2C3021430000</t>
  </si>
  <si>
    <t>AVX Corporation</t>
  </si>
  <si>
    <t>A2C3100490000</t>
  </si>
  <si>
    <t>Walter Soehner</t>
  </si>
  <si>
    <t>A2C3122220000</t>
  </si>
  <si>
    <t>A2C5324895400</t>
  </si>
  <si>
    <t>Krayden</t>
  </si>
  <si>
    <t>A2C5335640500</t>
  </si>
  <si>
    <t>A2C5335855100</t>
  </si>
  <si>
    <t>A2C5335855200</t>
  </si>
  <si>
    <t>PerfectionSprings</t>
  </si>
  <si>
    <t>A2C5338681100</t>
  </si>
  <si>
    <t>A2C5339442500</t>
  </si>
  <si>
    <t>Molex</t>
  </si>
  <si>
    <t>A2C5340826600</t>
  </si>
  <si>
    <t>A2C5341178800</t>
  </si>
  <si>
    <t>A2C5342182600</t>
  </si>
  <si>
    <t>A2C5342183100</t>
  </si>
  <si>
    <t>A2C5342183400</t>
  </si>
  <si>
    <t xml:space="preserve">Molex </t>
  </si>
  <si>
    <t>A2C5342890300</t>
  </si>
  <si>
    <t>EPT</t>
  </si>
  <si>
    <t>A2C5342893000</t>
  </si>
  <si>
    <t>A2C5343668700</t>
  </si>
  <si>
    <t>A2C5343756300</t>
  </si>
  <si>
    <t>Wuxi</t>
  </si>
  <si>
    <t>A2c7300670100</t>
  </si>
  <si>
    <t>Tyco</t>
  </si>
  <si>
    <t>A2C7300690100</t>
  </si>
  <si>
    <t>Hatch</t>
  </si>
  <si>
    <t>A2C7331280000</t>
  </si>
  <si>
    <t>Yoder</t>
  </si>
  <si>
    <t xml:space="preserve">Hatch </t>
  </si>
  <si>
    <t>A2C7341490200</t>
  </si>
  <si>
    <t>Deiphi</t>
  </si>
  <si>
    <t>A2C7344590200</t>
  </si>
  <si>
    <t>A2C7347840100</t>
  </si>
  <si>
    <t>A2C7355500200</t>
  </si>
  <si>
    <t>Alupress</t>
  </si>
  <si>
    <t>A2C7359230000</t>
  </si>
  <si>
    <t>A2C7361210000</t>
  </si>
  <si>
    <t>A2C7363430200</t>
  </si>
  <si>
    <t>A2C7377740100</t>
  </si>
  <si>
    <t>A2C7377750100</t>
  </si>
  <si>
    <t>Tro Manufactuing</t>
  </si>
  <si>
    <t>A2C7382580200</t>
  </si>
  <si>
    <t>A2C7383060000</t>
  </si>
  <si>
    <t>A2C7383230000</t>
  </si>
  <si>
    <t>A2C7383270000</t>
  </si>
  <si>
    <t>A2C7397770100</t>
  </si>
  <si>
    <t>A2C7397780200</t>
  </si>
  <si>
    <t>Suzhou Cunxing</t>
  </si>
  <si>
    <t>A2C7413490200</t>
  </si>
  <si>
    <t>A2C7413500200</t>
  </si>
  <si>
    <t>A2C7413520300</t>
  </si>
  <si>
    <t>A2C7420100000</t>
  </si>
  <si>
    <t>A2C7430480000</t>
  </si>
  <si>
    <t>A2C7430700000</t>
  </si>
  <si>
    <t>A2C7431790500</t>
  </si>
  <si>
    <t xml:space="preserve">Jackson Die </t>
  </si>
  <si>
    <t>A2C7431800100</t>
  </si>
  <si>
    <t>Swoboda</t>
  </si>
  <si>
    <t>A2C7424860200</t>
  </si>
  <si>
    <t>A2C7433800000</t>
  </si>
  <si>
    <t>A2C7433810000</t>
  </si>
  <si>
    <t>A2C7436900000</t>
  </si>
  <si>
    <t>A2C7449690000</t>
  </si>
  <si>
    <t>A2C7449700000</t>
  </si>
  <si>
    <t>A2C7473260100</t>
  </si>
  <si>
    <t>A2C7476800100</t>
  </si>
  <si>
    <t>Trend Tech.</t>
  </si>
  <si>
    <t>A2C7476810100</t>
  </si>
  <si>
    <t>Nifco</t>
  </si>
  <si>
    <t>A2C7477570000</t>
  </si>
  <si>
    <t>A2C7472680200</t>
  </si>
  <si>
    <t>Minn.Die Casting</t>
  </si>
  <si>
    <t>A2C7477580000</t>
  </si>
  <si>
    <t>A2C7481290000</t>
  </si>
  <si>
    <t>A2C7489000000</t>
  </si>
  <si>
    <t>A2C7489010000</t>
  </si>
  <si>
    <t>A2C7502110000</t>
  </si>
  <si>
    <t>A2C7501830000</t>
  </si>
  <si>
    <t>TRO Manufacturing</t>
  </si>
  <si>
    <t>A2C7539870000</t>
  </si>
  <si>
    <t>A2C7481300000</t>
  </si>
  <si>
    <t>A2C7539880000</t>
  </si>
  <si>
    <t xml:space="preserve">TRO Manufacturing </t>
  </si>
  <si>
    <t>A2C7553950000</t>
  </si>
  <si>
    <t>A2C7553970000</t>
  </si>
  <si>
    <t>A2C7565140000</t>
  </si>
  <si>
    <t>A2C7600840000</t>
  </si>
  <si>
    <t>A2C7600860000</t>
  </si>
  <si>
    <t>A2C7603700000</t>
  </si>
  <si>
    <t>A2C7673990000</t>
  </si>
  <si>
    <t>Dynaplas</t>
  </si>
  <si>
    <t>A2C7686350000</t>
  </si>
  <si>
    <t>A2C7716160300</t>
  </si>
  <si>
    <t>A2C7716190300</t>
  </si>
  <si>
    <t>A2C8013370000</t>
  </si>
  <si>
    <t>A2C7623960100</t>
  </si>
  <si>
    <t>A2C7623980100</t>
  </si>
  <si>
    <t>Tro Manufacutrin</t>
  </si>
  <si>
    <t>A2C7634420200</t>
  </si>
  <si>
    <t>A2C7634430200</t>
  </si>
  <si>
    <t>A2C7665670000</t>
  </si>
  <si>
    <t>Dynaplast</t>
  </si>
  <si>
    <t>A2C7665680000</t>
  </si>
  <si>
    <t>A2C9175080000</t>
  </si>
  <si>
    <t>A2C7677550100</t>
  </si>
  <si>
    <t>A2C9137910000</t>
  </si>
  <si>
    <t>A2C9326290000</t>
  </si>
  <si>
    <t>A2C9480500000</t>
  </si>
  <si>
    <t>FRK</t>
  </si>
  <si>
    <t>A2C7723110000</t>
  </si>
  <si>
    <t>Poeppelmann</t>
  </si>
  <si>
    <t>A2C7723120000</t>
  </si>
  <si>
    <t>A2C9480510000</t>
  </si>
  <si>
    <t>Mansfield</t>
  </si>
  <si>
    <t>A2C9519150000</t>
  </si>
  <si>
    <t>A2C9519200000</t>
  </si>
  <si>
    <t>Part Num</t>
  </si>
  <si>
    <t>#</t>
  </si>
  <si>
    <t>Locations</t>
  </si>
  <si>
    <t>Ljunghall</t>
  </si>
  <si>
    <t>JD Norman</t>
  </si>
  <si>
    <t xml:space="preserve">Metal Technology </t>
  </si>
  <si>
    <t>602-01-A/B</t>
  </si>
  <si>
    <t xml:space="preserve">Nedec / Twin City </t>
  </si>
  <si>
    <t>18/12</t>
  </si>
  <si>
    <t>603-01-A/B</t>
  </si>
  <si>
    <t>Delphi 1920 Per Pallet, Epal</t>
  </si>
  <si>
    <t>606-01-A3/4</t>
  </si>
  <si>
    <t>606-01-A1/2</t>
  </si>
  <si>
    <t>603-15-D1/2</t>
  </si>
  <si>
    <t>603-15-D3/4</t>
  </si>
  <si>
    <t>605-13-C</t>
  </si>
  <si>
    <t>605-13-D</t>
  </si>
  <si>
    <t>602-16-A</t>
  </si>
  <si>
    <t>A1541224L0100</t>
  </si>
  <si>
    <t>603-14-C1/2</t>
  </si>
  <si>
    <t>A1541716R0100</t>
  </si>
  <si>
    <t>603-03-C1</t>
  </si>
  <si>
    <t>A1541759R0500</t>
  </si>
  <si>
    <t>606-02-A</t>
  </si>
  <si>
    <t>604-02-D2/3</t>
  </si>
  <si>
    <t>606-02-B3</t>
  </si>
  <si>
    <t>606-02-B1</t>
  </si>
  <si>
    <t>Jackson Die Casting</t>
  </si>
  <si>
    <t>604-14-B1/2</t>
  </si>
  <si>
    <t>603-16-A</t>
  </si>
  <si>
    <t>NGK Europe</t>
  </si>
  <si>
    <t>604-03-A</t>
  </si>
  <si>
    <t>602-03-C</t>
  </si>
  <si>
    <t>A2C0141960000</t>
  </si>
  <si>
    <t>A2C0153010000</t>
  </si>
  <si>
    <t>A2C0270460000</t>
  </si>
  <si>
    <t>606-09-A</t>
  </si>
  <si>
    <t>602-03-D</t>
  </si>
  <si>
    <t>606-09-B</t>
  </si>
  <si>
    <t xml:space="preserve">Nedec </t>
  </si>
  <si>
    <t>605-14-D</t>
  </si>
  <si>
    <t>TRO</t>
  </si>
  <si>
    <t>604-04-C</t>
  </si>
  <si>
    <t>604-13-B</t>
  </si>
  <si>
    <t>AVX Corp.</t>
  </si>
  <si>
    <t>605-14-C</t>
  </si>
  <si>
    <t>A2C3122210000</t>
  </si>
  <si>
    <t>601-03-C1/2</t>
  </si>
  <si>
    <t>A2C3167400000</t>
  </si>
  <si>
    <t>Vola Plast</t>
  </si>
  <si>
    <t>Berquist</t>
  </si>
  <si>
    <t>607-02-B1</t>
  </si>
  <si>
    <t>603-16-B/C</t>
  </si>
  <si>
    <t>Perection Springs</t>
  </si>
  <si>
    <t>601-15-B</t>
  </si>
  <si>
    <t>A2c5338681100</t>
  </si>
  <si>
    <t>604-15-D</t>
  </si>
  <si>
    <t>A2c5339442500</t>
  </si>
  <si>
    <t>Metal Tech.</t>
  </si>
  <si>
    <t>603-03-C2</t>
  </si>
  <si>
    <t>601-15-D</t>
  </si>
  <si>
    <t>601-15-C</t>
  </si>
  <si>
    <t>A2c5342183400</t>
  </si>
  <si>
    <t>606-10-B1/2</t>
  </si>
  <si>
    <t>EPT GMBH</t>
  </si>
  <si>
    <t>606-10-A1/2</t>
  </si>
  <si>
    <t>606-10-B3/4</t>
  </si>
  <si>
    <t>603-14-D1/2</t>
  </si>
  <si>
    <t>A2C7300670100</t>
  </si>
  <si>
    <t>605-12-A1/2</t>
  </si>
  <si>
    <t>605-02-A2/3</t>
  </si>
  <si>
    <t>606-11-A/B/C/D</t>
  </si>
  <si>
    <t>A2C7341530200</t>
  </si>
  <si>
    <t>604-01-A</t>
  </si>
  <si>
    <t>602-01-C</t>
  </si>
  <si>
    <t>A2c7359230000</t>
  </si>
  <si>
    <t>602-02-C</t>
  </si>
  <si>
    <t>Metal Tech</t>
  </si>
  <si>
    <t>606-02-B2</t>
  </si>
  <si>
    <t xml:space="preserve">Delphi </t>
  </si>
  <si>
    <t>603-02-A</t>
  </si>
  <si>
    <t>Tro manuf. 990 Per Pallet</t>
  </si>
  <si>
    <t>602-15-C</t>
  </si>
  <si>
    <t>Nedic, Twin City</t>
  </si>
  <si>
    <t>605-14-B</t>
  </si>
  <si>
    <t>601-03-D4</t>
  </si>
  <si>
    <t>602-16-B/C</t>
  </si>
  <si>
    <t xml:space="preserve">Waukesha </t>
  </si>
  <si>
    <t>603-15-A/B</t>
  </si>
  <si>
    <t>Suzhou Chunxing</t>
  </si>
  <si>
    <t>604-05-B3/4</t>
  </si>
  <si>
    <t>A2C7398030200</t>
  </si>
  <si>
    <t>Capsonic</t>
  </si>
  <si>
    <t>A2C7413470000</t>
  </si>
  <si>
    <t>Laird Tech</t>
  </si>
  <si>
    <t>601-13-C/D &amp;601-14-C/D</t>
  </si>
  <si>
    <t>605-01-B</t>
  </si>
  <si>
    <t>Wuaukesha</t>
  </si>
  <si>
    <t>602-15-B</t>
  </si>
  <si>
    <t>606-01-B</t>
  </si>
  <si>
    <t>Nedec / Jackson</t>
  </si>
  <si>
    <t>Jaskson Die</t>
  </si>
  <si>
    <t>605-13-B</t>
  </si>
  <si>
    <t>602-03-A/B</t>
  </si>
  <si>
    <t>Tro manuf.</t>
  </si>
  <si>
    <t>604-01-C</t>
  </si>
  <si>
    <t>A2c7433810000</t>
  </si>
  <si>
    <t>602-02-A/B</t>
  </si>
  <si>
    <t>606-10-C3</t>
  </si>
  <si>
    <t>A2C7467430200</t>
  </si>
  <si>
    <t>A2C7472570200</t>
  </si>
  <si>
    <t>A2C7472590200</t>
  </si>
  <si>
    <t>A2C7472840100</t>
  </si>
  <si>
    <t xml:space="preserve">Trend Tech. </t>
  </si>
  <si>
    <t>605-02-B2/3</t>
  </si>
  <si>
    <t>A2C7473280200</t>
  </si>
  <si>
    <t>A2C7476790100</t>
  </si>
  <si>
    <t>Nedec / Minn. Die Casting</t>
  </si>
  <si>
    <t>601-01-A/B/C/D</t>
  </si>
  <si>
    <t>606-10-C1/2</t>
  </si>
  <si>
    <t>Tro Manuf.</t>
  </si>
  <si>
    <t>602-01-D</t>
  </si>
  <si>
    <t xml:space="preserve">Tro Manuf. </t>
  </si>
  <si>
    <t>A2C7504280000</t>
  </si>
  <si>
    <t>A2C7536400100</t>
  </si>
  <si>
    <t xml:space="preserve">Yonder / Nedec </t>
  </si>
  <si>
    <t>606-10-D</t>
  </si>
  <si>
    <t>603-15-C</t>
  </si>
  <si>
    <t>604-01-D</t>
  </si>
  <si>
    <t>604-14-C/D</t>
  </si>
  <si>
    <t>604-10-D</t>
  </si>
  <si>
    <t>604-08-B</t>
  </si>
  <si>
    <t>604-08-C</t>
  </si>
  <si>
    <t>604-01-B</t>
  </si>
  <si>
    <t>604-04-A/B/D</t>
  </si>
  <si>
    <t>A2C8588130000</t>
  </si>
  <si>
    <t>A2C8719180000</t>
  </si>
  <si>
    <t>A2C8719190000</t>
  </si>
  <si>
    <t>604-12-D</t>
  </si>
  <si>
    <t>A2C9237910000</t>
  </si>
  <si>
    <t xml:space="preserve">Poeppelamne 15600 Per pallet </t>
  </si>
  <si>
    <t>604-15-C1/2</t>
  </si>
  <si>
    <t>602-15-A</t>
  </si>
  <si>
    <t>605-01-A1/2</t>
  </si>
  <si>
    <t>606-01-C</t>
  </si>
  <si>
    <t>A2C9652980000</t>
  </si>
  <si>
    <t>A2C9953410100</t>
  </si>
  <si>
    <t>604-07-A</t>
  </si>
  <si>
    <t>Supplier</t>
  </si>
  <si>
    <t>4 Star Electronics</t>
  </si>
  <si>
    <t>ACI INDUSTRIES</t>
  </si>
  <si>
    <t>ACUMENT (formelry CARMCAR LLC) (Belvedere)</t>
  </si>
  <si>
    <t>Advanced molding techonolgies Inc. (AMT)</t>
  </si>
  <si>
    <t>Allegro Microsystems</t>
  </si>
  <si>
    <t>Allied Technology</t>
  </si>
  <si>
    <t>Alupress AG</t>
  </si>
  <si>
    <t>Analog devices INC.</t>
  </si>
  <si>
    <t>Aptiv Connection Systems</t>
  </si>
  <si>
    <t>Arnold Fastening Systems Inc. (Disty for Arnold Umform in USA)</t>
  </si>
  <si>
    <t>Arnold Umformtechnik GmbH &amp; Co. KG</t>
  </si>
  <si>
    <t>Arrow Electronics Inc.</t>
  </si>
  <si>
    <t>Asia Pacific Microsystems Inc.</t>
  </si>
  <si>
    <t>Avnet Logistics (Formely Source Electronics)</t>
  </si>
  <si>
    <t>Avxs Corp</t>
  </si>
  <si>
    <t xml:space="preserve">Boardtech Electronics Coporation </t>
  </si>
  <si>
    <t>Brema-Werk GmbH &amp; Co. KG</t>
  </si>
  <si>
    <t>Buhrke Industires Inc</t>
  </si>
  <si>
    <t xml:space="preserve">Capsonic </t>
  </si>
  <si>
    <t xml:space="preserve">CCI - Commodity Components Internatonal </t>
  </si>
  <si>
    <t>Cetto Kunststoffverabeitung</t>
  </si>
  <si>
    <t>Cinch Connector Div</t>
  </si>
  <si>
    <t>Coilcraft Inc</t>
  </si>
  <si>
    <t>Csaba Metal RT</t>
  </si>
  <si>
    <t>Cypress Semiconductor Corporation</t>
  </si>
  <si>
    <t>Delo Industries Kiebstoffe GmbH&amp;Co. K</t>
  </si>
  <si>
    <t>Digi key corp</t>
  </si>
  <si>
    <t xml:space="preserve">Diodes Inc. </t>
  </si>
  <si>
    <t>Diversified Converting Technologies</t>
  </si>
  <si>
    <t>Dynamic Electronics Co. Ltd</t>
  </si>
  <si>
    <t>Dynaplas LTD.</t>
  </si>
  <si>
    <t>Escseri KFT.</t>
  </si>
  <si>
    <t>Elantas Beck GmbH</t>
  </si>
  <si>
    <t>Elec &amp; Eltek</t>
  </si>
  <si>
    <t>Ellington Innovative Technology Company Ltd</t>
  </si>
  <si>
    <t>Em Devices USA (owned by Kemet)</t>
  </si>
  <si>
    <t>Em Microelectronic-Marin SA</t>
  </si>
  <si>
    <t>EPT GmbH</t>
  </si>
  <si>
    <t>Erwin Quarder Inc.</t>
  </si>
  <si>
    <t xml:space="preserve">ES Plastics </t>
  </si>
  <si>
    <t>First Metals and plastics</t>
  </si>
  <si>
    <t>Foxlink Internatonal Inc.</t>
  </si>
  <si>
    <t>Fruilpress SAMP S.p.a</t>
  </si>
  <si>
    <t>Futrue Electronic Corp</t>
  </si>
  <si>
    <t xml:space="preserve">Grand Haven Gasket Company </t>
  </si>
  <si>
    <t>GTR Enterprieses</t>
  </si>
  <si>
    <t>GUL Technologies LTD.</t>
  </si>
  <si>
    <t>Haesealer Metall Technik GmH - HMT</t>
  </si>
  <si>
    <t>Hans Fleig Gmbh</t>
  </si>
  <si>
    <t>Hatch Stamping Company</t>
  </si>
  <si>
    <t>HDK America Inc (See Hokuriku)</t>
  </si>
  <si>
    <t xml:space="preserve">HellermannTyton Corporation </t>
  </si>
  <si>
    <t>Henkel Corporation(Henkel Electron)</t>
  </si>
  <si>
    <t xml:space="preserve">Henkel Corporation </t>
  </si>
  <si>
    <t xml:space="preserve">Heraeus Material Technology </t>
  </si>
  <si>
    <t>Hisco Inc</t>
  </si>
  <si>
    <t>Humiseal Division Chase Corp</t>
  </si>
  <si>
    <t>IDK Co. Ltd</t>
  </si>
  <si>
    <t>Infastech Decorah LLC</t>
  </si>
  <si>
    <t xml:space="preserve">Infineon Technologies </t>
  </si>
  <si>
    <t>Interplex Electronic Hangzhou</t>
  </si>
  <si>
    <t>Interplex NAS Inc.</t>
  </si>
  <si>
    <t xml:space="preserve">IRC </t>
  </si>
  <si>
    <t>IRISO USA Inc.</t>
  </si>
  <si>
    <t xml:space="preserve">Isabellenhuette </t>
  </si>
  <si>
    <t>JD Norman Industires</t>
  </si>
  <si>
    <t>KCE America Inc</t>
  </si>
  <si>
    <t>KDS America (Daishinku)</t>
  </si>
  <si>
    <t>Kemet Electronics Corp</t>
  </si>
  <si>
    <t>Kester US</t>
  </si>
  <si>
    <t>KOA Speer Electronics Inc</t>
  </si>
  <si>
    <t>Kushan Yuanrnao Electornics (GBM)</t>
  </si>
  <si>
    <t>Kuroda Electic USA Inc. (SunCon) (Beginning Feb 2016 will supply Susumu Parts instead of Endrich)</t>
  </si>
  <si>
    <t>Laird Technologies (PA)</t>
  </si>
  <si>
    <t>Mac Arthur Corporation</t>
  </si>
  <si>
    <t>Macronix International Co. Ltd.</t>
  </si>
  <si>
    <t>Makrite Parts Inc</t>
  </si>
  <si>
    <t>???</t>
  </si>
  <si>
    <t xml:space="preserve">Mansfield Manfacturing Company </t>
  </si>
  <si>
    <t xml:space="preserve">Marian Fort worth </t>
  </si>
  <si>
    <t xml:space="preserve">Matsuo Electronics </t>
  </si>
  <si>
    <t>Mjaxim Intergrated Products INC.</t>
  </si>
  <si>
    <t>Melexis GmbH</t>
  </si>
  <si>
    <t>Mesit &amp; Roeders v.o.s.</t>
  </si>
  <si>
    <t xml:space="preserve">Micro Crystal </t>
  </si>
  <si>
    <t>Microchip technology incorpated</t>
  </si>
  <si>
    <t>Micron Semiconductor Products INC.</t>
  </si>
  <si>
    <t>Mitsubishie Electric Surope B.V</t>
  </si>
  <si>
    <t xml:space="preserve">Modern Metal &amp; Refining LTD </t>
  </si>
  <si>
    <t>Molex Connector Corporation</t>
  </si>
  <si>
    <t>Motecq Corporation (Replacing BeachMold)</t>
  </si>
  <si>
    <t>Mouser Electronics (Disty for Vishay)</t>
  </si>
  <si>
    <t>Murata Electronics North America</t>
  </si>
  <si>
    <t>Mursix Corporation(previously Twoson Tools)</t>
  </si>
  <si>
    <t>NAN YA Printed Circuit Board Corpor</t>
  </si>
  <si>
    <t>NDK America INC</t>
  </si>
  <si>
    <t>Nexperia USA Inc</t>
  </si>
  <si>
    <t>NGK Europe / Japan GMBH</t>
  </si>
  <si>
    <t>ngk Spark Plugs Usa Inc</t>
  </si>
  <si>
    <t>Nichicon America Corp</t>
  </si>
  <si>
    <t>Nifco America Corporation</t>
  </si>
  <si>
    <t xml:space="preserve">Nissan Trading corporation Americas </t>
  </si>
  <si>
    <t>NXp Semiconductors USA Inc</t>
  </si>
  <si>
    <t>Pace Industries Div of Leggett</t>
  </si>
  <si>
    <t>Panasonic Industries Company</t>
  </si>
  <si>
    <t>Panasonic Industrial Devices Sales</t>
  </si>
  <si>
    <t>Perfection Spring &amp; Stamping corp</t>
  </si>
  <si>
    <t>Poeppelmann GmbH &amp; Co. KG</t>
  </si>
  <si>
    <t>Poeppelmann plastics USA LLC</t>
  </si>
  <si>
    <t>Praxair Distribution INC</t>
  </si>
  <si>
    <t>Quantum Piastics (Master molder porducts corp)</t>
  </si>
  <si>
    <t>Reliant gases LTD</t>
  </si>
  <si>
    <t>Robert Bosch Corp</t>
  </si>
  <si>
    <t>ROHM Corp</t>
  </si>
  <si>
    <t>SAE power Inc</t>
  </si>
  <si>
    <t>Samsung Electro-Mechanics America</t>
  </si>
  <si>
    <t>Schreiner Group GmbH &amp; Co.KG</t>
  </si>
  <si>
    <t xml:space="preserve">Schweizer Electronics AG </t>
  </si>
  <si>
    <t>Schweizer Electronic Singapore PTE</t>
  </si>
  <si>
    <t>Semiconductor componets industires (On Semi)</t>
  </si>
  <si>
    <t>Senju Comteck Corp</t>
  </si>
  <si>
    <t>Shanghai FL Dai-ichi Autiomotive</t>
  </si>
  <si>
    <t>Shanghai Rongzhen</t>
  </si>
  <si>
    <t>Shangai Giesseng International</t>
  </si>
  <si>
    <t xml:space="preserve">Shin-etsu Silicones of America </t>
  </si>
  <si>
    <t>Stackpole Electronic Inc (Ktronics)</t>
  </si>
  <si>
    <t>Steicroelectronics</t>
  </si>
  <si>
    <t>Sumida America Inc</t>
  </si>
  <si>
    <t>Suzhou Chunxing Precision</t>
  </si>
  <si>
    <t>Swoboda CZ S.r.O</t>
  </si>
  <si>
    <t>Taiyo Yuden USA Inc (old v/c 333091)</t>
  </si>
  <si>
    <t xml:space="preserve">TDK Corp of America </t>
  </si>
  <si>
    <t>TDK Electronics Inc. (Formely Epcos)</t>
  </si>
  <si>
    <t>Te Connectivity (Was Deutshch)</t>
  </si>
  <si>
    <t xml:space="preserve">Teledyne Dalsa </t>
  </si>
  <si>
    <t>Texas Instruments</t>
  </si>
  <si>
    <t>Thermoset lord chem prods opers</t>
  </si>
  <si>
    <t>Toshiba America Electronic</t>
  </si>
  <si>
    <t>Trend Technologies LCC</t>
  </si>
  <si>
    <t>Tripod Overseas Co. Ltd.</t>
  </si>
  <si>
    <t>Tro Manufacturing Co. Inc.</t>
  </si>
  <si>
    <t>Twin City Die Casting Company</t>
  </si>
  <si>
    <t xml:space="preserve">Tyco </t>
  </si>
  <si>
    <t>Unitech PCB corp (Shanghai Unitech)</t>
  </si>
  <si>
    <t>United Chemi Con INC (Nippon Chemi Con)</t>
  </si>
  <si>
    <t>Vacumschemlze GmbH &amp; Co EG</t>
  </si>
  <si>
    <t>Viasystems Technologies Corp. LLC</t>
  </si>
  <si>
    <t>Vishay Americas Inc</t>
  </si>
  <si>
    <t>VolaPlast GmbH &amp; Co.KG</t>
  </si>
  <si>
    <t>Wacker Chemical Corporation</t>
  </si>
  <si>
    <t>Walter Soehner GmbH &amp; Co.KG</t>
  </si>
  <si>
    <t>Waukesha Metal Products</t>
  </si>
  <si>
    <t>Wevo-Chemie GmbH</t>
  </si>
  <si>
    <t>Wooshung A.D.M. Co. Ltd</t>
  </si>
  <si>
    <t>Wuerth Electronik IBE GmbH</t>
  </si>
  <si>
    <t>Wus Printed circuit Co LTD</t>
  </si>
  <si>
    <t>Wuxi Mi Technologies Co.Ltd</t>
  </si>
  <si>
    <t>Xilinx (Will start using summer 2015)</t>
  </si>
  <si>
    <t>Yazaki North America</t>
  </si>
  <si>
    <t>Yoder Industries</t>
  </si>
  <si>
    <t>KanBan List</t>
  </si>
  <si>
    <t>Vender List</t>
  </si>
  <si>
    <t>Weight List</t>
  </si>
  <si>
    <t>Aptiv Services US</t>
  </si>
  <si>
    <t>Integrated Silicon Solution</t>
  </si>
  <si>
    <t>Jakson Die Casting</t>
  </si>
  <si>
    <t>Kyocera International</t>
  </si>
  <si>
    <t>Marian</t>
  </si>
  <si>
    <t>Meiko Electronics America</t>
  </si>
  <si>
    <t>RAMPF Group</t>
  </si>
  <si>
    <t>Renesas Technology America</t>
  </si>
  <si>
    <t>W. L Gore &amp; Associates</t>
  </si>
  <si>
    <t>A2C0006355300</t>
  </si>
  <si>
    <t>A2C0003631500</t>
  </si>
  <si>
    <t>A2C0114720000</t>
  </si>
  <si>
    <t>A2C0125550000</t>
  </si>
  <si>
    <t>A2C0176086000</t>
  </si>
  <si>
    <t>A2C0217450000</t>
  </si>
  <si>
    <t>A2C0220280000</t>
  </si>
  <si>
    <t>A2C0251720000</t>
  </si>
  <si>
    <t>A2C0259430000</t>
  </si>
  <si>
    <t>A2C0297790000</t>
  </si>
  <si>
    <t>A2C0297810000</t>
  </si>
  <si>
    <t>A2C0311360000</t>
  </si>
  <si>
    <t>A2C0341510000</t>
  </si>
  <si>
    <t>A2C1194800000</t>
  </si>
  <si>
    <t>A2C1194820000</t>
  </si>
  <si>
    <t>A2C3932570000</t>
  </si>
  <si>
    <t>A2C3932610000</t>
  </si>
  <si>
    <t>Henkel/Burquist</t>
  </si>
  <si>
    <t>A2C7313400100</t>
  </si>
  <si>
    <t>A2C7331290100</t>
  </si>
  <si>
    <t>Tro Manuf</t>
  </si>
  <si>
    <t>CSABA METAL</t>
  </si>
  <si>
    <t>Nissan trading corp</t>
  </si>
  <si>
    <t>A2C8013230000</t>
  </si>
  <si>
    <t>A2C1794160000</t>
  </si>
  <si>
    <t>A2C1028810000</t>
  </si>
  <si>
    <t>Sumida 2160 Per Pallet</t>
  </si>
  <si>
    <t>LJUNGHALL</t>
  </si>
  <si>
    <t>607-02-B2</t>
  </si>
  <si>
    <t>606-06-C/D1</t>
  </si>
  <si>
    <t>606-07-A/B1</t>
  </si>
  <si>
    <t>606-06-C/D2</t>
  </si>
  <si>
    <t>606-07-A/B2</t>
  </si>
  <si>
    <t>606-04-C/D3</t>
  </si>
  <si>
    <t>606-05-C/D1</t>
  </si>
  <si>
    <t>606-06-A/B2</t>
  </si>
  <si>
    <t>606-05-C/D4</t>
  </si>
  <si>
    <t>606-06-C/D3</t>
  </si>
  <si>
    <t>606-04-C/D1</t>
  </si>
  <si>
    <t>606-05-C/D3</t>
  </si>
  <si>
    <t>606-06-A/B3</t>
  </si>
  <si>
    <t>606-04-A/B4</t>
  </si>
  <si>
    <t>606-05-C/D2</t>
  </si>
  <si>
    <t>606-04-C/D4</t>
  </si>
  <si>
    <t>606-05-A/B4</t>
  </si>
  <si>
    <t>606-06-A/B1</t>
  </si>
  <si>
    <t>606-04-A/B1</t>
  </si>
  <si>
    <t>AVX CORP</t>
  </si>
  <si>
    <t>606-07-D4</t>
  </si>
  <si>
    <t>606-07-B4</t>
  </si>
  <si>
    <t>607-02-B3</t>
  </si>
  <si>
    <t>601-02-D1/2</t>
  </si>
  <si>
    <t>604-16-A/B/C/D &amp; 605-01-C/D</t>
  </si>
  <si>
    <t>604-05-D</t>
  </si>
  <si>
    <t>601-03-C3</t>
  </si>
  <si>
    <t>601-02-C1/2</t>
  </si>
  <si>
    <t>601-02-B1/2</t>
  </si>
  <si>
    <t>601-03-D2</t>
  </si>
  <si>
    <t>Nifco 1800 per pallet</t>
  </si>
  <si>
    <t>6 12</t>
  </si>
  <si>
    <t>Trend Tech</t>
  </si>
  <si>
    <t>AVX corp</t>
  </si>
  <si>
    <t>606-07-A4</t>
  </si>
  <si>
    <t>606-07-B3</t>
  </si>
  <si>
    <t>606-07-A3</t>
  </si>
  <si>
    <t>FRK Technik (TRK)</t>
  </si>
  <si>
    <t>604-06-A</t>
  </si>
  <si>
    <t>606-07-D3</t>
  </si>
  <si>
    <t>A2c7313400100</t>
  </si>
  <si>
    <t>A2C0294060000</t>
  </si>
  <si>
    <t>605-14-A2/3</t>
  </si>
  <si>
    <t>A2C0405830000</t>
  </si>
  <si>
    <t>A2C1234100000</t>
  </si>
  <si>
    <t>A2C1234110000</t>
  </si>
  <si>
    <t>A2C1285940000</t>
  </si>
  <si>
    <t>A2C1785470000</t>
  </si>
  <si>
    <t>A2C1785480000</t>
  </si>
  <si>
    <t>A2C1785860000</t>
  </si>
  <si>
    <t>604-15-A</t>
  </si>
  <si>
    <t>Csaba Metal</t>
  </si>
  <si>
    <t>604-13-C/D</t>
  </si>
  <si>
    <t>A2C7541720100</t>
  </si>
  <si>
    <t>Microelectronic GMBH</t>
  </si>
  <si>
    <t>604-11-C</t>
  </si>
  <si>
    <t>A2C7604550100</t>
  </si>
  <si>
    <t>Neuman Aluminium</t>
  </si>
  <si>
    <t>A2C7699900100</t>
  </si>
  <si>
    <t>Shanghai Giesseng</t>
  </si>
  <si>
    <t>604-15-B1/2</t>
  </si>
  <si>
    <t>A2C7727160100</t>
  </si>
  <si>
    <t>Nifco America</t>
  </si>
  <si>
    <t>A2C7727170100</t>
  </si>
  <si>
    <t>A2C7754550000</t>
  </si>
  <si>
    <t>604-10-B</t>
  </si>
  <si>
    <t>604-07-D</t>
  </si>
  <si>
    <t>OLD</t>
  </si>
  <si>
    <t>Altcam Valls, SL</t>
  </si>
  <si>
    <t>Aptive Mobility Services Austria</t>
  </si>
  <si>
    <t>B.W FASTENERS LTD (GBP)</t>
  </si>
  <si>
    <t>Changchun Tianlong Automotive</t>
  </si>
  <si>
    <t>ELNA America Inc (Now Part of Taiyo Yuden)</t>
  </si>
  <si>
    <t>Engineered Plastic Componests Inc.</t>
  </si>
  <si>
    <t>Fondex sa</t>
  </si>
  <si>
    <t>Foryou Industries Co. Ltd</t>
  </si>
  <si>
    <t>FRK Technik s.r.o</t>
  </si>
  <si>
    <t>Idium Corporation of America</t>
  </si>
  <si>
    <t>Laird Technologies Inc (Ship from Spain)</t>
  </si>
  <si>
    <t>LittleFuse Inc</t>
  </si>
  <si>
    <t>Maquiladora Grafica Mexicana (Mgbm)</t>
  </si>
  <si>
    <t>Newuman Aluminium</t>
  </si>
  <si>
    <t>New Japan Radio CO. LTD</t>
  </si>
  <si>
    <t>PWO de Mexico SA de CV</t>
  </si>
  <si>
    <t>SFS Group CZ</t>
  </si>
  <si>
    <t>SFS intec AG(CH- Switzerland)</t>
  </si>
  <si>
    <t>STMicroelectronics (China COO-Vitesco Importer of Record)</t>
  </si>
  <si>
    <t>TSC America (Taiwan Semi)</t>
  </si>
  <si>
    <t>TTM Technologies (Fromlerly Viasystems)</t>
  </si>
  <si>
    <t>Unimicron Technology (KunShan)</t>
  </si>
  <si>
    <t>Vitesco Technologies GmbH</t>
  </si>
  <si>
    <t>Trend Technologie</t>
  </si>
  <si>
    <t>Updated 4/21</t>
  </si>
  <si>
    <t xml:space="preserve">A2C7413520300 </t>
  </si>
  <si>
    <t>Missing Box for:</t>
  </si>
  <si>
    <t>Previous</t>
  </si>
  <si>
    <t>.</t>
  </si>
  <si>
    <t>f</t>
  </si>
  <si>
    <t>ST995</t>
  </si>
  <si>
    <t>ST47</t>
  </si>
  <si>
    <t>Num</t>
  </si>
  <si>
    <t>Lot</t>
  </si>
  <si>
    <t>Date</t>
  </si>
  <si>
    <t xml:space="preserve">A2C3026300000 </t>
  </si>
  <si>
    <t xml:space="preserve">A2C8588130000 </t>
  </si>
  <si>
    <t xml:space="preserve">A2C7727170100 </t>
  </si>
  <si>
    <t xml:space="preserve">A2C7693250000 </t>
  </si>
  <si>
    <t xml:space="preserve">A2C0305610000 </t>
  </si>
  <si>
    <t>Number</t>
  </si>
  <si>
    <t>SBD251TRANSIT-C4</t>
  </si>
  <si>
    <t>[A-Za-z0-9]{10,}</t>
  </si>
  <si>
    <t>A2C0405840000</t>
  </si>
  <si>
    <t>606-05-A/B2</t>
  </si>
  <si>
    <t>Nedec/ Jaskson Die</t>
  </si>
  <si>
    <t>Nedec / Youder</t>
  </si>
  <si>
    <t>602-14-A/B/C  &amp; 606-06-C/D</t>
  </si>
  <si>
    <t>605-03-A/B/C/D &amp; 605-13-A</t>
  </si>
  <si>
    <t>604-06-D</t>
  </si>
  <si>
    <t>604-06-C</t>
  </si>
  <si>
    <t>Result [KB:Needs]</t>
  </si>
  <si>
    <t>(\*\s*\n)</t>
  </si>
  <si>
    <t>Remove * lines</t>
  </si>
  <si>
    <t>Vend</t>
  </si>
  <si>
    <t>A2C0304660000</t>
  </si>
  <si>
    <t>606-05-A/B3</t>
  </si>
  <si>
    <t>((?=\[)(.*)(?=A2C)|(?=@)(.*)(?&lt;=@6D)|(?=@)(.*)(?&lt;=@Q)|(?=NAR000)(.*)(?&lt;=@1T)|(?=@)(.*))</t>
  </si>
  <si>
    <t>Replace every thing but (PartNum, Date, Qty, Lot)</t>
  </si>
  <si>
    <t>((?=\[)(.*)(.*)(?&lt;=@6D)|(?=@)(.*)(?&lt;=@Q)|(?=NAR000)(.*)(?&lt;=@1T)|(?=@)(.*))</t>
  </si>
  <si>
    <t>Not including part number</t>
  </si>
  <si>
    <t>Steps</t>
  </si>
  <si>
    <t>*1</t>
  </si>
  <si>
    <t xml:space="preserve"> </t>
  </si>
  <si>
    <t>*2</t>
  </si>
  <si>
    <t>(^.*) (.*?$)</t>
  </si>
  <si>
    <t>\2 \1</t>
  </si>
  <si>
    <t xml:space="preserve">(^.*) </t>
  </si>
  <si>
    <t>*3</t>
  </si>
  <si>
    <t>1 \1</t>
  </si>
  <si>
    <t>https://regex101.com/</t>
  </si>
  <si>
    <t>Nedec America Corp</t>
  </si>
  <si>
    <t>A2C3026300000</t>
  </si>
  <si>
    <t>604-02-C</t>
  </si>
  <si>
    <t>604-02-A</t>
  </si>
  <si>
    <t>604-02-B</t>
  </si>
  <si>
    <t>A2C9836700000</t>
  </si>
  <si>
    <t>Ramf</t>
  </si>
  <si>
    <t>601-13-A</t>
  </si>
  <si>
    <t>A2C0405850000</t>
  </si>
  <si>
    <t>A2C0389480000</t>
  </si>
  <si>
    <t>606-04-C/D2</t>
  </si>
  <si>
    <t>A2C7686350100</t>
  </si>
  <si>
    <t>A2C7746440200</t>
  </si>
  <si>
    <t>A2C7634780100</t>
  </si>
  <si>
    <t>A2C7693250000</t>
  </si>
  <si>
    <t>604-05-B2</t>
  </si>
  <si>
    <t>Neuman</t>
  </si>
  <si>
    <t>604-12-A3/4</t>
  </si>
  <si>
    <t>Avx</t>
  </si>
  <si>
    <t>604-10-C</t>
  </si>
  <si>
    <t>A2C7536410100</t>
  </si>
  <si>
    <t>SBD251TRANSIT-C2</t>
  </si>
  <si>
    <t>SBD251TRANSIT-C5</t>
  </si>
  <si>
    <t>New</t>
  </si>
  <si>
    <t>Neuman Aluminam</t>
  </si>
  <si>
    <t>A2C0311430000</t>
  </si>
  <si>
    <t>A2C0400550000</t>
  </si>
  <si>
    <t>A2C0376630000</t>
  </si>
  <si>
    <t>A2C0400570000</t>
  </si>
  <si>
    <t>A2C0341470000</t>
  </si>
  <si>
    <t>CUMMINS-OWNED</t>
  </si>
  <si>
    <t>V6.12</t>
  </si>
  <si>
    <t>A2C1028810100</t>
  </si>
  <si>
    <t>601-13-A2</t>
  </si>
  <si>
    <t>A2C7743590000</t>
  </si>
  <si>
    <t>A2C7310080900</t>
  </si>
  <si>
    <t>A2C7402370300</t>
  </si>
  <si>
    <t>A2C7348550600</t>
  </si>
  <si>
    <t>Line No.</t>
  </si>
  <si>
    <t>Plt Ref.</t>
  </si>
  <si>
    <t>Part No.</t>
  </si>
  <si>
    <t>Qty.</t>
  </si>
  <si>
    <t>Location</t>
  </si>
  <si>
    <t>300.10.</t>
  </si>
  <si>
    <t>&gt;</t>
  </si>
  <si>
    <t>SBD22022-16-01A</t>
  </si>
  <si>
    <t>SBD22022-16-01C</t>
  </si>
  <si>
    <t>SBD22022-17-01A</t>
  </si>
  <si>
    <t>SBD22022-17-01C</t>
  </si>
  <si>
    <t>SBD22022-18-01A</t>
  </si>
  <si>
    <t>SBD22022-18-01C</t>
  </si>
  <si>
    <t>SBD22022-20-01A</t>
  </si>
  <si>
    <t>SBD22022-20-01C</t>
  </si>
  <si>
    <t>SBD22022-19-01A</t>
  </si>
  <si>
    <t>SBD22022-19-01C</t>
  </si>
  <si>
    <t>SBD22022-21-01A</t>
  </si>
  <si>
    <t>SBD22022-21-01C</t>
  </si>
  <si>
    <t>SBD22022-22-01A</t>
  </si>
  <si>
    <t>SBD22022-22-01C</t>
  </si>
  <si>
    <t>SBD22022-23-01A</t>
  </si>
  <si>
    <t>SBD22022-23-01C</t>
  </si>
  <si>
    <t>SBD22022-24-01A</t>
  </si>
  <si>
    <t>SBD22022-24-01C</t>
  </si>
  <si>
    <t>SBD22022-25-01A</t>
  </si>
  <si>
    <t>SBD22022-25-01C</t>
  </si>
  <si>
    <t>SBD22022-26-01A</t>
  </si>
  <si>
    <t>SBD22022-26-01C</t>
  </si>
  <si>
    <t>SBD22022-28-01A</t>
  </si>
  <si>
    <t>SBD22022-28-01C</t>
  </si>
  <si>
    <t>SBD22022-29-01A</t>
  </si>
  <si>
    <t>SBD22022-29-01C</t>
  </si>
  <si>
    <t>SBD22022-30-01A</t>
  </si>
  <si>
    <t>SBD22022-30-01C</t>
  </si>
  <si>
    <t>SBD22022-31-01A</t>
  </si>
  <si>
    <t>SBD22022-31-01C</t>
  </si>
  <si>
    <t>SBD22022-32-01A</t>
  </si>
  <si>
    <t>SBD22022-32-01C</t>
  </si>
  <si>
    <t>SBD22022-33-01A</t>
  </si>
  <si>
    <t>SBD22021-37-01A</t>
  </si>
  <si>
    <t>SBD22022-33-01C</t>
  </si>
  <si>
    <t>SBD22021-37-01C</t>
  </si>
  <si>
    <t>Unitech (Conti to Scsi) 07/01/2021  (Bailey H.)</t>
  </si>
  <si>
    <t>A2C7379080300</t>
  </si>
  <si>
    <t>A2C1020390800</t>
  </si>
  <si>
    <t>Dynamic (Conti to Scsi) 07/09/2021  (Bailey H.)</t>
  </si>
  <si>
    <t>A2C7379080000</t>
  </si>
  <si>
    <t>Years</t>
  </si>
  <si>
    <t>Capacitors</t>
  </si>
  <si>
    <t>General Electrics</t>
  </si>
  <si>
    <t>PCBs</t>
  </si>
  <si>
    <t>Casting / plastic housings</t>
  </si>
  <si>
    <t>PSA</t>
  </si>
  <si>
    <t>Connectors</t>
  </si>
  <si>
    <t>A2C7363420500</t>
  </si>
  <si>
    <t>A2C7701140000</t>
  </si>
  <si>
    <t>A2C7726780000</t>
  </si>
  <si>
    <t>301.10.</t>
  </si>
  <si>
    <t>A2C73485506</t>
  </si>
  <si>
    <t>Unitech (Conti to Scsi) 07/10/2021  (Bailey H.)</t>
  </si>
  <si>
    <t xml:space="preserve">Qty </t>
  </si>
  <si>
    <t>A2C7568530000</t>
  </si>
  <si>
    <t>A2C7670430000</t>
  </si>
  <si>
    <t>A2C1349410400</t>
  </si>
  <si>
    <t>D711.9</t>
  </si>
  <si>
    <t>357.4 + 568.5</t>
  </si>
  <si>
    <t>D711.8</t>
  </si>
  <si>
    <t>D711.7</t>
  </si>
  <si>
    <t>D711.6</t>
  </si>
  <si>
    <t>D711.5</t>
  </si>
  <si>
    <t>D711.4</t>
  </si>
  <si>
    <t>D711.3</t>
  </si>
  <si>
    <t>D711.2</t>
  </si>
  <si>
    <t>D711.1</t>
  </si>
  <si>
    <t>Wus (Conti to Scsi) 07/11/2021  (Bailey H.)</t>
  </si>
  <si>
    <t>A2C7504870800</t>
  </si>
  <si>
    <t>A2C7460371000</t>
  </si>
  <si>
    <t>Tripod</t>
  </si>
  <si>
    <t>Unitech</t>
  </si>
  <si>
    <t>PA2C7310080900</t>
  </si>
  <si>
    <t>Wus</t>
  </si>
  <si>
    <t>Mixed (Conti to Scsi) 07/11/2021  (Bailey H.)</t>
  </si>
  <si>
    <t>Nox</t>
  </si>
  <si>
    <t>A2C7331290300</t>
  </si>
  <si>
    <t>A2C7449700100</t>
  </si>
  <si>
    <t>B</t>
  </si>
  <si>
    <t>Chem</t>
  </si>
  <si>
    <t>D714.1</t>
  </si>
  <si>
    <t>D714.2</t>
  </si>
  <si>
    <t>D714.3</t>
  </si>
  <si>
    <t>D714.4</t>
  </si>
  <si>
    <t>D714.5</t>
  </si>
  <si>
    <t>D714.6</t>
  </si>
  <si>
    <t>D714.7</t>
  </si>
  <si>
    <t>D714.8</t>
  </si>
  <si>
    <t>D714.9</t>
  </si>
  <si>
    <t>D714.11</t>
  </si>
  <si>
    <t>D714.12</t>
  </si>
  <si>
    <t>D714.13</t>
  </si>
  <si>
    <t>D714.14</t>
  </si>
  <si>
    <t>D714.10.</t>
  </si>
  <si>
    <t>Mekio (Vitesco to Scsi) 07/14/2021  (Bailey H.)</t>
  </si>
  <si>
    <t>Desired Value</t>
  </si>
  <si>
    <t>Sum</t>
  </si>
  <si>
    <t>Short</t>
  </si>
  <si>
    <t>Normal Box Qty</t>
  </si>
  <si>
    <t>Total perfect outcomes</t>
  </si>
  <si>
    <t>Total outcomes with full boxes</t>
  </si>
  <si>
    <t>Mixed (Vitesco to Scsi) 07/15/2021  (Bailey H.)</t>
  </si>
  <si>
    <t>D715.1</t>
  </si>
  <si>
    <t>A2C9590630100</t>
  </si>
  <si>
    <t>D715.2</t>
  </si>
  <si>
    <t>D715.3</t>
  </si>
  <si>
    <t>D715.4</t>
  </si>
  <si>
    <t>SBD22027-21-01A</t>
  </si>
  <si>
    <t>SBD22027-20-01A</t>
  </si>
  <si>
    <t>SBD22027-20-01C</t>
  </si>
  <si>
    <t>SBD22027-25-01C</t>
  </si>
  <si>
    <t>SBD22027-25-01A</t>
  </si>
  <si>
    <t>SBD22027-22-01A</t>
  </si>
  <si>
    <t>SBD22027-22-01C</t>
  </si>
  <si>
    <t>SBD22027-24-01A</t>
  </si>
  <si>
    <t>SBD22027-24-01C</t>
  </si>
  <si>
    <t>SBD22027-23-01A</t>
  </si>
  <si>
    <t>SBD22027-23-01C</t>
  </si>
  <si>
    <t>Mixed (Vitesco to Scsi) 07/19/2021  (Bailey H.)</t>
  </si>
  <si>
    <t>Dynamic</t>
  </si>
  <si>
    <t>D719.1</t>
  </si>
  <si>
    <t>D719.2</t>
  </si>
  <si>
    <t>D719.3</t>
  </si>
  <si>
    <t>D719.4</t>
  </si>
  <si>
    <t>D719.5</t>
  </si>
  <si>
    <t>D719.6</t>
  </si>
  <si>
    <t>D719.7</t>
  </si>
  <si>
    <t>D719.8</t>
  </si>
  <si>
    <t>A2C0341480000</t>
  </si>
  <si>
    <t>A2C0269640000</t>
  </si>
  <si>
    <t>604-05-C1/2</t>
  </si>
  <si>
    <t>A2C1863380000</t>
  </si>
  <si>
    <t>Volaplast</t>
  </si>
  <si>
    <t>606-07-C1</t>
  </si>
  <si>
    <t>A2C7752050000</t>
  </si>
  <si>
    <t>SBD22027-30-01A</t>
  </si>
  <si>
    <t>SBD22027-30-01C</t>
  </si>
  <si>
    <t>SBD22027-35-01A</t>
  </si>
  <si>
    <t>SBD22027-35-01C</t>
  </si>
  <si>
    <t>SBD22027-37-01A</t>
  </si>
  <si>
    <t>SBD22027-37-01C</t>
  </si>
  <si>
    <t>SBD22027-36-01A</t>
  </si>
  <si>
    <t>SBD22027-36-01C</t>
  </si>
  <si>
    <t>SBD22027-31-01A</t>
  </si>
  <si>
    <t>SBD22027-31-01C</t>
  </si>
  <si>
    <t>SBD22027-26-01C</t>
  </si>
  <si>
    <t>SBD22027-28-01A</t>
  </si>
  <si>
    <t>SBD22027-28-01C</t>
  </si>
  <si>
    <t>SBD22014-43-01C</t>
  </si>
  <si>
    <t>SBD22014-42-01A</t>
  </si>
  <si>
    <t>SBD22027-29-01A</t>
  </si>
  <si>
    <t>SBD22027-29-01C</t>
  </si>
  <si>
    <t>SBD22014-42-01C</t>
  </si>
  <si>
    <t>SBD22027-26-01A</t>
  </si>
  <si>
    <t>D719.9</t>
  </si>
  <si>
    <t>A2C7568730000</t>
  </si>
  <si>
    <t>Mixed (Vitesco to Scsi) 07/20/2021  (Bailey H.)</t>
  </si>
  <si>
    <t>D719.11</t>
  </si>
  <si>
    <t>D719.12</t>
  </si>
  <si>
    <t>D719.13</t>
  </si>
  <si>
    <t>D719.14</t>
  </si>
  <si>
    <t>D719.15</t>
  </si>
  <si>
    <t>D719.16</t>
  </si>
  <si>
    <t>D719.17</t>
  </si>
  <si>
    <t>D719.18</t>
  </si>
  <si>
    <t>D719.19</t>
  </si>
  <si>
    <t>D719.20</t>
  </si>
  <si>
    <t>D719.21</t>
  </si>
  <si>
    <t>D719.22</t>
  </si>
  <si>
    <t>D719.23</t>
  </si>
  <si>
    <t>D719.10</t>
  </si>
  <si>
    <t>D719.24</t>
  </si>
  <si>
    <t>D720.1</t>
  </si>
  <si>
    <t>D720.2</t>
  </si>
  <si>
    <t>D720.3</t>
  </si>
  <si>
    <t>D720.4</t>
  </si>
  <si>
    <t>D720.5</t>
  </si>
  <si>
    <t>D720.6</t>
  </si>
  <si>
    <t>D720.7</t>
  </si>
  <si>
    <t>D720.8</t>
  </si>
  <si>
    <t>D720.9</t>
  </si>
  <si>
    <t>D720.10</t>
  </si>
  <si>
    <t>D720.11</t>
  </si>
  <si>
    <t>D720.12</t>
  </si>
  <si>
    <t>Meiko</t>
  </si>
  <si>
    <t>D720.16</t>
  </si>
  <si>
    <t>D720.13</t>
  </si>
  <si>
    <t>D720.14</t>
  </si>
  <si>
    <t>D720.15</t>
  </si>
  <si>
    <t>D723.1</t>
  </si>
  <si>
    <t>D723.2</t>
  </si>
  <si>
    <t>D723.3</t>
  </si>
  <si>
    <t>A2C0269650000</t>
  </si>
  <si>
    <t>D723.4</t>
  </si>
  <si>
    <t>D723.5</t>
  </si>
  <si>
    <t>D723.6</t>
  </si>
  <si>
    <t>D723.7</t>
  </si>
  <si>
    <t>D723.8</t>
  </si>
  <si>
    <t>D723.9</t>
  </si>
  <si>
    <t>D723.11</t>
  </si>
  <si>
    <t>*?</t>
  </si>
  <si>
    <t>604-11-A</t>
  </si>
  <si>
    <t>606-07-C2/3/4</t>
  </si>
  <si>
    <t>606-07-A1</t>
  </si>
  <si>
    <t>A2C1499290000</t>
  </si>
  <si>
    <t>Buhrke Ind.</t>
  </si>
  <si>
    <t>603-01-C1/2/3</t>
  </si>
  <si>
    <t>A2C1742280000</t>
  </si>
  <si>
    <t>606-02-C1/2/3</t>
  </si>
  <si>
    <t>601-13-B</t>
  </si>
  <si>
    <t>A2C3854250000</t>
  </si>
  <si>
    <t>Fondex SA</t>
  </si>
  <si>
    <t>604-05-A1</t>
  </si>
  <si>
    <t>604-05-A2/3/4</t>
  </si>
  <si>
    <t>A2C7341500100</t>
  </si>
  <si>
    <t>Haeseler Metal</t>
  </si>
  <si>
    <t>601-02-B/C/D3</t>
  </si>
  <si>
    <t>A2C7541750100</t>
  </si>
  <si>
    <t>604-12-A1/2</t>
  </si>
  <si>
    <t>A2C7614630100</t>
  </si>
  <si>
    <t>A2C7614620100</t>
  </si>
  <si>
    <t>Altcam Valls</t>
  </si>
  <si>
    <t>604-12-C</t>
  </si>
  <si>
    <t>604-06-B</t>
  </si>
  <si>
    <t>604-12-B</t>
  </si>
  <si>
    <t>604-11-B</t>
  </si>
  <si>
    <t>603-02-B/C &amp; 603-03-A/B</t>
  </si>
  <si>
    <t>603-15-B1/2/3</t>
  </si>
  <si>
    <t xml:space="preserve">A2C1028810100 </t>
  </si>
  <si>
    <t xml:space="preserve">A2C7377750100 </t>
  </si>
  <si>
    <t xml:space="preserve">A2C7477570000 </t>
  </si>
  <si>
    <t xml:space="preserve">A2C7377740100 </t>
  </si>
  <si>
    <t xml:space="preserve">A2C7347840200 </t>
  </si>
  <si>
    <t xml:space="preserve">A1531957A0100 </t>
  </si>
  <si>
    <t xml:space="preserve">A2C1836950000 </t>
  </si>
  <si>
    <t xml:space="preserve">A2C7397770100 </t>
  </si>
  <si>
    <t xml:space="preserve">A2C7727160100 </t>
  </si>
  <si>
    <t xml:space="preserve">A2C7541720100 </t>
  </si>
  <si>
    <t xml:space="preserve">A2C7541750100 </t>
  </si>
  <si>
    <t xml:space="preserve">A2C7699900100 </t>
  </si>
  <si>
    <t xml:space="preserve">A2C0269650000 </t>
  </si>
  <si>
    <t xml:space="preserve">A1542139X0100 </t>
  </si>
  <si>
    <t xml:space="preserve">A2C0400500000 </t>
  </si>
  <si>
    <t xml:space="preserve">A2C0405850000 </t>
  </si>
  <si>
    <t xml:space="preserve">A2C0255240000 </t>
  </si>
  <si>
    <t xml:space="preserve">A2C0341480000 </t>
  </si>
  <si>
    <t xml:space="preserve">606-06-A1 </t>
  </si>
  <si>
    <t xml:space="preserve">A2C0341510000 </t>
  </si>
  <si>
    <t xml:space="preserve">606-06-A2 </t>
  </si>
  <si>
    <t xml:space="preserve">606-06-A3 </t>
  </si>
  <si>
    <t xml:space="preserve">A2C0297810000 </t>
  </si>
  <si>
    <t xml:space="preserve">606-06-A4 </t>
  </si>
  <si>
    <t xml:space="preserve">A2C0153010000 </t>
  </si>
  <si>
    <t xml:space="preserve">606-06-B1 </t>
  </si>
  <si>
    <t xml:space="preserve">606-06-B2 </t>
  </si>
  <si>
    <t xml:space="preserve">606-06-B3 </t>
  </si>
  <si>
    <t xml:space="preserve">606-06-B4 </t>
  </si>
  <si>
    <t xml:space="preserve">606-06-C1 </t>
  </si>
  <si>
    <t xml:space="preserve">606-06-C2 </t>
  </si>
  <si>
    <t xml:space="preserve">A2C0125550000 </t>
  </si>
  <si>
    <t xml:space="preserve">606-06-C3 </t>
  </si>
  <si>
    <t xml:space="preserve">606-06-C4 </t>
  </si>
  <si>
    <t xml:space="preserve">A2C0251720000 </t>
  </si>
  <si>
    <t xml:space="preserve">606-06-D1 </t>
  </si>
  <si>
    <t xml:space="preserve">606-06-D2 </t>
  </si>
  <si>
    <t xml:space="preserve">606-06-D3 </t>
  </si>
  <si>
    <t xml:space="preserve">606-06-D4 </t>
  </si>
  <si>
    <t xml:space="preserve">606-07-A1 </t>
  </si>
  <si>
    <t xml:space="preserve">606-07-A2 </t>
  </si>
  <si>
    <t xml:space="preserve">A2C0170860000 </t>
  </si>
  <si>
    <t xml:space="preserve">606-07-A3 </t>
  </si>
  <si>
    <t xml:space="preserve">A2C8719190000 </t>
  </si>
  <si>
    <t xml:space="preserve">606-07-A4 </t>
  </si>
  <si>
    <t xml:space="preserve">606-07-B1 </t>
  </si>
  <si>
    <t xml:space="preserve">A2C0114720000 </t>
  </si>
  <si>
    <t xml:space="preserve">606-07-B2 </t>
  </si>
  <si>
    <t xml:space="preserve">606-07-B3 </t>
  </si>
  <si>
    <t xml:space="preserve">A2C8719180000 </t>
  </si>
  <si>
    <t xml:space="preserve">606-07-B4 </t>
  </si>
  <si>
    <t xml:space="preserve">A2C1194820000 </t>
  </si>
  <si>
    <t xml:space="preserve">606-07-C1 </t>
  </si>
  <si>
    <t xml:space="preserve">A2C1863380000 </t>
  </si>
  <si>
    <t xml:space="preserve">606-07-C2 </t>
  </si>
  <si>
    <t xml:space="preserve">A2C0400550000 </t>
  </si>
  <si>
    <t xml:space="preserve">606-07-C3 </t>
  </si>
  <si>
    <t xml:space="preserve">606-07-C4 </t>
  </si>
  <si>
    <t xml:space="preserve">606-07-D1 </t>
  </si>
  <si>
    <t xml:space="preserve">606-07-D2 </t>
  </si>
  <si>
    <t xml:space="preserve">606-07-D3 </t>
  </si>
  <si>
    <t xml:space="preserve">A2C1794160000 </t>
  </si>
  <si>
    <t xml:space="preserve">606-07-D4 </t>
  </si>
  <si>
    <t xml:space="preserve">A2C1194800000 </t>
  </si>
  <si>
    <t xml:space="preserve">606-08-A1 </t>
  </si>
  <si>
    <t xml:space="preserve">A2C1785470000 </t>
  </si>
  <si>
    <t xml:space="preserve">606-08-A2 </t>
  </si>
  <si>
    <t xml:space="preserve">A2C1785860000 </t>
  </si>
  <si>
    <t xml:space="preserve">606-08-A3 </t>
  </si>
  <si>
    <t xml:space="preserve">A2C1785480000 </t>
  </si>
  <si>
    <t xml:space="preserve">606-08-A4 </t>
  </si>
  <si>
    <t xml:space="preserve">606-08-B1 </t>
  </si>
  <si>
    <t xml:space="preserve">606-08-B2 </t>
  </si>
  <si>
    <t xml:space="preserve">606-08-B3 </t>
  </si>
  <si>
    <t xml:space="preserve">606-09-A1 </t>
  </si>
  <si>
    <t xml:space="preserve">A2C0295410000 </t>
  </si>
  <si>
    <t xml:space="preserve">606-09-A2 </t>
  </si>
  <si>
    <t xml:space="preserve">606-09-A3 </t>
  </si>
  <si>
    <t xml:space="preserve">606-09-B1 </t>
  </si>
  <si>
    <t xml:space="preserve">A2C0400490000 </t>
  </si>
  <si>
    <t xml:space="preserve">606-09-B2 </t>
  </si>
  <si>
    <t xml:space="preserve">606-09-B3 </t>
  </si>
  <si>
    <t xml:space="preserve">606-09-C1 </t>
  </si>
  <si>
    <t xml:space="preserve">606-09-C2 </t>
  </si>
  <si>
    <t xml:space="preserve">606-09-D1 </t>
  </si>
  <si>
    <t xml:space="preserve">606-09-D2 </t>
  </si>
  <si>
    <t xml:space="preserve">606-10-A1 </t>
  </si>
  <si>
    <t xml:space="preserve">A2C5342893000 </t>
  </si>
  <si>
    <t xml:space="preserve">606-10-A2 </t>
  </si>
  <si>
    <t xml:space="preserve">606-10-A3 </t>
  </si>
  <si>
    <t xml:space="preserve">606-10-B1 </t>
  </si>
  <si>
    <t xml:space="preserve">A2C5342890300 </t>
  </si>
  <si>
    <t xml:space="preserve">606-10-B2 </t>
  </si>
  <si>
    <t xml:space="preserve">606-10-B3 </t>
  </si>
  <si>
    <t xml:space="preserve">A2C0269640000 </t>
  </si>
  <si>
    <t xml:space="preserve">606-10-B4 </t>
  </si>
  <si>
    <t xml:space="preserve">606-10-C1 </t>
  </si>
  <si>
    <t xml:space="preserve">A2C7481290000 </t>
  </si>
  <si>
    <t xml:space="preserve">606-10-C2 </t>
  </si>
  <si>
    <t xml:space="preserve">606-10-C3 </t>
  </si>
  <si>
    <t xml:space="preserve">606-10-D1 </t>
  </si>
  <si>
    <t xml:space="preserve">606-10-D2 </t>
  </si>
  <si>
    <t xml:space="preserve">A2C7539880000 </t>
  </si>
  <si>
    <t xml:space="preserve">606-10-D3 </t>
  </si>
  <si>
    <t xml:space="preserve">606-11-A1 </t>
  </si>
  <si>
    <t xml:space="preserve">A2C7331290300 </t>
  </si>
  <si>
    <t xml:space="preserve">606-11-A2 </t>
  </si>
  <si>
    <t xml:space="preserve">606-11-A3 </t>
  </si>
  <si>
    <t xml:space="preserve">606-11-B1 </t>
  </si>
  <si>
    <t xml:space="preserve">606-11-B2 </t>
  </si>
  <si>
    <t xml:space="preserve">606-11-B3 </t>
  </si>
  <si>
    <t xml:space="preserve">606-11-C1 </t>
  </si>
  <si>
    <t xml:space="preserve">606-11-C2 </t>
  </si>
  <si>
    <t xml:space="preserve">606-11-C3 </t>
  </si>
  <si>
    <t xml:space="preserve">606-11-D1 </t>
  </si>
  <si>
    <t xml:space="preserve">606-11-D2 </t>
  </si>
  <si>
    <t xml:space="preserve">606-11-D3 </t>
  </si>
  <si>
    <t>604-05-B1</t>
  </si>
  <si>
    <t>604-14-A</t>
  </si>
  <si>
    <t>604-03-C1/2 &amp; 604-03-D1/2</t>
  </si>
  <si>
    <t>605-01-A2/3 &amp; 605-14-B1</t>
  </si>
  <si>
    <t>604-11-D</t>
  </si>
  <si>
    <t>606-01-D &amp; 606-02-D</t>
  </si>
  <si>
    <t>602-02-D</t>
  </si>
  <si>
    <t>605-12-B/C/D  &amp;  606-03-A/B/C</t>
  </si>
  <si>
    <t>603-14-A</t>
  </si>
  <si>
    <t>A2C7449701000</t>
  </si>
  <si>
    <t>A2C7347840200</t>
  </si>
  <si>
    <t>601-14-A</t>
  </si>
  <si>
    <t>606-08-A/B2</t>
  </si>
  <si>
    <t>606-08-A/B3</t>
  </si>
  <si>
    <t>606-08-A/B1</t>
  </si>
  <si>
    <t>606-03-D</t>
  </si>
  <si>
    <t>606-04-A/B2 &amp; 604-04-A/B3 &amp; 606-07-D1/2</t>
  </si>
  <si>
    <t>Updated 7/21</t>
  </si>
  <si>
    <t>BH</t>
  </si>
  <si>
    <t>Julian.2.Martinez@vitesco.com</t>
  </si>
  <si>
    <t xml:space="preserve">Old weight list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</si>
</sst>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28"/>
      <color theme="1"/>
      <name val="Courier New"/>
      <family val="3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ck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/>
    <xf numFmtId="0" fontId="0" fillId="4" borderId="0" xfId="0" applyFill="1" applyBorder="1"/>
    <xf numFmtId="0" fontId="0" fillId="5" borderId="0" xfId="0" applyFill="1"/>
    <xf numFmtId="0" fontId="0" fillId="5" borderId="5" xfId="0" applyFill="1" applyBorder="1"/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/>
    <xf numFmtId="0" fontId="1" fillId="6" borderId="7" xfId="0" applyFont="1" applyFill="1" applyBorder="1"/>
    <xf numFmtId="0" fontId="0" fillId="7" borderId="7" xfId="0" applyFill="1" applyBorder="1"/>
    <xf numFmtId="0" fontId="0" fillId="8" borderId="8" xfId="0" applyFill="1" applyBorder="1" applyAlignment="1">
      <alignment horizontal="right"/>
    </xf>
    <xf numFmtId="0" fontId="0" fillId="7" borderId="8" xfId="0" applyFill="1" applyBorder="1"/>
    <xf numFmtId="0" fontId="0" fillId="0" borderId="5" xfId="0" applyBorder="1"/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/>
    <xf numFmtId="0" fontId="1" fillId="6" borderId="2" xfId="0" applyFont="1" applyFill="1" applyBorder="1"/>
    <xf numFmtId="0" fontId="0" fillId="7" borderId="2" xfId="0" applyFill="1" applyBorder="1"/>
    <xf numFmtId="0" fontId="0" fillId="8" borderId="2" xfId="0" applyFill="1" applyBorder="1" applyAlignment="1">
      <alignment horizontal="right"/>
    </xf>
    <xf numFmtId="0" fontId="0" fillId="7" borderId="9" xfId="0" applyFill="1" applyBorder="1"/>
    <xf numFmtId="0" fontId="0" fillId="9" borderId="0" xfId="0" applyFill="1"/>
    <xf numFmtId="0" fontId="0" fillId="9" borderId="10" xfId="0" applyFill="1" applyBorder="1"/>
    <xf numFmtId="0" fontId="0" fillId="9" borderId="11" xfId="0" applyFill="1" applyBorder="1"/>
    <xf numFmtId="0" fontId="0" fillId="9" borderId="1" xfId="0" applyFill="1" applyBorder="1"/>
    <xf numFmtId="0" fontId="0" fillId="6" borderId="12" xfId="0" applyFill="1" applyBorder="1"/>
    <xf numFmtId="0" fontId="0" fillId="7" borderId="11" xfId="0" applyFill="1" applyBorder="1"/>
    <xf numFmtId="0" fontId="0" fillId="10" borderId="10" xfId="0" applyFill="1" applyBorder="1"/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1" fontId="0" fillId="0" borderId="0" xfId="0" applyNumberFormat="1" applyAlignment="1">
      <alignment horizontal="left"/>
    </xf>
    <xf numFmtId="1" fontId="0" fillId="2" borderId="13" xfId="0" applyNumberFormat="1" applyFill="1" applyBorder="1" applyAlignment="1">
      <alignment horizontal="left"/>
    </xf>
    <xf numFmtId="1" fontId="0" fillId="2" borderId="14" xfId="0" applyNumberFormat="1" applyFill="1" applyBorder="1" applyAlignment="1">
      <alignment horizontal="left"/>
    </xf>
    <xf numFmtId="1" fontId="0" fillId="2" borderId="15" xfId="0" applyNumberFormat="1" applyFill="1" applyBorder="1" applyAlignment="1">
      <alignment horizontal="left"/>
    </xf>
    <xf numFmtId="1" fontId="0" fillId="3" borderId="13" xfId="0" applyNumberFormat="1" applyFill="1" applyBorder="1" applyAlignment="1">
      <alignment horizontal="left"/>
    </xf>
    <xf numFmtId="1" fontId="0" fillId="3" borderId="14" xfId="0" applyNumberFormat="1" applyFill="1" applyBorder="1" applyAlignment="1">
      <alignment horizontal="left"/>
    </xf>
    <xf numFmtId="1" fontId="0" fillId="3" borderId="15" xfId="0" applyNumberFormat="1" applyFill="1" applyBorder="1" applyAlignment="1">
      <alignment horizontal="left"/>
    </xf>
    <xf numFmtId="1" fontId="0" fillId="11" borderId="13" xfId="0" applyNumberFormat="1" applyFill="1" applyBorder="1" applyAlignment="1">
      <alignment horizontal="left"/>
    </xf>
    <xf numFmtId="1" fontId="0" fillId="11" borderId="14" xfId="0" applyNumberFormat="1" applyFill="1" applyBorder="1" applyAlignment="1">
      <alignment horizontal="left"/>
    </xf>
    <xf numFmtId="1" fontId="0" fillId="11" borderId="15" xfId="0" applyNumberFormat="1" applyFill="1" applyBorder="1" applyAlignment="1">
      <alignment horizontal="left"/>
    </xf>
    <xf numFmtId="1" fontId="0" fillId="12" borderId="13" xfId="0" applyNumberFormat="1" applyFill="1" applyBorder="1" applyAlignment="1">
      <alignment horizontal="left"/>
    </xf>
    <xf numFmtId="1" fontId="0" fillId="12" borderId="14" xfId="0" applyNumberFormat="1" applyFill="1" applyBorder="1" applyAlignment="1">
      <alignment horizontal="left"/>
    </xf>
    <xf numFmtId="1" fontId="0" fillId="12" borderId="15" xfId="0" applyNumberFormat="1" applyFill="1" applyBorder="1" applyAlignment="1">
      <alignment horizontal="left"/>
    </xf>
    <xf numFmtId="0" fontId="2" fillId="0" borderId="0" xfId="0" applyFont="1"/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/>
    <xf numFmtId="0" fontId="2" fillId="4" borderId="0" xfId="0" applyFont="1" applyFill="1"/>
    <xf numFmtId="0" fontId="2" fillId="4" borderId="0" xfId="0" applyFont="1" applyFill="1" applyAlignment="1">
      <alignment horizontal="left"/>
    </xf>
    <xf numFmtId="0" fontId="2" fillId="13" borderId="0" xfId="0" applyFont="1" applyFill="1"/>
    <xf numFmtId="0" fontId="2" fillId="0" borderId="0" xfId="0" applyFont="1" applyFill="1"/>
    <xf numFmtId="1" fontId="2" fillId="4" borderId="0" xfId="0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3" borderId="3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3" borderId="3" xfId="0" applyFill="1" applyBorder="1" applyAlignment="1"/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0" borderId="12" xfId="0" applyFill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0" fillId="14" borderId="3" xfId="0" applyFill="1" applyBorder="1"/>
    <xf numFmtId="0" fontId="2" fillId="2" borderId="10" xfId="0" applyFont="1" applyFill="1" applyBorder="1" applyAlignment="1"/>
    <xf numFmtId="0" fontId="2" fillId="2" borderId="0" xfId="0" applyFont="1" applyFill="1" applyBorder="1" applyAlignment="1"/>
    <xf numFmtId="0" fontId="2" fillId="2" borderId="0" xfId="0" applyFont="1" applyFill="1" applyAlignment="1"/>
    <xf numFmtId="0" fontId="2" fillId="0" borderId="0" xfId="0" applyFont="1" applyFill="1" applyBorder="1" applyAlignment="1"/>
    <xf numFmtId="0" fontId="0" fillId="0" borderId="0" xfId="0" applyFill="1" applyBorder="1" applyProtection="1"/>
    <xf numFmtId="0" fontId="0" fillId="0" borderId="0" xfId="0" applyBorder="1" applyProtection="1">
      <protection locked="0"/>
    </xf>
    <xf numFmtId="0" fontId="0" fillId="2" borderId="0" xfId="0" applyFill="1" applyAlignment="1" applyProtection="1">
      <alignment horizontal="center"/>
    </xf>
    <xf numFmtId="0" fontId="0" fillId="14" borderId="3" xfId="0" applyFill="1" applyBorder="1" applyAlignment="1">
      <alignment horizontal="center"/>
    </xf>
    <xf numFmtId="0" fontId="0" fillId="14" borderId="3" xfId="0" applyFill="1" applyBorder="1" applyAlignment="1">
      <alignment horizontal="right"/>
    </xf>
    <xf numFmtId="0" fontId="0" fillId="2" borderId="0" xfId="0" applyFill="1" applyAlignment="1" applyProtection="1">
      <alignment horizontal="left"/>
    </xf>
    <xf numFmtId="1" fontId="4" fillId="2" borderId="0" xfId="0" applyNumberFormat="1" applyFont="1" applyFill="1" applyAlignment="1">
      <alignment horizontal="left"/>
    </xf>
    <xf numFmtId="1" fontId="4" fillId="2" borderId="0" xfId="0" applyNumberFormat="1" applyFont="1" applyFill="1" applyAlignment="1" applyProtection="1">
      <alignment horizontal="left"/>
    </xf>
    <xf numFmtId="1" fontId="4" fillId="2" borderId="5" xfId="0" applyNumberFormat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Fill="1" applyAlignment="1" applyProtection="1">
      <alignment horizontal="left"/>
      <protection locked="0"/>
    </xf>
    <xf numFmtId="0" fontId="0" fillId="0" borderId="12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Fill="1" applyAlignment="1" applyProtection="1">
      <alignment horizontal="center"/>
    </xf>
    <xf numFmtId="0" fontId="0" fillId="0" borderId="3" xfId="0" applyBorder="1" applyAlignment="1">
      <alignment horizontal="center" vertical="center"/>
    </xf>
    <xf numFmtId="0" fontId="0" fillId="14" borderId="0" xfId="0" applyFill="1"/>
    <xf numFmtId="0" fontId="0" fillId="2" borderId="12" xfId="0" applyFill="1" applyBorder="1"/>
    <xf numFmtId="0" fontId="0" fillId="15" borderId="12" xfId="0" applyFill="1" applyBorder="1"/>
    <xf numFmtId="0" fontId="0" fillId="12" borderId="12" xfId="0" applyFill="1" applyBorder="1"/>
    <xf numFmtId="0" fontId="0" fillId="14" borderId="2" xfId="0" applyFont="1" applyFill="1" applyBorder="1"/>
    <xf numFmtId="0" fontId="0" fillId="16" borderId="12" xfId="0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6" xfId="0" applyFill="1" applyBorder="1" applyAlignment="1">
      <alignment horizontal="center"/>
    </xf>
    <xf numFmtId="0" fontId="0" fillId="17" borderId="12" xfId="0" applyFill="1" applyBorder="1"/>
    <xf numFmtId="1" fontId="0" fillId="13" borderId="13" xfId="0" applyNumberFormat="1" applyFill="1" applyBorder="1" applyAlignment="1">
      <alignment horizontal="left"/>
    </xf>
    <xf numFmtId="1" fontId="0" fillId="13" borderId="14" xfId="0" applyNumberFormat="1" applyFill="1" applyBorder="1" applyAlignment="1">
      <alignment horizontal="left"/>
    </xf>
    <xf numFmtId="1" fontId="0" fillId="13" borderId="15" xfId="0" applyNumberFormat="1" applyFill="1" applyBorder="1" applyAlignment="1">
      <alignment horizontal="left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0" xfId="0" applyFont="1" applyFill="1" applyBorder="1"/>
    <xf numFmtId="1" fontId="2" fillId="0" borderId="0" xfId="0" applyNumberFormat="1" applyFont="1" applyBorder="1" applyAlignment="1">
      <alignment horizontal="left"/>
    </xf>
    <xf numFmtId="0" fontId="2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16" fontId="2" fillId="0" borderId="0" xfId="0" applyNumberFormat="1" applyFont="1" applyBorder="1" applyAlignment="1">
      <alignment horizontal="left"/>
    </xf>
    <xf numFmtId="14" fontId="0" fillId="0" borderId="12" xfId="0" applyNumberFormat="1" applyBorder="1" applyAlignment="1">
      <alignment horizontal="left"/>
    </xf>
    <xf numFmtId="0" fontId="0" fillId="0" borderId="10" xfId="0" applyBorder="1" applyAlignment="1">
      <alignment horizontal="left"/>
    </xf>
    <xf numFmtId="0" fontId="2" fillId="18" borderId="0" xfId="0" applyFont="1" applyFill="1"/>
    <xf numFmtId="1" fontId="2" fillId="18" borderId="0" xfId="0" applyNumberFormat="1" applyFont="1" applyFill="1" applyAlignment="1">
      <alignment horizontal="center"/>
    </xf>
    <xf numFmtId="0" fontId="2" fillId="18" borderId="0" xfId="0" applyFont="1" applyFill="1" applyAlignment="1">
      <alignment horizontal="right"/>
    </xf>
    <xf numFmtId="0" fontId="2" fillId="18" borderId="0" xfId="0" applyFont="1" applyFill="1" applyAlignment="1">
      <alignment horizontal="center"/>
    </xf>
    <xf numFmtId="1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5" fillId="0" borderId="0" xfId="1" applyFill="1"/>
    <xf numFmtId="0" fontId="3" fillId="1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8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55FFB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138953</xdr:colOff>
      <xdr:row>0</xdr:row>
      <xdr:rowOff>141194</xdr:rowOff>
    </xdr:from>
    <xdr:to>
      <xdr:col>5</xdr:col>
      <xdr:colOff>445994</xdr:colOff>
      <xdr:row>2</xdr:row>
      <xdr:rowOff>188259</xdr:rowOff>
    </xdr:to>
    <xdr:sp macro="[0]!Sheet1.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89629" y="141194"/>
          <a:ext cx="900953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9</xdr:col>
      <xdr:colOff>593913</xdr:colOff>
      <xdr:row>1</xdr:row>
      <xdr:rowOff>112057</xdr:rowOff>
    </xdr:from>
    <xdr:to>
      <xdr:col>11</xdr:col>
      <xdr:colOff>898</xdr:colOff>
      <xdr:row>3</xdr:row>
      <xdr:rowOff>20617</xdr:rowOff>
    </xdr:to>
    <xdr:sp macro="[0]!Sheet1.pasteBo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47766" y="302557"/>
          <a:ext cx="617220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Paste</a:t>
          </a:r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3</xdr:row>
          <xdr:rowOff>104775</xdr:rowOff>
        </xdr:from>
        <xdr:to>
          <xdr:col>11</xdr:col>
          <xdr:colOff>352425</xdr:colOff>
          <xdr:row>15</xdr:row>
          <xdr:rowOff>85725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95250</xdr:rowOff>
        </xdr:from>
        <xdr:to>
          <xdr:col>15</xdr:col>
          <xdr:colOff>1343025</xdr:colOff>
          <xdr:row>15</xdr:row>
          <xdr:rowOff>66675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302561</xdr:colOff>
      <xdr:row>9</xdr:row>
      <xdr:rowOff>44823</xdr:rowOff>
    </xdr:from>
    <xdr:to>
      <xdr:col>13</xdr:col>
      <xdr:colOff>428963</xdr:colOff>
      <xdr:row>10</xdr:row>
      <xdr:rowOff>143883</xdr:rowOff>
    </xdr:to>
    <xdr:sp macro="[0]!Sheet1.processBox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611473" y="1759323"/>
          <a:ext cx="731519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Process</a:t>
          </a:r>
        </a:p>
      </xdr:txBody>
    </xdr:sp>
    <xdr:clientData/>
  </xdr:twoCellAnchor>
  <xdr:twoCellAnchor>
    <xdr:from>
      <xdr:col>12</xdr:col>
      <xdr:colOff>336176</xdr:colOff>
      <xdr:row>3</xdr:row>
      <xdr:rowOff>78440</xdr:rowOff>
    </xdr:from>
    <xdr:to>
      <xdr:col>13</xdr:col>
      <xdr:colOff>371138</xdr:colOff>
      <xdr:row>4</xdr:row>
      <xdr:rowOff>185120</xdr:rowOff>
    </xdr:to>
    <xdr:sp macro="[0]!Sheet1.clearBoxes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205382" y="649940"/>
          <a:ext cx="640080" cy="2971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347383</xdr:colOff>
      <xdr:row>1</xdr:row>
      <xdr:rowOff>123265</xdr:rowOff>
    </xdr:from>
    <xdr:to>
      <xdr:col>13</xdr:col>
      <xdr:colOff>367105</xdr:colOff>
      <xdr:row>3</xdr:row>
      <xdr:rowOff>1345</xdr:rowOff>
    </xdr:to>
    <xdr:sp macro="[0]!Sheet1.Button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216589" y="313765"/>
          <a:ext cx="62484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Format</a:t>
          </a:r>
        </a:p>
      </xdr:txBody>
    </xdr:sp>
    <xdr:clientData/>
  </xdr:twoCellAnchor>
  <xdr:twoCellAnchor>
    <xdr:from>
      <xdr:col>15</xdr:col>
      <xdr:colOff>11207</xdr:colOff>
      <xdr:row>1</xdr:row>
      <xdr:rowOff>112058</xdr:rowOff>
    </xdr:from>
    <xdr:to>
      <xdr:col>16</xdr:col>
      <xdr:colOff>1</xdr:colOff>
      <xdr:row>3</xdr:row>
      <xdr:rowOff>5378</xdr:rowOff>
    </xdr:to>
    <xdr:sp macro="[0]!Sheet1.copyBox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695766" y="302558"/>
          <a:ext cx="593911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</a:t>
          </a:r>
        </a:p>
      </xdr:txBody>
    </xdr:sp>
    <xdr:clientData/>
  </xdr:twoCellAnchor>
  <xdr:twoCellAnchor>
    <xdr:from>
      <xdr:col>6</xdr:col>
      <xdr:colOff>89647</xdr:colOff>
      <xdr:row>13</xdr:row>
      <xdr:rowOff>123265</xdr:rowOff>
    </xdr:from>
    <xdr:to>
      <xdr:col>8</xdr:col>
      <xdr:colOff>582705</xdr:colOff>
      <xdr:row>15</xdr:row>
      <xdr:rowOff>44822</xdr:rowOff>
    </xdr:to>
    <xdr:sp macro="[0]!Sheet1.openChromeLabelMak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28147" y="2599765"/>
          <a:ext cx="1703293" cy="30255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LabelMaker</a:t>
          </a:r>
        </a:p>
      </xdr:txBody>
    </xdr:sp>
    <xdr:clientData/>
  </xdr:twoCellAnchor>
  <xdr:twoCellAnchor>
    <xdr:from>
      <xdr:col>7</xdr:col>
      <xdr:colOff>164728</xdr:colOff>
      <xdr:row>3</xdr:row>
      <xdr:rowOff>44823</xdr:rowOff>
    </xdr:from>
    <xdr:to>
      <xdr:col>8</xdr:col>
      <xdr:colOff>340661</xdr:colOff>
      <xdr:row>5</xdr:row>
      <xdr:rowOff>91888</xdr:rowOff>
    </xdr:to>
    <xdr:sp macro="[0]!auto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8052" y="616323"/>
          <a:ext cx="78105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Auto</a:t>
          </a:r>
        </a:p>
      </xdr:txBody>
    </xdr:sp>
    <xdr:clientData/>
  </xdr:twoCellAnchor>
  <xdr:twoCellAnchor>
    <xdr:from>
      <xdr:col>7</xdr:col>
      <xdr:colOff>169772</xdr:colOff>
      <xdr:row>10</xdr:row>
      <xdr:rowOff>129988</xdr:rowOff>
    </xdr:from>
    <xdr:to>
      <xdr:col>8</xdr:col>
      <xdr:colOff>336180</xdr:colOff>
      <xdr:row>12</xdr:row>
      <xdr:rowOff>177053</xdr:rowOff>
    </xdr:to>
    <xdr:sp macro="[0]!entering521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53096" y="2034988"/>
          <a:ext cx="771525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521</a:t>
          </a:r>
          <a:r>
            <a:rPr lang="en-US" sz="1100" baseline="0"/>
            <a:t> Scan</a:t>
          </a:r>
        </a:p>
      </xdr:txBody>
    </xdr:sp>
    <xdr:clientData/>
  </xdr:twoCellAnchor>
  <xdr:twoCellAnchor>
    <xdr:from>
      <xdr:col>7</xdr:col>
      <xdr:colOff>166968</xdr:colOff>
      <xdr:row>5</xdr:row>
      <xdr:rowOff>159124</xdr:rowOff>
    </xdr:from>
    <xdr:to>
      <xdr:col>8</xdr:col>
      <xdr:colOff>342901</xdr:colOff>
      <xdr:row>8</xdr:row>
      <xdr:rowOff>15689</xdr:rowOff>
    </xdr:to>
    <xdr:sp macro="[0]!enteringCompleteMatLabls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50292" y="1111624"/>
          <a:ext cx="78105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BoardTech</a:t>
          </a:r>
        </a:p>
      </xdr:txBody>
    </xdr:sp>
    <xdr:clientData/>
  </xdr:twoCellAnchor>
  <xdr:twoCellAnchor>
    <xdr:from>
      <xdr:col>6</xdr:col>
      <xdr:colOff>100854</xdr:colOff>
      <xdr:row>1</xdr:row>
      <xdr:rowOff>44824</xdr:rowOff>
    </xdr:from>
    <xdr:to>
      <xdr:col>8</xdr:col>
      <xdr:colOff>549089</xdr:colOff>
      <xdr:row>2</xdr:row>
      <xdr:rowOff>156882</xdr:rowOff>
    </xdr:to>
    <xdr:sp macro="[0]!openRecScreen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339354" y="235324"/>
          <a:ext cx="1658470" cy="3025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Rec</a:t>
          </a:r>
        </a:p>
      </xdr:txBody>
    </xdr:sp>
    <xdr:clientData/>
  </xdr:twoCellAnchor>
  <xdr:twoCellAnchor>
    <xdr:from>
      <xdr:col>6</xdr:col>
      <xdr:colOff>123265</xdr:colOff>
      <xdr:row>8</xdr:row>
      <xdr:rowOff>123264</xdr:rowOff>
    </xdr:from>
    <xdr:to>
      <xdr:col>8</xdr:col>
      <xdr:colOff>571500</xdr:colOff>
      <xdr:row>10</xdr:row>
      <xdr:rowOff>44822</xdr:rowOff>
    </xdr:to>
    <xdr:sp macro="[0]!openPutAwayScreen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61765" y="1647264"/>
          <a:ext cx="1658470" cy="3025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Put Away</a:t>
          </a:r>
        </a:p>
      </xdr:txBody>
    </xdr:sp>
    <xdr:clientData/>
  </xdr:twoCellAnchor>
  <xdr:twoCellAnchor>
    <xdr:from>
      <xdr:col>4</xdr:col>
      <xdr:colOff>134471</xdr:colOff>
      <xdr:row>3</xdr:row>
      <xdr:rowOff>44824</xdr:rowOff>
    </xdr:from>
    <xdr:to>
      <xdr:col>5</xdr:col>
      <xdr:colOff>459441</xdr:colOff>
      <xdr:row>4</xdr:row>
      <xdr:rowOff>89648</xdr:rowOff>
    </xdr:to>
    <xdr:sp macro="[0]!Sheet1.undoClear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185147" y="616324"/>
          <a:ext cx="918882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Undo</a:t>
          </a:r>
        </a:p>
      </xdr:txBody>
    </xdr:sp>
    <xdr:clientData/>
  </xdr:twoCellAnchor>
  <xdr:twoCellAnchor>
    <xdr:from>
      <xdr:col>12</xdr:col>
      <xdr:colOff>322730</xdr:colOff>
      <xdr:row>5</xdr:row>
      <xdr:rowOff>89646</xdr:rowOff>
    </xdr:from>
    <xdr:to>
      <xdr:col>13</xdr:col>
      <xdr:colOff>385482</xdr:colOff>
      <xdr:row>7</xdr:row>
      <xdr:rowOff>26893</xdr:rowOff>
    </xdr:to>
    <xdr:sp macro="[0]!Sheet1.ButtonToCells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750424" y="986117"/>
          <a:ext cx="672352" cy="2958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</a:t>
          </a:r>
          <a:r>
            <a:rPr lang="en-US" sz="1100" baseline="0"/>
            <a:t> Cells</a:t>
          </a:r>
          <a:endParaRPr lang="en-US" sz="1100"/>
        </a:p>
      </xdr:txBody>
    </xdr:sp>
    <xdr:clientData/>
  </xdr:twoCellAnchor>
  <xdr:twoCellAnchor>
    <xdr:from>
      <xdr:col>0</xdr:col>
      <xdr:colOff>55473</xdr:colOff>
      <xdr:row>4</xdr:row>
      <xdr:rowOff>89647</xdr:rowOff>
    </xdr:from>
    <xdr:to>
      <xdr:col>1</xdr:col>
      <xdr:colOff>53788</xdr:colOff>
      <xdr:row>5</xdr:row>
      <xdr:rowOff>98611</xdr:rowOff>
    </xdr:to>
    <xdr:sp macro="[0]!Sheet1.resetMathRow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5473" y="806823"/>
          <a:ext cx="500339" cy="18825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Reset Nums</a:t>
          </a:r>
          <a:endParaRPr lang="en-US" sz="800" baseline="0"/>
        </a:p>
      </xdr:txBody>
    </xdr:sp>
    <xdr:clientData/>
  </xdr:twoCellAnchor>
  <xdr:twoCellAnchor>
    <xdr:from>
      <xdr:col>8</xdr:col>
      <xdr:colOff>600635</xdr:colOff>
      <xdr:row>16</xdr:row>
      <xdr:rowOff>0</xdr:rowOff>
    </xdr:from>
    <xdr:to>
      <xdr:col>9</xdr:col>
      <xdr:colOff>609599</xdr:colOff>
      <xdr:row>17</xdr:row>
      <xdr:rowOff>179293</xdr:rowOff>
    </xdr:to>
    <xdr:sp macro="[0]!setCustomPrinters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589929" y="2868706"/>
          <a:ext cx="618564" cy="35858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Printers</a:t>
          </a:r>
          <a:endParaRPr lang="en-US" sz="1050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80682</xdr:colOff>
      <xdr:row>15</xdr:row>
      <xdr:rowOff>116542</xdr:rowOff>
    </xdr:from>
    <xdr:to>
      <xdr:col>8</xdr:col>
      <xdr:colOff>564777</xdr:colOff>
      <xdr:row>16</xdr:row>
      <xdr:rowOff>98613</xdr:rowOff>
    </xdr:to>
    <xdr:sp macro="[0]!setContiPrinters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34870" y="2805954"/>
          <a:ext cx="1219201" cy="1613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Conti Printers</a:t>
          </a:r>
          <a:endParaRPr lang="en-US" sz="1100" baseline="0"/>
        </a:p>
      </xdr:txBody>
    </xdr:sp>
    <xdr:clientData/>
  </xdr:twoCellAnchor>
  <xdr:twoCellAnchor>
    <xdr:from>
      <xdr:col>6</xdr:col>
      <xdr:colOff>89646</xdr:colOff>
      <xdr:row>16</xdr:row>
      <xdr:rowOff>170330</xdr:rowOff>
    </xdr:from>
    <xdr:to>
      <xdr:col>8</xdr:col>
      <xdr:colOff>573741</xdr:colOff>
      <xdr:row>18</xdr:row>
      <xdr:rowOff>0</xdr:rowOff>
    </xdr:to>
    <xdr:sp macro="[0]!setScsiPrinters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43834" y="3039036"/>
          <a:ext cx="1219201" cy="1882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Scsi Printers</a:t>
          </a:r>
          <a:endParaRPr lang="en-US" sz="1100" baseline="0"/>
        </a:p>
      </xdr:txBody>
    </xdr:sp>
    <xdr:clientData/>
  </xdr:twoCellAnchor>
  <xdr:twoCellAnchor>
    <xdr:from>
      <xdr:col>6</xdr:col>
      <xdr:colOff>98612</xdr:colOff>
      <xdr:row>18</xdr:row>
      <xdr:rowOff>62754</xdr:rowOff>
    </xdr:from>
    <xdr:to>
      <xdr:col>8</xdr:col>
      <xdr:colOff>591670</xdr:colOff>
      <xdr:row>19</xdr:row>
      <xdr:rowOff>163605</xdr:rowOff>
    </xdr:to>
    <xdr:sp macro="[0]!macroLB12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52800" y="3290048"/>
          <a:ext cx="1228164" cy="28014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LB12</a:t>
          </a:r>
          <a:r>
            <a:rPr lang="en-US" sz="1100" baseline="0">
              <a:solidFill>
                <a:schemeClr val="tx1"/>
              </a:solidFill>
            </a:rPr>
            <a:t> Macro 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107577</xdr:colOff>
      <xdr:row>17</xdr:row>
      <xdr:rowOff>0</xdr:rowOff>
    </xdr:from>
    <xdr:to>
      <xdr:col>13</xdr:col>
      <xdr:colOff>116540</xdr:colOff>
      <xdr:row>18</xdr:row>
      <xdr:rowOff>100851</xdr:rowOff>
    </xdr:to>
    <xdr:sp macro="[0]!searchPart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21506" y="3048000"/>
          <a:ext cx="1228163" cy="28014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LS24</a:t>
          </a:r>
        </a:p>
      </xdr:txBody>
    </xdr:sp>
    <xdr:clientData/>
  </xdr:twoCellAnchor>
  <xdr:twoCellAnchor>
    <xdr:from>
      <xdr:col>13</xdr:col>
      <xdr:colOff>286870</xdr:colOff>
      <xdr:row>17</xdr:row>
      <xdr:rowOff>8964</xdr:rowOff>
    </xdr:from>
    <xdr:to>
      <xdr:col>15</xdr:col>
      <xdr:colOff>116541</xdr:colOff>
      <xdr:row>18</xdr:row>
      <xdr:rowOff>71718</xdr:rowOff>
    </xdr:to>
    <xdr:sp macro="[0]!Sheet1.clearLS24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85529" y="3056964"/>
          <a:ext cx="654424" cy="2420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22412</xdr:colOff>
      <xdr:row>23</xdr:row>
      <xdr:rowOff>56031</xdr:rowOff>
    </xdr:from>
    <xdr:to>
      <xdr:col>7</xdr:col>
      <xdr:colOff>954742</xdr:colOff>
      <xdr:row>25</xdr:row>
      <xdr:rowOff>103096</xdr:rowOff>
    </xdr:to>
    <xdr:sp macro="[0]!changelot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608294" y="4437531"/>
          <a:ext cx="93233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Chagne Lot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274320</xdr:colOff>
      <xdr:row>0</xdr:row>
      <xdr:rowOff>144780</xdr:rowOff>
    </xdr:from>
    <xdr:to>
      <xdr:col>11</xdr:col>
      <xdr:colOff>352425</xdr:colOff>
      <xdr:row>2</xdr:row>
      <xdr:rowOff>45720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03445" y="144780"/>
          <a:ext cx="52578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579120</xdr:colOff>
      <xdr:row>0</xdr:row>
      <xdr:rowOff>167640</xdr:rowOff>
    </xdr:from>
    <xdr:to>
      <xdr:col>2</xdr:col>
      <xdr:colOff>236220</xdr:colOff>
      <xdr:row>2</xdr:row>
      <xdr:rowOff>91440</xdr:rowOff>
    </xdr:to>
    <xdr:sp macro="[0]!EnterDataTo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9120" y="167640"/>
          <a:ext cx="12954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Update Data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40000"/>
            <a:lumOff val="60000"/>
          </a:schemeClr>
        </a:solidFill>
        <a:ln>
          <a:noFill/>
        </a:ln>
      </a:spPr>
      <a:bodyPr vertOverflow="clip" horzOverflow="clip" rtlCol="0" anchor="ctr"/>
      <a:lstStyle>
        <a:defPPr algn="ctr">
          <a:defRPr sz="110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lian.2.Martinez@vitesco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007"/>
  <sheetViews>
    <sheetView zoomScale="85" zoomScaleNormal="85" workbookViewId="0">
      <selection activeCell="H27" sqref="H27"/>
    </sheetView>
  </sheetViews>
  <sheetFormatPr defaultRowHeight="15" x14ac:dyDescent="0.25"/>
  <cols>
    <col min="1" max="1" width="7.140625" customWidth="1"/>
    <col min="2" max="2" width="2.140625" customWidth="1"/>
    <col min="3" max="3" width="11.7109375" style="69" customWidth="1"/>
    <col min="4" max="4" width="12.85546875" style="69" customWidth="1"/>
    <col min="5" max="6" width="8.85546875" style="12"/>
    <col min="7" max="7" width="1.85546875" customWidth="1"/>
    <col min="8" max="8" width="15.5703125" style="59" customWidth="1"/>
    <col min="9" max="9" width="0.85546875" customWidth="1"/>
    <col min="11" max="11" width="14.7109375" bestFit="1" customWidth="1"/>
    <col min="12" max="12" width="10.140625" customWidth="1"/>
    <col min="13" max="13" width="5.7109375" customWidth="1"/>
    <col min="14" max="14" width="5" customWidth="1"/>
    <col min="15" max="15" width="7" customWidth="1"/>
    <col min="16" max="16" width="20.7109375" customWidth="1"/>
  </cols>
  <sheetData>
    <row r="1" spans="1:20" x14ac:dyDescent="0.25">
      <c r="A1" s="84">
        <v>725</v>
      </c>
      <c r="B1" s="6"/>
      <c r="C1" s="67"/>
      <c r="D1" s="67" t="s">
        <v>1298</v>
      </c>
      <c r="E1" s="7"/>
      <c r="F1" s="7"/>
      <c r="S1" t="s">
        <v>1266</v>
      </c>
    </row>
    <row r="2" spans="1:20" x14ac:dyDescent="0.25">
      <c r="C2" s="92">
        <f>SUM(B7:B3003)</f>
        <v>19</v>
      </c>
      <c r="D2" s="8" t="s">
        <v>2</v>
      </c>
      <c r="E2" s="9"/>
      <c r="F2" s="7"/>
      <c r="J2" s="13"/>
      <c r="K2" s="13"/>
      <c r="L2" s="13"/>
      <c r="M2" s="13"/>
      <c r="N2" s="13"/>
      <c r="O2" s="13"/>
      <c r="P2" s="13"/>
      <c r="Q2" s="13"/>
      <c r="R2" s="6"/>
      <c r="S2" t="s">
        <v>1254</v>
      </c>
    </row>
    <row r="3" spans="1:20" x14ac:dyDescent="0.25">
      <c r="A3" t="s">
        <v>1223</v>
      </c>
      <c r="C3" s="93">
        <f>SUM(C7:C2124)</f>
        <v>27</v>
      </c>
      <c r="D3" s="10" t="s">
        <v>1</v>
      </c>
      <c r="E3" s="9"/>
      <c r="F3" s="7"/>
      <c r="J3" s="13"/>
      <c r="K3" s="13"/>
      <c r="L3" s="13"/>
      <c r="M3" s="13"/>
      <c r="N3" s="13"/>
      <c r="O3" s="13"/>
      <c r="P3" s="13"/>
      <c r="Q3" s="13"/>
      <c r="R3" s="6"/>
      <c r="S3" t="s">
        <v>1253</v>
      </c>
    </row>
    <row r="4" spans="1:20" x14ac:dyDescent="0.25">
      <c r="A4" s="75"/>
      <c r="C4" s="94">
        <f>SUM(A7:A3002) + A4</f>
        <v>2000</v>
      </c>
      <c r="D4" s="11" t="s">
        <v>0</v>
      </c>
      <c r="E4" s="9"/>
      <c r="F4" s="7"/>
      <c r="J4" s="13"/>
      <c r="K4" s="13"/>
      <c r="L4" s="13"/>
      <c r="M4" s="13"/>
      <c r="N4" s="13"/>
      <c r="O4" s="13"/>
      <c r="P4" s="13"/>
      <c r="Q4" s="13"/>
      <c r="R4" s="6"/>
      <c r="S4" t="s">
        <v>1256</v>
      </c>
    </row>
    <row r="5" spans="1:20" x14ac:dyDescent="0.25">
      <c r="B5" s="1"/>
      <c r="C5" s="67"/>
      <c r="D5" s="67"/>
      <c r="E5" s="7"/>
      <c r="F5" s="7"/>
      <c r="J5" s="13"/>
      <c r="K5" s="13"/>
      <c r="L5" s="13"/>
      <c r="M5" s="13"/>
      <c r="N5" s="13"/>
      <c r="O5" s="13"/>
      <c r="P5" s="13"/>
      <c r="Q5" s="13"/>
      <c r="R5" s="6"/>
      <c r="S5" t="s">
        <v>1255</v>
      </c>
    </row>
    <row r="6" spans="1:20" x14ac:dyDescent="0.25">
      <c r="A6" s="4"/>
      <c r="B6" s="1"/>
      <c r="C6" s="68" t="s">
        <v>1228</v>
      </c>
      <c r="D6" s="68" t="s">
        <v>1229</v>
      </c>
      <c r="E6" s="71" t="s">
        <v>1230</v>
      </c>
      <c r="F6" s="71" t="s">
        <v>0</v>
      </c>
      <c r="G6" s="5"/>
      <c r="J6" s="13"/>
      <c r="K6" s="13"/>
      <c r="L6" s="13"/>
      <c r="M6" s="13"/>
      <c r="N6" s="13"/>
      <c r="O6" s="13"/>
      <c r="P6" s="13"/>
      <c r="Q6" s="13"/>
    </row>
    <row r="7" spans="1:20" x14ac:dyDescent="0.25">
      <c r="A7" s="1">
        <f t="shared" ref="A7:A70" si="0">IF(ISNUMBER(C7),C7*F7,)</f>
        <v>8</v>
      </c>
      <c r="B7" s="2">
        <f t="shared" ref="B7:B70" si="1">IF(C7&lt;&gt;"",1,0)</f>
        <v>1</v>
      </c>
      <c r="C7" s="72">
        <v>1</v>
      </c>
      <c r="D7" s="72">
        <v>2117004</v>
      </c>
      <c r="E7" s="73">
        <v>2117004</v>
      </c>
      <c r="F7" s="73">
        <v>8</v>
      </c>
      <c r="G7" t="s">
        <v>1224</v>
      </c>
      <c r="J7" s="13"/>
      <c r="K7" s="13"/>
      <c r="L7" s="13"/>
      <c r="M7" s="13"/>
      <c r="N7" s="13"/>
      <c r="O7" s="13"/>
      <c r="P7" s="13"/>
      <c r="Q7" s="13"/>
    </row>
    <row r="8" spans="1:20" x14ac:dyDescent="0.25">
      <c r="A8">
        <f t="shared" si="0"/>
        <v>160</v>
      </c>
      <c r="B8" s="3">
        <f t="shared" si="1"/>
        <v>1</v>
      </c>
      <c r="C8" s="72">
        <v>2</v>
      </c>
      <c r="D8" s="72">
        <v>2117004</v>
      </c>
      <c r="E8" s="73">
        <v>2117004</v>
      </c>
      <c r="F8" s="73">
        <v>80</v>
      </c>
      <c r="G8" t="s">
        <v>1224</v>
      </c>
      <c r="J8" s="13"/>
      <c r="K8" s="13"/>
      <c r="L8" s="13"/>
      <c r="M8" s="13"/>
      <c r="N8" s="13"/>
      <c r="O8" s="13"/>
      <c r="P8" s="13"/>
      <c r="Q8" s="13"/>
    </row>
    <row r="9" spans="1:20" x14ac:dyDescent="0.25">
      <c r="A9">
        <f t="shared" si="0"/>
        <v>61</v>
      </c>
      <c r="B9" s="3">
        <f t="shared" si="1"/>
        <v>1</v>
      </c>
      <c r="C9" s="72">
        <v>1</v>
      </c>
      <c r="D9" s="72">
        <v>2119001</v>
      </c>
      <c r="E9" s="73">
        <v>2119001</v>
      </c>
      <c r="F9" s="73">
        <v>61</v>
      </c>
      <c r="G9" t="s">
        <v>1224</v>
      </c>
      <c r="J9" s="13"/>
      <c r="K9" s="13"/>
      <c r="L9" s="13"/>
      <c r="M9" s="13"/>
      <c r="N9" s="13"/>
      <c r="O9" s="13"/>
      <c r="P9" s="13"/>
      <c r="Q9" s="13"/>
      <c r="S9" t="s">
        <v>1257</v>
      </c>
    </row>
    <row r="10" spans="1:20" x14ac:dyDescent="0.25">
      <c r="A10">
        <f t="shared" si="0"/>
        <v>240</v>
      </c>
      <c r="B10" s="3">
        <f t="shared" si="1"/>
        <v>1</v>
      </c>
      <c r="C10" s="72">
        <v>3</v>
      </c>
      <c r="D10" s="72">
        <v>2119005</v>
      </c>
      <c r="E10" s="73">
        <v>2119005</v>
      </c>
      <c r="F10" s="73">
        <v>80</v>
      </c>
      <c r="G10" t="s">
        <v>1224</v>
      </c>
      <c r="J10" s="13"/>
      <c r="K10" s="13"/>
      <c r="L10" s="13"/>
      <c r="M10" s="13"/>
      <c r="N10" s="13"/>
      <c r="O10" s="13"/>
      <c r="P10" s="13"/>
      <c r="Q10" s="13"/>
      <c r="S10" t="s">
        <v>1258</v>
      </c>
      <c r="T10" t="s">
        <v>1255</v>
      </c>
    </row>
    <row r="11" spans="1:20" x14ac:dyDescent="0.25">
      <c r="A11">
        <f t="shared" si="0"/>
        <v>80</v>
      </c>
      <c r="B11" s="3">
        <f t="shared" si="1"/>
        <v>1</v>
      </c>
      <c r="C11" s="72">
        <v>1</v>
      </c>
      <c r="D11" s="72">
        <v>2117004</v>
      </c>
      <c r="E11" s="73">
        <v>2117004</v>
      </c>
      <c r="F11" s="73">
        <v>80</v>
      </c>
      <c r="G11" t="s">
        <v>1224</v>
      </c>
      <c r="J11" s="13"/>
      <c r="K11" s="13"/>
      <c r="L11" s="13"/>
      <c r="M11" s="13"/>
      <c r="N11" s="13"/>
      <c r="O11" s="13"/>
      <c r="P11" s="13"/>
      <c r="Q11" s="13"/>
      <c r="T11" t="s">
        <v>1259</v>
      </c>
    </row>
    <row r="12" spans="1:20" x14ac:dyDescent="0.25">
      <c r="A12">
        <f t="shared" si="0"/>
        <v>80</v>
      </c>
      <c r="B12" s="3">
        <f t="shared" si="1"/>
        <v>1</v>
      </c>
      <c r="C12" s="72">
        <v>1</v>
      </c>
      <c r="D12" s="72">
        <v>2119005</v>
      </c>
      <c r="E12" s="73">
        <v>2119005</v>
      </c>
      <c r="F12" s="73">
        <v>80</v>
      </c>
      <c r="G12" t="s">
        <v>1224</v>
      </c>
      <c r="J12" s="13"/>
      <c r="K12" s="13"/>
      <c r="L12" s="13"/>
      <c r="M12" s="13"/>
      <c r="N12" s="13"/>
      <c r="O12" s="13"/>
      <c r="P12" s="13"/>
      <c r="Q12" s="13"/>
      <c r="S12" t="s">
        <v>1260</v>
      </c>
      <c r="T12" t="s">
        <v>1261</v>
      </c>
    </row>
    <row r="13" spans="1:20" x14ac:dyDescent="0.25">
      <c r="A13">
        <f t="shared" si="0"/>
        <v>80</v>
      </c>
      <c r="B13" s="3">
        <f t="shared" si="1"/>
        <v>1</v>
      </c>
      <c r="C13" s="72">
        <v>1</v>
      </c>
      <c r="D13" s="72">
        <v>2117002</v>
      </c>
      <c r="E13" s="73">
        <v>2117002</v>
      </c>
      <c r="F13" s="73">
        <v>80</v>
      </c>
      <c r="G13" t="s">
        <v>1224</v>
      </c>
      <c r="J13" s="13"/>
      <c r="K13" s="14"/>
      <c r="L13" s="14"/>
      <c r="M13" s="14"/>
      <c r="N13" s="13"/>
      <c r="O13" s="13"/>
      <c r="P13" s="13"/>
      <c r="Q13" s="13"/>
      <c r="R13" s="6"/>
      <c r="T13" t="s">
        <v>1262</v>
      </c>
    </row>
    <row r="14" spans="1:20" x14ac:dyDescent="0.25">
      <c r="A14">
        <f t="shared" si="0"/>
        <v>80</v>
      </c>
      <c r="B14" s="3">
        <f t="shared" si="1"/>
        <v>1</v>
      </c>
      <c r="C14" s="72">
        <v>1</v>
      </c>
      <c r="D14" s="72">
        <v>2119005</v>
      </c>
      <c r="E14" s="73">
        <v>2119005</v>
      </c>
      <c r="F14" s="73">
        <v>80</v>
      </c>
      <c r="G14" t="s">
        <v>1224</v>
      </c>
      <c r="J14" s="13"/>
      <c r="K14" s="14"/>
      <c r="L14" s="14"/>
      <c r="M14" s="14"/>
      <c r="N14" s="13"/>
      <c r="O14" s="13"/>
      <c r="P14" s="13"/>
      <c r="Q14" s="13"/>
      <c r="R14" s="6"/>
      <c r="S14" t="s">
        <v>1264</v>
      </c>
      <c r="T14" t="s">
        <v>1263</v>
      </c>
    </row>
    <row r="15" spans="1:20" x14ac:dyDescent="0.25">
      <c r="A15">
        <f t="shared" si="0"/>
        <v>80</v>
      </c>
      <c r="B15" s="3">
        <f t="shared" si="1"/>
        <v>1</v>
      </c>
      <c r="C15" s="72">
        <v>1</v>
      </c>
      <c r="D15" s="72">
        <v>2117002</v>
      </c>
      <c r="E15" s="73">
        <v>2117002</v>
      </c>
      <c r="F15" s="73">
        <v>80</v>
      </c>
      <c r="G15" t="s">
        <v>1224</v>
      </c>
      <c r="J15" s="13"/>
      <c r="K15" s="14"/>
      <c r="L15" s="14"/>
      <c r="M15" s="14"/>
      <c r="N15" s="13"/>
      <c r="O15" s="13"/>
      <c r="P15" s="13"/>
      <c r="Q15" s="13"/>
      <c r="R15" s="6"/>
      <c r="T15" t="s">
        <v>1265</v>
      </c>
    </row>
    <row r="16" spans="1:20" x14ac:dyDescent="0.25">
      <c r="A16">
        <f t="shared" si="0"/>
        <v>160</v>
      </c>
      <c r="B16" s="3">
        <f t="shared" si="1"/>
        <v>1</v>
      </c>
      <c r="C16" s="72">
        <v>2</v>
      </c>
      <c r="D16" s="72">
        <v>2119005</v>
      </c>
      <c r="E16" s="73">
        <v>2119005</v>
      </c>
      <c r="F16" s="73">
        <v>80</v>
      </c>
      <c r="G16" t="s">
        <v>1224</v>
      </c>
      <c r="I16" s="6"/>
      <c r="J16" s="13"/>
      <c r="K16" s="14"/>
      <c r="L16" s="14"/>
      <c r="M16" s="14"/>
      <c r="N16" s="13"/>
      <c r="O16" s="13"/>
      <c r="P16" s="13"/>
      <c r="Q16" s="13"/>
      <c r="R16" s="6"/>
    </row>
    <row r="17" spans="1:22" x14ac:dyDescent="0.25">
      <c r="A17">
        <f t="shared" si="0"/>
        <v>80</v>
      </c>
      <c r="B17" s="3">
        <f t="shared" si="1"/>
        <v>1</v>
      </c>
      <c r="C17" s="72">
        <v>1</v>
      </c>
      <c r="D17" s="72">
        <v>2117002</v>
      </c>
      <c r="E17" s="73">
        <v>2117002</v>
      </c>
      <c r="F17" s="73">
        <v>80</v>
      </c>
      <c r="G17" t="s">
        <v>1224</v>
      </c>
      <c r="I17" s="6"/>
      <c r="K17" s="74" t="s">
        <v>1226</v>
      </c>
      <c r="L17" s="5"/>
      <c r="M17" s="5"/>
      <c r="N17" s="6"/>
      <c r="O17" s="6"/>
      <c r="P17" s="6"/>
      <c r="Q17" s="6"/>
      <c r="R17" s="6"/>
    </row>
    <row r="18" spans="1:22" x14ac:dyDescent="0.25">
      <c r="A18">
        <f t="shared" si="0"/>
        <v>76</v>
      </c>
      <c r="B18" s="3">
        <f t="shared" si="1"/>
        <v>1</v>
      </c>
      <c r="C18" s="72">
        <v>1</v>
      </c>
      <c r="D18" s="72">
        <v>2117002</v>
      </c>
      <c r="E18" s="73">
        <v>2117002</v>
      </c>
      <c r="F18" s="73">
        <v>76</v>
      </c>
      <c r="G18" t="s">
        <v>1224</v>
      </c>
      <c r="I18" s="6"/>
      <c r="K18" s="74" t="s">
        <v>1227</v>
      </c>
      <c r="L18" s="5"/>
      <c r="M18" s="5"/>
      <c r="N18" s="6"/>
      <c r="O18" s="6"/>
      <c r="P18" s="6"/>
      <c r="Q18" s="131" t="s">
        <v>1677</v>
      </c>
      <c r="R18" s="6"/>
    </row>
    <row r="19" spans="1:22" x14ac:dyDescent="0.25">
      <c r="A19">
        <f t="shared" si="0"/>
        <v>240</v>
      </c>
      <c r="B19" s="3">
        <f t="shared" si="1"/>
        <v>1</v>
      </c>
      <c r="C19" s="72">
        <v>3</v>
      </c>
      <c r="D19" s="72">
        <v>2117002</v>
      </c>
      <c r="E19" s="73">
        <v>2117002</v>
      </c>
      <c r="F19" s="73">
        <v>80</v>
      </c>
      <c r="G19" t="s">
        <v>1224</v>
      </c>
      <c r="R19" s="6"/>
      <c r="S19" s="1"/>
      <c r="T19" s="1"/>
    </row>
    <row r="20" spans="1:22" x14ac:dyDescent="0.25">
      <c r="A20">
        <f t="shared" si="0"/>
        <v>15</v>
      </c>
      <c r="B20" s="3">
        <f t="shared" si="1"/>
        <v>1</v>
      </c>
      <c r="C20" s="72">
        <v>1</v>
      </c>
      <c r="D20" s="72">
        <v>2117002</v>
      </c>
      <c r="E20" s="73">
        <v>2117002</v>
      </c>
      <c r="F20" s="73">
        <v>15</v>
      </c>
      <c r="G20" t="s">
        <v>1224</v>
      </c>
      <c r="J20" s="3"/>
      <c r="K20" s="78" t="s">
        <v>1236</v>
      </c>
      <c r="L20" s="78"/>
      <c r="M20" s="78">
        <v>220</v>
      </c>
      <c r="N20" s="78">
        <v>290</v>
      </c>
      <c r="O20" s="86">
        <v>250</v>
      </c>
      <c r="P20" s="87" t="s">
        <v>1247</v>
      </c>
      <c r="Q20" t="s">
        <v>1250</v>
      </c>
      <c r="R20" s="77" t="s">
        <v>1353</v>
      </c>
      <c r="S20" s="82"/>
      <c r="T20" s="5"/>
      <c r="U20" s="6"/>
      <c r="V20" s="6"/>
    </row>
    <row r="21" spans="1:22" x14ac:dyDescent="0.25">
      <c r="A21">
        <f t="shared" si="0"/>
        <v>80</v>
      </c>
      <c r="B21" s="3">
        <f t="shared" si="1"/>
        <v>1</v>
      </c>
      <c r="C21" s="72">
        <v>1</v>
      </c>
      <c r="D21" s="72">
        <v>2117002</v>
      </c>
      <c r="E21" s="73">
        <v>2117002</v>
      </c>
      <c r="F21" s="73">
        <v>80</v>
      </c>
      <c r="G21" t="s">
        <v>1224</v>
      </c>
      <c r="H21" s="59" t="b">
        <v>1</v>
      </c>
      <c r="J21" s="3"/>
      <c r="K21" s="89" t="s">
        <v>645</v>
      </c>
      <c r="L21" s="79"/>
      <c r="M21" s="70">
        <v>28</v>
      </c>
      <c r="N21" s="70">
        <v>6</v>
      </c>
      <c r="O21" s="70">
        <v>0</v>
      </c>
      <c r="P21" s="88">
        <v>220</v>
      </c>
      <c r="R21" s="99">
        <v>2</v>
      </c>
      <c r="S21" s="82" t="s">
        <v>1354</v>
      </c>
      <c r="T21" s="83"/>
      <c r="U21" s="77"/>
      <c r="V21" s="77"/>
    </row>
    <row r="22" spans="1:22" x14ac:dyDescent="0.25">
      <c r="A22">
        <f t="shared" si="0"/>
        <v>160</v>
      </c>
      <c r="B22" s="3">
        <f t="shared" si="1"/>
        <v>1</v>
      </c>
      <c r="C22" s="72">
        <v>2</v>
      </c>
      <c r="D22" s="72">
        <v>2119005</v>
      </c>
      <c r="E22" s="73">
        <v>2119005</v>
      </c>
      <c r="F22" s="73">
        <v>80</v>
      </c>
      <c r="G22" t="s">
        <v>1224</v>
      </c>
      <c r="H22" s="96" t="s">
        <v>1297</v>
      </c>
      <c r="I22" s="59" t="s">
        <v>1229</v>
      </c>
      <c r="J22" s="3"/>
      <c r="K22" s="89" t="s">
        <v>813</v>
      </c>
      <c r="L22" s="80"/>
      <c r="M22" s="85">
        <v>1</v>
      </c>
      <c r="N22" s="85">
        <v>2</v>
      </c>
      <c r="O22" s="85">
        <v>1</v>
      </c>
      <c r="P22" s="88" t="s">
        <v>1513</v>
      </c>
      <c r="Q22" s="82"/>
      <c r="R22" s="99">
        <v>5</v>
      </c>
      <c r="S22" s="82" t="s">
        <v>1355</v>
      </c>
      <c r="T22" s="83"/>
      <c r="U22" s="77"/>
      <c r="V22" s="77"/>
    </row>
    <row r="23" spans="1:22" x14ac:dyDescent="0.25">
      <c r="A23">
        <f t="shared" si="0"/>
        <v>80</v>
      </c>
      <c r="B23" s="3">
        <f t="shared" si="1"/>
        <v>1</v>
      </c>
      <c r="C23" s="72">
        <v>1</v>
      </c>
      <c r="D23" s="72">
        <v>2117002</v>
      </c>
      <c r="E23" s="73">
        <v>2117002</v>
      </c>
      <c r="F23" s="73">
        <v>80</v>
      </c>
      <c r="G23" t="s">
        <v>1224</v>
      </c>
      <c r="H23" s="96"/>
      <c r="I23" t="s">
        <v>1230</v>
      </c>
      <c r="J23" s="3"/>
      <c r="K23" s="89" t="s">
        <v>1169</v>
      </c>
      <c r="L23" s="80"/>
      <c r="M23" s="85">
        <v>8</v>
      </c>
      <c r="N23" s="85">
        <v>2</v>
      </c>
      <c r="O23" s="85">
        <v>0</v>
      </c>
      <c r="P23" s="56">
        <v>220</v>
      </c>
      <c r="Q23" s="82"/>
      <c r="R23" s="99">
        <v>5</v>
      </c>
      <c r="S23" s="82" t="s">
        <v>1356</v>
      </c>
      <c r="T23" s="83"/>
      <c r="U23" s="77"/>
      <c r="V23" s="77"/>
    </row>
    <row r="24" spans="1:22" x14ac:dyDescent="0.25">
      <c r="A24">
        <f t="shared" si="0"/>
        <v>160</v>
      </c>
      <c r="B24" s="3">
        <f t="shared" si="1"/>
        <v>1</v>
      </c>
      <c r="C24" s="72">
        <v>2</v>
      </c>
      <c r="D24" s="72">
        <v>2119005</v>
      </c>
      <c r="E24" s="73">
        <v>2119005</v>
      </c>
      <c r="F24" s="73">
        <v>80</v>
      </c>
      <c r="G24" t="s">
        <v>1224</v>
      </c>
      <c r="J24" s="3"/>
      <c r="K24" s="89"/>
      <c r="L24" s="80"/>
      <c r="M24" s="85"/>
      <c r="N24" s="85"/>
      <c r="O24" s="85"/>
      <c r="P24" s="88"/>
      <c r="Q24" s="82"/>
      <c r="R24" s="99">
        <v>25</v>
      </c>
      <c r="S24" s="82" t="s">
        <v>1357</v>
      </c>
      <c r="T24" s="77"/>
      <c r="U24" s="77"/>
      <c r="V24" s="77"/>
    </row>
    <row r="25" spans="1:22" x14ac:dyDescent="0.25">
      <c r="A25">
        <f t="shared" si="0"/>
        <v>80</v>
      </c>
      <c r="B25" s="3">
        <f t="shared" si="1"/>
        <v>1</v>
      </c>
      <c r="C25" s="72">
        <v>1</v>
      </c>
      <c r="D25" s="72">
        <v>2117002</v>
      </c>
      <c r="E25" s="73">
        <v>2117002</v>
      </c>
      <c r="F25" s="73">
        <v>80</v>
      </c>
      <c r="G25" t="s">
        <v>1224</v>
      </c>
      <c r="J25" s="3"/>
      <c r="K25" s="89"/>
      <c r="L25" s="80"/>
      <c r="M25" s="85"/>
      <c r="N25" s="85"/>
      <c r="O25" s="85"/>
      <c r="P25" s="56"/>
      <c r="Q25" s="77"/>
      <c r="R25" s="99">
        <v>5</v>
      </c>
      <c r="S25" s="82" t="s">
        <v>1358</v>
      </c>
      <c r="T25" s="77"/>
      <c r="U25" s="77"/>
      <c r="V25" s="77"/>
    </row>
    <row r="26" spans="1:22" x14ac:dyDescent="0.25">
      <c r="A26">
        <f t="shared" si="0"/>
        <v>0</v>
      </c>
      <c r="B26" s="3">
        <f t="shared" si="1"/>
        <v>0</v>
      </c>
      <c r="C26" s="72"/>
      <c r="D26" s="72"/>
      <c r="E26" s="73"/>
      <c r="F26" s="73"/>
      <c r="G26" t="s">
        <v>1224</v>
      </c>
      <c r="J26" s="3"/>
      <c r="K26" s="89"/>
      <c r="L26" s="80"/>
      <c r="M26" s="85"/>
      <c r="N26" s="85"/>
      <c r="O26" s="85"/>
      <c r="P26" s="88"/>
      <c r="Q26" s="76"/>
      <c r="R26" s="99">
        <v>5</v>
      </c>
      <c r="S26" s="82" t="s">
        <v>1359</v>
      </c>
      <c r="T26" s="77"/>
      <c r="U26" s="77"/>
      <c r="V26" s="77"/>
    </row>
    <row r="27" spans="1:22" x14ac:dyDescent="0.25">
      <c r="A27">
        <f t="shared" si="0"/>
        <v>0</v>
      </c>
      <c r="B27" s="3">
        <f t="shared" si="1"/>
        <v>0</v>
      </c>
      <c r="C27" s="72"/>
      <c r="D27" s="72"/>
      <c r="E27" s="73"/>
      <c r="F27" s="73"/>
      <c r="G27" t="s">
        <v>1224</v>
      </c>
      <c r="H27" s="122">
        <v>44567</v>
      </c>
      <c r="J27" s="3"/>
      <c r="K27" s="90"/>
      <c r="L27" s="80"/>
      <c r="M27" s="85"/>
      <c r="N27" s="85"/>
      <c r="O27" s="85"/>
      <c r="P27" s="88"/>
      <c r="Q27" s="76"/>
      <c r="R27" s="99"/>
      <c r="S27" s="82"/>
      <c r="T27" s="77"/>
      <c r="U27" s="77"/>
      <c r="V27" s="77"/>
    </row>
    <row r="28" spans="1:22" x14ac:dyDescent="0.25">
      <c r="A28">
        <f t="shared" si="0"/>
        <v>0</v>
      </c>
      <c r="B28" s="3">
        <f t="shared" si="1"/>
        <v>0</v>
      </c>
      <c r="C28" s="72"/>
      <c r="D28" s="72"/>
      <c r="E28" s="73"/>
      <c r="F28" s="73"/>
      <c r="G28" t="s">
        <v>1224</v>
      </c>
      <c r="H28" s="59" t="s">
        <v>1248</v>
      </c>
      <c r="I28" t="s">
        <v>1249</v>
      </c>
      <c r="J28" s="3"/>
      <c r="K28" s="90"/>
      <c r="L28" s="80"/>
      <c r="M28" s="85"/>
      <c r="N28" s="85"/>
      <c r="O28" s="85"/>
      <c r="P28" s="88"/>
      <c r="Q28" s="76"/>
      <c r="R28" s="99"/>
      <c r="S28" s="82"/>
    </row>
    <row r="29" spans="1:22" x14ac:dyDescent="0.25">
      <c r="A29">
        <f t="shared" si="0"/>
        <v>0</v>
      </c>
      <c r="B29" s="3">
        <f t="shared" si="1"/>
        <v>0</v>
      </c>
      <c r="C29" s="72"/>
      <c r="D29" s="72"/>
      <c r="G29" t="s">
        <v>1224</v>
      </c>
      <c r="H29" s="59" t="s">
        <v>1238</v>
      </c>
      <c r="J29" s="3"/>
      <c r="K29" s="90"/>
      <c r="L29" s="81"/>
      <c r="M29" s="85"/>
      <c r="N29" s="85"/>
      <c r="O29" s="85"/>
      <c r="P29" s="88"/>
      <c r="Q29" s="76"/>
      <c r="R29" s="99"/>
      <c r="S29" s="82"/>
    </row>
    <row r="30" spans="1:22" x14ac:dyDescent="0.25">
      <c r="A30">
        <f t="shared" si="0"/>
        <v>0</v>
      </c>
      <c r="B30" s="3">
        <f t="shared" si="1"/>
        <v>0</v>
      </c>
      <c r="C30" s="72"/>
      <c r="D30" s="72"/>
      <c r="E30" s="73"/>
      <c r="F30" s="73"/>
      <c r="G30" t="s">
        <v>1224</v>
      </c>
      <c r="J30" s="3"/>
      <c r="K30" s="91"/>
      <c r="L30" s="81"/>
      <c r="M30" s="85"/>
      <c r="N30" s="85"/>
      <c r="O30" s="85"/>
      <c r="P30" s="88"/>
      <c r="Q30" s="76"/>
      <c r="R30" s="99"/>
      <c r="S30" s="82"/>
    </row>
    <row r="31" spans="1:22" x14ac:dyDescent="0.25">
      <c r="A31">
        <f t="shared" si="0"/>
        <v>0</v>
      </c>
      <c r="B31" s="3">
        <f t="shared" si="1"/>
        <v>0</v>
      </c>
      <c r="C31" s="72"/>
      <c r="D31" s="72"/>
      <c r="E31" s="73"/>
      <c r="F31" s="73"/>
      <c r="G31" t="s">
        <v>1224</v>
      </c>
      <c r="H31" s="59" t="s">
        <v>1237</v>
      </c>
      <c r="J31" s="3"/>
      <c r="K31" s="91"/>
      <c r="L31" s="81"/>
      <c r="M31" s="85"/>
      <c r="N31" s="85"/>
      <c r="O31" s="85"/>
      <c r="P31" s="88"/>
      <c r="Q31" s="76"/>
      <c r="R31" s="99"/>
      <c r="S31" s="82"/>
    </row>
    <row r="32" spans="1:22" x14ac:dyDescent="0.25">
      <c r="A32">
        <f t="shared" si="0"/>
        <v>0</v>
      </c>
      <c r="B32" s="3">
        <f t="shared" si="1"/>
        <v>0</v>
      </c>
      <c r="C32" s="72"/>
      <c r="D32" s="72"/>
      <c r="E32" s="73"/>
      <c r="F32" s="73"/>
      <c r="G32" t="s">
        <v>1224</v>
      </c>
      <c r="H32" s="95" t="s">
        <v>1288</v>
      </c>
      <c r="J32" s="3"/>
      <c r="K32" s="91"/>
      <c r="L32" s="81"/>
      <c r="M32" s="85"/>
      <c r="N32" s="85"/>
      <c r="O32" s="85"/>
      <c r="P32" s="88"/>
      <c r="Q32" s="76"/>
      <c r="R32" s="99"/>
      <c r="S32" s="82"/>
    </row>
    <row r="33" spans="1:19" x14ac:dyDescent="0.25">
      <c r="A33">
        <f t="shared" si="0"/>
        <v>0</v>
      </c>
      <c r="B33" s="3">
        <f t="shared" si="1"/>
        <v>0</v>
      </c>
      <c r="C33" s="72"/>
      <c r="D33" s="72"/>
      <c r="E33" s="73"/>
      <c r="F33" s="73"/>
      <c r="G33" t="s">
        <v>1224</v>
      </c>
      <c r="H33" s="95" t="s">
        <v>1289</v>
      </c>
      <c r="J33" s="3"/>
      <c r="K33" s="91"/>
      <c r="L33" s="81"/>
      <c r="M33" s="85"/>
      <c r="N33" s="85"/>
      <c r="O33" s="85"/>
      <c r="P33" s="88"/>
      <c r="Q33" s="76"/>
      <c r="R33" s="99"/>
      <c r="S33" s="82"/>
    </row>
    <row r="34" spans="1:19" x14ac:dyDescent="0.25">
      <c r="A34">
        <f t="shared" si="0"/>
        <v>0</v>
      </c>
      <c r="B34" s="3">
        <f t="shared" si="1"/>
        <v>0</v>
      </c>
      <c r="C34" s="72"/>
      <c r="D34" s="72"/>
      <c r="E34" s="73"/>
      <c r="F34" s="73"/>
      <c r="G34" t="s">
        <v>1224</v>
      </c>
      <c r="J34" s="3"/>
      <c r="K34" s="91"/>
      <c r="L34" s="81"/>
      <c r="M34" s="85"/>
      <c r="N34" s="85"/>
      <c r="O34" s="85"/>
      <c r="P34" s="88"/>
      <c r="Q34" s="76"/>
      <c r="R34" s="99"/>
      <c r="S34" s="82"/>
    </row>
    <row r="35" spans="1:19" x14ac:dyDescent="0.25">
      <c r="A35">
        <f t="shared" si="0"/>
        <v>0</v>
      </c>
      <c r="B35" s="3">
        <f t="shared" si="1"/>
        <v>0</v>
      </c>
      <c r="C35" s="72"/>
      <c r="D35" s="72"/>
      <c r="E35" s="73"/>
      <c r="F35" s="73"/>
      <c r="G35" t="s">
        <v>1224</v>
      </c>
      <c r="H35" s="59">
        <v>1056</v>
      </c>
      <c r="K35" s="91"/>
      <c r="L35" s="81"/>
      <c r="M35" s="85"/>
      <c r="N35" s="85"/>
      <c r="O35" s="85"/>
      <c r="P35" s="88"/>
      <c r="Q35" s="76"/>
      <c r="R35" s="76"/>
    </row>
    <row r="36" spans="1:19" x14ac:dyDescent="0.25">
      <c r="A36">
        <f t="shared" si="0"/>
        <v>0</v>
      </c>
      <c r="B36" s="3">
        <f t="shared" si="1"/>
        <v>0</v>
      </c>
      <c r="C36" s="72"/>
      <c r="D36" s="72"/>
      <c r="E36" s="73"/>
      <c r="F36" s="73"/>
      <c r="G36" t="s">
        <v>1224</v>
      </c>
      <c r="H36" s="59">
        <v>1211</v>
      </c>
      <c r="K36" s="91"/>
      <c r="L36" s="81"/>
      <c r="M36" s="85"/>
      <c r="N36" s="85"/>
      <c r="O36" s="85"/>
      <c r="P36" s="88"/>
      <c r="Q36" s="76"/>
      <c r="R36" s="76"/>
    </row>
    <row r="37" spans="1:19" x14ac:dyDescent="0.25">
      <c r="A37">
        <f t="shared" si="0"/>
        <v>0</v>
      </c>
      <c r="B37" s="3">
        <f t="shared" si="1"/>
        <v>0</v>
      </c>
      <c r="C37" s="72"/>
      <c r="D37" s="72"/>
      <c r="E37" s="73"/>
      <c r="F37" s="73"/>
      <c r="G37" t="s">
        <v>1224</v>
      </c>
      <c r="H37" s="123">
        <f>SUM(H35:H36)</f>
        <v>2267</v>
      </c>
      <c r="J37">
        <f>IF(H37=C4,1,0)</f>
        <v>0</v>
      </c>
      <c r="K37" s="91"/>
      <c r="L37" s="81"/>
      <c r="M37" s="85"/>
      <c r="N37" s="85"/>
      <c r="O37" s="85"/>
      <c r="P37" s="88"/>
      <c r="Q37" s="76"/>
      <c r="R37" s="76"/>
    </row>
    <row r="38" spans="1:19" x14ac:dyDescent="0.25">
      <c r="A38">
        <f t="shared" si="0"/>
        <v>0</v>
      </c>
      <c r="B38" s="3">
        <f t="shared" si="1"/>
        <v>0</v>
      </c>
      <c r="C38" s="72"/>
      <c r="D38" s="72"/>
      <c r="E38" s="73"/>
      <c r="F38" s="73"/>
      <c r="G38" t="s">
        <v>1224</v>
      </c>
      <c r="L38" s="76"/>
      <c r="M38" s="76" t="s">
        <v>0</v>
      </c>
      <c r="N38" s="76" t="s">
        <v>606</v>
      </c>
      <c r="O38" s="76"/>
      <c r="P38" s="76"/>
      <c r="Q38" s="76"/>
      <c r="R38" s="76"/>
    </row>
    <row r="39" spans="1:19" x14ac:dyDescent="0.25">
      <c r="A39">
        <f t="shared" si="0"/>
        <v>0</v>
      </c>
      <c r="B39" s="3">
        <f t="shared" si="1"/>
        <v>0</v>
      </c>
      <c r="C39" s="72"/>
      <c r="D39" s="72"/>
      <c r="E39" s="73"/>
      <c r="F39" s="73"/>
      <c r="G39" t="s">
        <v>1224</v>
      </c>
    </row>
    <row r="40" spans="1:19" x14ac:dyDescent="0.25">
      <c r="A40">
        <f t="shared" si="0"/>
        <v>0</v>
      </c>
      <c r="B40" s="3">
        <f t="shared" si="1"/>
        <v>0</v>
      </c>
      <c r="C40" s="72"/>
      <c r="D40" s="72"/>
      <c r="E40" s="73"/>
      <c r="F40" s="73"/>
      <c r="G40" t="s">
        <v>1224</v>
      </c>
      <c r="K40" t="s">
        <v>1389</v>
      </c>
      <c r="L40" t="s">
        <v>1391</v>
      </c>
      <c r="M40">
        <v>864</v>
      </c>
    </row>
    <row r="41" spans="1:19" x14ac:dyDescent="0.25">
      <c r="A41">
        <f t="shared" si="0"/>
        <v>0</v>
      </c>
      <c r="B41" s="3">
        <f t="shared" si="1"/>
        <v>0</v>
      </c>
      <c r="C41" s="72"/>
      <c r="D41" s="72"/>
      <c r="E41" s="73"/>
      <c r="F41" s="73"/>
      <c r="G41" t="s">
        <v>1224</v>
      </c>
      <c r="K41" t="s">
        <v>1390</v>
      </c>
      <c r="L41" t="s">
        <v>686</v>
      </c>
      <c r="M41">
        <v>3600</v>
      </c>
    </row>
    <row r="42" spans="1:19" x14ac:dyDescent="0.25">
      <c r="A42">
        <f t="shared" si="0"/>
        <v>0</v>
      </c>
      <c r="B42" s="3">
        <f t="shared" si="1"/>
        <v>0</v>
      </c>
      <c r="C42" s="72"/>
      <c r="D42" s="72"/>
      <c r="E42" s="73"/>
      <c r="F42" s="73"/>
      <c r="G42" t="s">
        <v>1224</v>
      </c>
      <c r="K42" t="s">
        <v>924</v>
      </c>
      <c r="L42" t="s">
        <v>1392</v>
      </c>
    </row>
    <row r="43" spans="1:19" x14ac:dyDescent="0.25">
      <c r="A43">
        <f t="shared" si="0"/>
        <v>0</v>
      </c>
      <c r="B43" s="3">
        <f t="shared" si="1"/>
        <v>0</v>
      </c>
      <c r="C43" s="72"/>
      <c r="D43" s="72"/>
      <c r="E43" s="73"/>
      <c r="F43" s="73"/>
      <c r="G43" t="s">
        <v>1224</v>
      </c>
      <c r="K43" t="s">
        <v>914</v>
      </c>
      <c r="L43" t="s">
        <v>672</v>
      </c>
      <c r="M43">
        <v>18144</v>
      </c>
      <c r="N43">
        <v>400</v>
      </c>
    </row>
    <row r="44" spans="1:19" x14ac:dyDescent="0.25">
      <c r="A44">
        <f t="shared" si="0"/>
        <v>0</v>
      </c>
      <c r="B44" s="3">
        <f t="shared" si="1"/>
        <v>0</v>
      </c>
      <c r="C44" s="72"/>
      <c r="D44" s="72"/>
      <c r="E44" s="73"/>
      <c r="F44" s="73"/>
      <c r="G44" t="s">
        <v>1224</v>
      </c>
      <c r="K44" t="s">
        <v>924</v>
      </c>
      <c r="L44" t="s">
        <v>672</v>
      </c>
      <c r="M44">
        <v>18145</v>
      </c>
      <c r="N44">
        <v>400</v>
      </c>
    </row>
    <row r="45" spans="1:19" x14ac:dyDescent="0.25">
      <c r="A45">
        <f t="shared" si="0"/>
        <v>0</v>
      </c>
      <c r="B45" s="3">
        <f t="shared" si="1"/>
        <v>0</v>
      </c>
      <c r="C45" s="72"/>
      <c r="D45" s="72"/>
      <c r="E45" s="73"/>
      <c r="F45" s="73"/>
      <c r="G45" t="s">
        <v>1224</v>
      </c>
      <c r="K45" t="s">
        <v>1239</v>
      </c>
      <c r="L45" t="s">
        <v>1388</v>
      </c>
    </row>
    <row r="46" spans="1:19" x14ac:dyDescent="0.25">
      <c r="A46">
        <f t="shared" si="0"/>
        <v>0</v>
      </c>
      <c r="B46" s="3">
        <f t="shared" si="1"/>
        <v>0</v>
      </c>
      <c r="C46" s="72"/>
      <c r="D46" s="72"/>
      <c r="E46" s="73"/>
      <c r="F46" s="73"/>
      <c r="G46" t="s">
        <v>1224</v>
      </c>
      <c r="K46" t="s">
        <v>1171</v>
      </c>
      <c r="L46" t="s">
        <v>1311</v>
      </c>
    </row>
    <row r="47" spans="1:19" x14ac:dyDescent="0.25">
      <c r="A47">
        <f t="shared" si="0"/>
        <v>0</v>
      </c>
      <c r="B47" s="3">
        <f t="shared" si="1"/>
        <v>0</v>
      </c>
      <c r="C47" s="72"/>
      <c r="D47" s="72"/>
      <c r="E47" s="73"/>
      <c r="F47" s="73"/>
      <c r="G47" t="s">
        <v>1224</v>
      </c>
      <c r="K47" t="s">
        <v>1251</v>
      </c>
      <c r="L47" t="s">
        <v>1311</v>
      </c>
    </row>
    <row r="48" spans="1:19" x14ac:dyDescent="0.25">
      <c r="A48">
        <f t="shared" si="0"/>
        <v>0</v>
      </c>
      <c r="B48" s="3">
        <f t="shared" si="1"/>
        <v>0</v>
      </c>
      <c r="C48" s="72"/>
      <c r="D48" s="72"/>
      <c r="E48" s="73"/>
      <c r="F48" s="73"/>
      <c r="G48" t="s">
        <v>1224</v>
      </c>
      <c r="K48" t="s">
        <v>1505</v>
      </c>
      <c r="L48" t="s">
        <v>1311</v>
      </c>
    </row>
    <row r="49" spans="1:12" x14ac:dyDescent="0.25">
      <c r="A49">
        <f t="shared" si="0"/>
        <v>0</v>
      </c>
      <c r="B49" s="3">
        <f t="shared" si="1"/>
        <v>0</v>
      </c>
      <c r="C49" s="59"/>
      <c r="D49" s="72"/>
      <c r="E49" s="73"/>
      <c r="F49" s="73"/>
      <c r="G49" t="s">
        <v>1224</v>
      </c>
      <c r="K49" t="s">
        <v>1442</v>
      </c>
      <c r="L49" t="s">
        <v>1311</v>
      </c>
    </row>
    <row r="50" spans="1:12" x14ac:dyDescent="0.25">
      <c r="A50">
        <f t="shared" si="0"/>
        <v>0</v>
      </c>
      <c r="B50" s="3">
        <f t="shared" si="1"/>
        <v>0</v>
      </c>
      <c r="C50" s="72"/>
      <c r="D50" s="72"/>
      <c r="E50" s="73"/>
      <c r="F50" s="73"/>
      <c r="G50" t="s">
        <v>1224</v>
      </c>
    </row>
    <row r="51" spans="1:12" x14ac:dyDescent="0.25">
      <c r="A51">
        <f t="shared" si="0"/>
        <v>0</v>
      </c>
      <c r="B51" s="3">
        <f t="shared" si="1"/>
        <v>0</v>
      </c>
      <c r="C51" s="72"/>
      <c r="D51" s="72"/>
      <c r="E51" s="73"/>
      <c r="F51" s="73"/>
      <c r="G51" t="s">
        <v>1224</v>
      </c>
    </row>
    <row r="52" spans="1:12" x14ac:dyDescent="0.25">
      <c r="A52">
        <f t="shared" si="0"/>
        <v>0</v>
      </c>
      <c r="B52" s="3">
        <f t="shared" si="1"/>
        <v>0</v>
      </c>
      <c r="C52" s="72"/>
      <c r="D52" s="72"/>
      <c r="E52" s="73"/>
      <c r="F52" s="73"/>
      <c r="G52" t="s">
        <v>1224</v>
      </c>
    </row>
    <row r="53" spans="1:12" x14ac:dyDescent="0.25">
      <c r="A53">
        <f t="shared" si="0"/>
        <v>0</v>
      </c>
      <c r="B53" s="3">
        <f t="shared" si="1"/>
        <v>0</v>
      </c>
      <c r="C53" s="72"/>
      <c r="D53" s="72"/>
      <c r="E53" s="73"/>
      <c r="F53" s="73"/>
      <c r="G53" t="s">
        <v>1224</v>
      </c>
    </row>
    <row r="54" spans="1:12" x14ac:dyDescent="0.25">
      <c r="A54">
        <f t="shared" si="0"/>
        <v>0</v>
      </c>
      <c r="B54" s="3">
        <f t="shared" si="1"/>
        <v>0</v>
      </c>
      <c r="C54" s="59"/>
      <c r="D54" s="72"/>
      <c r="E54" s="73"/>
      <c r="F54" s="73"/>
      <c r="G54" t="s">
        <v>1224</v>
      </c>
    </row>
    <row r="55" spans="1:12" x14ac:dyDescent="0.25">
      <c r="A55">
        <f t="shared" si="0"/>
        <v>0</v>
      </c>
      <c r="B55" s="3">
        <f t="shared" si="1"/>
        <v>0</v>
      </c>
      <c r="C55" s="72"/>
      <c r="D55" s="72"/>
      <c r="E55" s="73"/>
      <c r="F55" s="73"/>
      <c r="G55" t="s">
        <v>1224</v>
      </c>
    </row>
    <row r="56" spans="1:12" x14ac:dyDescent="0.25">
      <c r="A56">
        <f t="shared" si="0"/>
        <v>0</v>
      </c>
      <c r="B56" s="3">
        <f t="shared" si="1"/>
        <v>0</v>
      </c>
      <c r="C56" s="72"/>
      <c r="D56" s="72"/>
      <c r="E56" s="73"/>
      <c r="F56" s="73"/>
      <c r="G56" t="s">
        <v>1224</v>
      </c>
    </row>
    <row r="57" spans="1:12" x14ac:dyDescent="0.25">
      <c r="A57">
        <f t="shared" si="0"/>
        <v>0</v>
      </c>
      <c r="B57" s="3">
        <f t="shared" si="1"/>
        <v>0</v>
      </c>
      <c r="C57" s="72"/>
      <c r="D57" s="72"/>
      <c r="E57" s="73"/>
      <c r="F57" s="73"/>
      <c r="G57" t="s">
        <v>1224</v>
      </c>
    </row>
    <row r="58" spans="1:12" x14ac:dyDescent="0.25">
      <c r="A58">
        <f t="shared" si="0"/>
        <v>0</v>
      </c>
      <c r="B58" s="3">
        <f t="shared" si="1"/>
        <v>0</v>
      </c>
      <c r="C58" s="72"/>
      <c r="D58" s="72"/>
      <c r="E58" s="73"/>
      <c r="F58" s="73"/>
      <c r="G58" t="s">
        <v>1224</v>
      </c>
    </row>
    <row r="59" spans="1:12" x14ac:dyDescent="0.25">
      <c r="A59">
        <f t="shared" si="0"/>
        <v>0</v>
      </c>
      <c r="B59" s="3">
        <f t="shared" si="1"/>
        <v>0</v>
      </c>
      <c r="C59" s="72"/>
      <c r="D59" s="72"/>
      <c r="E59" s="73"/>
      <c r="F59" s="73"/>
      <c r="G59" t="s">
        <v>1224</v>
      </c>
    </row>
    <row r="60" spans="1:12" x14ac:dyDescent="0.25">
      <c r="A60">
        <f t="shared" si="0"/>
        <v>0</v>
      </c>
      <c r="B60" s="3">
        <f t="shared" si="1"/>
        <v>0</v>
      </c>
      <c r="C60" s="72"/>
      <c r="D60" s="72"/>
      <c r="E60" s="73"/>
      <c r="F60" s="73"/>
      <c r="G60" t="s">
        <v>1224</v>
      </c>
    </row>
    <row r="61" spans="1:12" x14ac:dyDescent="0.25">
      <c r="A61">
        <f t="shared" si="0"/>
        <v>0</v>
      </c>
      <c r="B61" s="3">
        <f t="shared" si="1"/>
        <v>0</v>
      </c>
      <c r="C61" s="72"/>
      <c r="D61" s="72"/>
      <c r="E61" s="73"/>
      <c r="F61" s="73"/>
      <c r="G61" t="s">
        <v>1224</v>
      </c>
    </row>
    <row r="62" spans="1:12" x14ac:dyDescent="0.25">
      <c r="A62">
        <f t="shared" si="0"/>
        <v>0</v>
      </c>
      <c r="B62" s="3">
        <f t="shared" si="1"/>
        <v>0</v>
      </c>
      <c r="C62" s="72"/>
      <c r="D62" s="72"/>
      <c r="E62" s="73"/>
      <c r="F62" s="73"/>
      <c r="G62" t="s">
        <v>1224</v>
      </c>
    </row>
    <row r="63" spans="1:12" x14ac:dyDescent="0.25">
      <c r="A63">
        <f t="shared" si="0"/>
        <v>0</v>
      </c>
      <c r="B63" s="3">
        <f t="shared" si="1"/>
        <v>0</v>
      </c>
      <c r="C63" s="72"/>
      <c r="D63" s="72"/>
      <c r="E63" s="73"/>
      <c r="F63" s="73"/>
      <c r="G63" t="s">
        <v>1224</v>
      </c>
    </row>
    <row r="64" spans="1:12" x14ac:dyDescent="0.25">
      <c r="A64">
        <f t="shared" si="0"/>
        <v>0</v>
      </c>
      <c r="B64" s="3">
        <f t="shared" si="1"/>
        <v>0</v>
      </c>
      <c r="C64" s="72"/>
      <c r="D64" s="72"/>
      <c r="E64" s="73"/>
      <c r="F64" s="73"/>
      <c r="G64" t="s">
        <v>1224</v>
      </c>
    </row>
    <row r="65" spans="1:7" x14ac:dyDescent="0.25">
      <c r="A65">
        <f t="shared" si="0"/>
        <v>0</v>
      </c>
      <c r="B65" s="3">
        <f t="shared" si="1"/>
        <v>0</v>
      </c>
      <c r="C65" s="72"/>
      <c r="D65" s="72"/>
      <c r="E65" s="73"/>
      <c r="F65" s="73"/>
      <c r="G65" t="s">
        <v>1224</v>
      </c>
    </row>
    <row r="66" spans="1:7" x14ac:dyDescent="0.25">
      <c r="A66">
        <f t="shared" si="0"/>
        <v>0</v>
      </c>
      <c r="B66" s="3">
        <f t="shared" si="1"/>
        <v>0</v>
      </c>
      <c r="C66" s="72"/>
      <c r="D66" s="72"/>
      <c r="E66" s="73"/>
      <c r="F66" s="73"/>
      <c r="G66" t="s">
        <v>1224</v>
      </c>
    </row>
    <row r="67" spans="1:7" x14ac:dyDescent="0.25">
      <c r="A67">
        <f t="shared" si="0"/>
        <v>0</v>
      </c>
      <c r="B67" s="3">
        <f t="shared" si="1"/>
        <v>0</v>
      </c>
      <c r="C67" s="72"/>
      <c r="D67" s="72"/>
      <c r="E67" s="73"/>
      <c r="F67" s="73"/>
      <c r="G67" t="s">
        <v>1224</v>
      </c>
    </row>
    <row r="68" spans="1:7" x14ac:dyDescent="0.25">
      <c r="A68">
        <f t="shared" si="0"/>
        <v>0</v>
      </c>
      <c r="B68" s="3">
        <f t="shared" si="1"/>
        <v>0</v>
      </c>
      <c r="C68" s="72"/>
      <c r="D68" s="72"/>
      <c r="E68" s="73"/>
      <c r="F68" s="73"/>
      <c r="G68" t="s">
        <v>1224</v>
      </c>
    </row>
    <row r="69" spans="1:7" x14ac:dyDescent="0.25">
      <c r="A69">
        <f t="shared" si="0"/>
        <v>0</v>
      </c>
      <c r="B69" s="3">
        <f t="shared" si="1"/>
        <v>0</v>
      </c>
      <c r="C69" s="72"/>
      <c r="D69" s="72"/>
      <c r="E69" s="73"/>
      <c r="F69" s="73"/>
      <c r="G69" t="s">
        <v>1224</v>
      </c>
    </row>
    <row r="70" spans="1:7" x14ac:dyDescent="0.25">
      <c r="A70">
        <f t="shared" si="0"/>
        <v>0</v>
      </c>
      <c r="B70" s="3">
        <f t="shared" si="1"/>
        <v>0</v>
      </c>
      <c r="C70" s="72"/>
      <c r="D70" s="72"/>
      <c r="E70" s="73"/>
      <c r="F70" s="73"/>
      <c r="G70" t="s">
        <v>1224</v>
      </c>
    </row>
    <row r="71" spans="1:7" x14ac:dyDescent="0.25">
      <c r="A71">
        <f t="shared" ref="A71:A134" si="2">IF(ISNUMBER(C71),C71*F71,)</f>
        <v>0</v>
      </c>
      <c r="B71" s="3">
        <f t="shared" ref="B71:B134" si="3">IF(C71&lt;&gt;"",1,0)</f>
        <v>0</v>
      </c>
      <c r="C71" s="72"/>
      <c r="D71" s="72"/>
      <c r="E71" s="73"/>
      <c r="F71" s="73"/>
      <c r="G71" t="s">
        <v>1224</v>
      </c>
    </row>
    <row r="72" spans="1:7" x14ac:dyDescent="0.25">
      <c r="A72">
        <f t="shared" si="2"/>
        <v>0</v>
      </c>
      <c r="B72" s="3">
        <f t="shared" si="3"/>
        <v>0</v>
      </c>
      <c r="C72" s="72"/>
      <c r="D72" s="72"/>
      <c r="E72" s="73"/>
      <c r="F72" s="73"/>
      <c r="G72" t="s">
        <v>1224</v>
      </c>
    </row>
    <row r="73" spans="1:7" x14ac:dyDescent="0.25">
      <c r="A73">
        <f t="shared" si="2"/>
        <v>0</v>
      </c>
      <c r="B73" s="3">
        <f t="shared" si="3"/>
        <v>0</v>
      </c>
      <c r="C73" s="72"/>
      <c r="D73" s="72"/>
      <c r="E73" s="73"/>
      <c r="F73" s="73"/>
      <c r="G73" t="s">
        <v>1224</v>
      </c>
    </row>
    <row r="74" spans="1:7" x14ac:dyDescent="0.25">
      <c r="A74">
        <f t="shared" si="2"/>
        <v>0</v>
      </c>
      <c r="B74" s="3">
        <f t="shared" si="3"/>
        <v>0</v>
      </c>
      <c r="C74" s="72"/>
      <c r="D74" s="72"/>
      <c r="E74" s="73"/>
      <c r="F74" s="73"/>
      <c r="G74" t="s">
        <v>1224</v>
      </c>
    </row>
    <row r="75" spans="1:7" x14ac:dyDescent="0.25">
      <c r="A75">
        <f t="shared" si="2"/>
        <v>0</v>
      </c>
      <c r="B75" s="3">
        <f t="shared" si="3"/>
        <v>0</v>
      </c>
      <c r="C75" s="72"/>
      <c r="D75" s="72"/>
      <c r="E75" s="73"/>
      <c r="F75" s="73"/>
      <c r="G75" t="s">
        <v>1224</v>
      </c>
    </row>
    <row r="76" spans="1:7" x14ac:dyDescent="0.25">
      <c r="A76">
        <f t="shared" si="2"/>
        <v>0</v>
      </c>
      <c r="B76" s="3">
        <f t="shared" si="3"/>
        <v>0</v>
      </c>
      <c r="C76" s="72"/>
      <c r="D76" s="72"/>
      <c r="E76" s="73"/>
      <c r="F76" s="73"/>
      <c r="G76" t="s">
        <v>1224</v>
      </c>
    </row>
    <row r="77" spans="1:7" x14ac:dyDescent="0.25">
      <c r="A77">
        <f t="shared" si="2"/>
        <v>0</v>
      </c>
      <c r="B77" s="3">
        <f t="shared" si="3"/>
        <v>0</v>
      </c>
      <c r="C77" s="72"/>
      <c r="D77" s="72"/>
      <c r="E77" s="73"/>
      <c r="F77" s="73"/>
      <c r="G77" t="s">
        <v>1224</v>
      </c>
    </row>
    <row r="78" spans="1:7" x14ac:dyDescent="0.25">
      <c r="A78">
        <f t="shared" si="2"/>
        <v>0</v>
      </c>
      <c r="B78" s="3">
        <f t="shared" si="3"/>
        <v>0</v>
      </c>
      <c r="C78" s="72"/>
      <c r="D78" s="72"/>
      <c r="E78" s="73"/>
      <c r="F78" s="73"/>
      <c r="G78" t="s">
        <v>1224</v>
      </c>
    </row>
    <row r="79" spans="1:7" x14ac:dyDescent="0.25">
      <c r="A79">
        <f t="shared" si="2"/>
        <v>0</v>
      </c>
      <c r="B79" s="3">
        <f t="shared" si="3"/>
        <v>0</v>
      </c>
      <c r="C79" s="72"/>
      <c r="D79" s="72"/>
      <c r="E79" s="73"/>
      <c r="F79" s="73"/>
      <c r="G79" t="s">
        <v>1224</v>
      </c>
    </row>
    <row r="80" spans="1:7" x14ac:dyDescent="0.25">
      <c r="A80">
        <f t="shared" si="2"/>
        <v>0</v>
      </c>
      <c r="B80" s="3">
        <f t="shared" si="3"/>
        <v>0</v>
      </c>
      <c r="C80" s="72"/>
      <c r="D80" s="72"/>
      <c r="E80" s="73"/>
      <c r="F80" s="73"/>
      <c r="G80" t="s">
        <v>1224</v>
      </c>
    </row>
    <row r="81" spans="1:7" x14ac:dyDescent="0.25">
      <c r="A81">
        <f t="shared" si="2"/>
        <v>0</v>
      </c>
      <c r="B81" s="3">
        <f t="shared" si="3"/>
        <v>0</v>
      </c>
      <c r="C81" s="72"/>
      <c r="D81" s="72"/>
      <c r="E81" s="73"/>
      <c r="F81" s="73"/>
      <c r="G81" t="s">
        <v>1224</v>
      </c>
    </row>
    <row r="82" spans="1:7" x14ac:dyDescent="0.25">
      <c r="A82">
        <f t="shared" si="2"/>
        <v>0</v>
      </c>
      <c r="B82" s="3">
        <f t="shared" si="3"/>
        <v>0</v>
      </c>
      <c r="C82" s="72"/>
      <c r="D82" s="72"/>
      <c r="E82" s="73"/>
      <c r="F82" s="73"/>
      <c r="G82" t="s">
        <v>1224</v>
      </c>
    </row>
    <row r="83" spans="1:7" x14ac:dyDescent="0.25">
      <c r="A83">
        <f t="shared" si="2"/>
        <v>0</v>
      </c>
      <c r="B83" s="3">
        <f t="shared" si="3"/>
        <v>0</v>
      </c>
      <c r="C83" s="72"/>
      <c r="D83" s="72"/>
      <c r="E83" s="73"/>
      <c r="F83" s="73"/>
      <c r="G83" t="s">
        <v>1224</v>
      </c>
    </row>
    <row r="84" spans="1:7" x14ac:dyDescent="0.25">
      <c r="A84">
        <f t="shared" si="2"/>
        <v>0</v>
      </c>
      <c r="B84" s="3">
        <f t="shared" si="3"/>
        <v>0</v>
      </c>
      <c r="C84" s="72"/>
      <c r="D84" s="72"/>
      <c r="E84" s="73"/>
      <c r="F84" s="73"/>
      <c r="G84" t="s">
        <v>1224</v>
      </c>
    </row>
    <row r="85" spans="1:7" x14ac:dyDescent="0.25">
      <c r="A85">
        <f t="shared" si="2"/>
        <v>0</v>
      </c>
      <c r="B85" s="3">
        <f t="shared" si="3"/>
        <v>0</v>
      </c>
      <c r="C85" s="72"/>
      <c r="D85" s="72"/>
      <c r="E85" s="73"/>
      <c r="F85" s="73"/>
      <c r="G85" t="s">
        <v>1224</v>
      </c>
    </row>
    <row r="86" spans="1:7" x14ac:dyDescent="0.25">
      <c r="A86">
        <f t="shared" si="2"/>
        <v>0</v>
      </c>
      <c r="B86" s="3">
        <f t="shared" si="3"/>
        <v>0</v>
      </c>
      <c r="C86" s="72"/>
      <c r="D86" s="72"/>
      <c r="E86" s="73"/>
      <c r="F86" s="73"/>
      <c r="G86" t="s">
        <v>1224</v>
      </c>
    </row>
    <row r="87" spans="1:7" x14ac:dyDescent="0.25">
      <c r="A87">
        <f t="shared" si="2"/>
        <v>0</v>
      </c>
      <c r="B87" s="3">
        <f t="shared" si="3"/>
        <v>0</v>
      </c>
      <c r="C87" s="72"/>
      <c r="D87" s="72"/>
      <c r="E87" s="73"/>
      <c r="F87" s="73"/>
      <c r="G87" t="s">
        <v>1224</v>
      </c>
    </row>
    <row r="88" spans="1:7" x14ac:dyDescent="0.25">
      <c r="A88">
        <f t="shared" si="2"/>
        <v>0</v>
      </c>
      <c r="B88" s="3">
        <f t="shared" si="3"/>
        <v>0</v>
      </c>
      <c r="C88" s="72"/>
      <c r="D88" s="72"/>
      <c r="E88" s="73"/>
      <c r="F88" s="73"/>
      <c r="G88" t="s">
        <v>1224</v>
      </c>
    </row>
    <row r="89" spans="1:7" x14ac:dyDescent="0.25">
      <c r="A89">
        <f t="shared" si="2"/>
        <v>0</v>
      </c>
      <c r="B89" s="3">
        <f t="shared" si="3"/>
        <v>0</v>
      </c>
      <c r="C89" s="72"/>
      <c r="D89" s="72"/>
      <c r="E89" s="73"/>
      <c r="F89" s="73"/>
      <c r="G89" t="s">
        <v>1224</v>
      </c>
    </row>
    <row r="90" spans="1:7" x14ac:dyDescent="0.25">
      <c r="A90">
        <f t="shared" si="2"/>
        <v>0</v>
      </c>
      <c r="B90" s="3">
        <f t="shared" si="3"/>
        <v>0</v>
      </c>
      <c r="C90" s="72"/>
      <c r="D90" s="72"/>
      <c r="E90" s="73"/>
      <c r="F90" s="73"/>
      <c r="G90" t="s">
        <v>1224</v>
      </c>
    </row>
    <row r="91" spans="1:7" x14ac:dyDescent="0.25">
      <c r="A91">
        <f t="shared" si="2"/>
        <v>0</v>
      </c>
      <c r="B91" s="3">
        <f t="shared" si="3"/>
        <v>0</v>
      </c>
      <c r="C91" s="72"/>
      <c r="D91" s="72"/>
      <c r="E91" s="73"/>
      <c r="F91" s="73"/>
      <c r="G91" t="s">
        <v>1224</v>
      </c>
    </row>
    <row r="92" spans="1:7" x14ac:dyDescent="0.25">
      <c r="A92">
        <f t="shared" si="2"/>
        <v>0</v>
      </c>
      <c r="B92" s="3">
        <f t="shared" si="3"/>
        <v>0</v>
      </c>
      <c r="C92" s="72"/>
      <c r="D92" s="72"/>
      <c r="E92" s="73"/>
      <c r="F92" s="73"/>
      <c r="G92" t="s">
        <v>1224</v>
      </c>
    </row>
    <row r="93" spans="1:7" x14ac:dyDescent="0.25">
      <c r="A93">
        <f t="shared" si="2"/>
        <v>0</v>
      </c>
      <c r="B93" s="3">
        <f t="shared" si="3"/>
        <v>0</v>
      </c>
      <c r="C93" s="72"/>
      <c r="D93" s="72"/>
      <c r="E93" s="73"/>
      <c r="F93" s="73"/>
      <c r="G93" t="s">
        <v>1224</v>
      </c>
    </row>
    <row r="94" spans="1:7" x14ac:dyDescent="0.25">
      <c r="A94">
        <f t="shared" si="2"/>
        <v>0</v>
      </c>
      <c r="B94" s="3">
        <f t="shared" si="3"/>
        <v>0</v>
      </c>
      <c r="C94" s="72"/>
      <c r="D94" s="72"/>
      <c r="E94" s="73"/>
      <c r="F94" s="73"/>
      <c r="G94" t="s">
        <v>1224</v>
      </c>
    </row>
    <row r="95" spans="1:7" x14ac:dyDescent="0.25">
      <c r="A95">
        <f t="shared" si="2"/>
        <v>0</v>
      </c>
      <c r="B95" s="3">
        <f t="shared" si="3"/>
        <v>0</v>
      </c>
      <c r="C95" s="72"/>
      <c r="D95" s="72"/>
      <c r="E95" s="73"/>
      <c r="F95" s="73"/>
      <c r="G95" t="s">
        <v>1224</v>
      </c>
    </row>
    <row r="96" spans="1:7" x14ac:dyDescent="0.25">
      <c r="A96">
        <f t="shared" si="2"/>
        <v>0</v>
      </c>
      <c r="B96" s="3">
        <f t="shared" si="3"/>
        <v>0</v>
      </c>
      <c r="C96" s="72"/>
      <c r="D96" s="72"/>
      <c r="E96" s="73"/>
      <c r="F96" s="73"/>
      <c r="G96" t="s">
        <v>1224</v>
      </c>
    </row>
    <row r="97" spans="1:7" x14ac:dyDescent="0.25">
      <c r="A97">
        <f t="shared" si="2"/>
        <v>0</v>
      </c>
      <c r="B97" s="3">
        <f t="shared" si="3"/>
        <v>0</v>
      </c>
      <c r="C97" s="72"/>
      <c r="D97" s="72"/>
      <c r="E97" s="73"/>
      <c r="F97" s="73"/>
      <c r="G97" t="s">
        <v>1224</v>
      </c>
    </row>
    <row r="98" spans="1:7" x14ac:dyDescent="0.25">
      <c r="A98">
        <f t="shared" si="2"/>
        <v>0</v>
      </c>
      <c r="B98" s="3">
        <f t="shared" si="3"/>
        <v>0</v>
      </c>
      <c r="C98" s="72"/>
      <c r="D98" s="72"/>
      <c r="E98" s="73"/>
      <c r="F98" s="73"/>
      <c r="G98" t="s">
        <v>1224</v>
      </c>
    </row>
    <row r="99" spans="1:7" x14ac:dyDescent="0.25">
      <c r="A99">
        <f t="shared" si="2"/>
        <v>0</v>
      </c>
      <c r="B99" s="3">
        <f t="shared" si="3"/>
        <v>0</v>
      </c>
      <c r="C99" s="72"/>
      <c r="D99" s="72"/>
      <c r="E99" s="73"/>
      <c r="F99" s="73"/>
      <c r="G99" t="s">
        <v>1224</v>
      </c>
    </row>
    <row r="100" spans="1:7" x14ac:dyDescent="0.25">
      <c r="A100">
        <f t="shared" si="2"/>
        <v>0</v>
      </c>
      <c r="B100" s="3">
        <f t="shared" si="3"/>
        <v>0</v>
      </c>
      <c r="C100" s="72"/>
      <c r="D100" s="72"/>
      <c r="E100" s="73"/>
      <c r="F100" s="73"/>
      <c r="G100" t="s">
        <v>1224</v>
      </c>
    </row>
    <row r="101" spans="1:7" x14ac:dyDescent="0.25">
      <c r="A101">
        <f t="shared" si="2"/>
        <v>0</v>
      </c>
      <c r="B101" s="3">
        <f t="shared" si="3"/>
        <v>0</v>
      </c>
      <c r="C101" s="72"/>
      <c r="D101" s="72"/>
      <c r="E101" s="73"/>
      <c r="F101" s="73"/>
      <c r="G101" t="s">
        <v>1224</v>
      </c>
    </row>
    <row r="102" spans="1:7" x14ac:dyDescent="0.25">
      <c r="A102">
        <f t="shared" si="2"/>
        <v>0</v>
      </c>
      <c r="B102" s="3">
        <f t="shared" si="3"/>
        <v>0</v>
      </c>
      <c r="C102" s="72"/>
      <c r="D102" s="72"/>
      <c r="E102" s="73"/>
      <c r="F102" s="73"/>
      <c r="G102" t="s">
        <v>1224</v>
      </c>
    </row>
    <row r="103" spans="1:7" x14ac:dyDescent="0.25">
      <c r="A103">
        <f t="shared" si="2"/>
        <v>0</v>
      </c>
      <c r="B103" s="3">
        <f t="shared" si="3"/>
        <v>0</v>
      </c>
      <c r="C103" s="72"/>
      <c r="D103" s="72"/>
      <c r="E103" s="73"/>
      <c r="F103" s="73"/>
      <c r="G103" t="s">
        <v>1224</v>
      </c>
    </row>
    <row r="104" spans="1:7" x14ac:dyDescent="0.25">
      <c r="A104">
        <f t="shared" si="2"/>
        <v>0</v>
      </c>
      <c r="B104" s="3">
        <f t="shared" si="3"/>
        <v>0</v>
      </c>
      <c r="C104" s="72"/>
      <c r="D104" s="72"/>
      <c r="E104" s="73"/>
      <c r="F104" s="73"/>
      <c r="G104" t="s">
        <v>1224</v>
      </c>
    </row>
    <row r="105" spans="1:7" x14ac:dyDescent="0.25">
      <c r="A105">
        <f t="shared" si="2"/>
        <v>0</v>
      </c>
      <c r="B105" s="3">
        <f t="shared" si="3"/>
        <v>0</v>
      </c>
      <c r="C105" s="72"/>
      <c r="D105" s="72"/>
      <c r="E105" s="73"/>
      <c r="F105" s="73"/>
      <c r="G105" t="s">
        <v>1224</v>
      </c>
    </row>
    <row r="106" spans="1:7" x14ac:dyDescent="0.25">
      <c r="A106">
        <f t="shared" si="2"/>
        <v>0</v>
      </c>
      <c r="B106" s="3">
        <f t="shared" si="3"/>
        <v>0</v>
      </c>
      <c r="C106" s="72"/>
      <c r="D106" s="72"/>
      <c r="E106" s="73"/>
      <c r="F106" s="73"/>
      <c r="G106" t="s">
        <v>1224</v>
      </c>
    </row>
    <row r="107" spans="1:7" x14ac:dyDescent="0.25">
      <c r="A107">
        <f t="shared" si="2"/>
        <v>0</v>
      </c>
      <c r="B107" s="3">
        <f t="shared" si="3"/>
        <v>0</v>
      </c>
      <c r="C107" s="72"/>
      <c r="D107" s="72"/>
      <c r="E107" s="73"/>
      <c r="F107" s="73"/>
      <c r="G107" t="s">
        <v>1224</v>
      </c>
    </row>
    <row r="108" spans="1:7" x14ac:dyDescent="0.25">
      <c r="A108">
        <f t="shared" si="2"/>
        <v>0</v>
      </c>
      <c r="B108" s="3">
        <f t="shared" si="3"/>
        <v>0</v>
      </c>
      <c r="C108" s="72"/>
      <c r="D108" s="72"/>
      <c r="E108" s="73"/>
      <c r="F108" s="73"/>
      <c r="G108" t="s">
        <v>1224</v>
      </c>
    </row>
    <row r="109" spans="1:7" x14ac:dyDescent="0.25">
      <c r="A109">
        <f t="shared" si="2"/>
        <v>0</v>
      </c>
      <c r="B109" s="3">
        <f t="shared" si="3"/>
        <v>0</v>
      </c>
      <c r="C109" s="72"/>
      <c r="D109" s="72"/>
      <c r="E109" s="73"/>
      <c r="F109" s="73"/>
      <c r="G109" t="s">
        <v>1224</v>
      </c>
    </row>
    <row r="110" spans="1:7" x14ac:dyDescent="0.25">
      <c r="A110">
        <f t="shared" si="2"/>
        <v>0</v>
      </c>
      <c r="B110" s="3">
        <f t="shared" si="3"/>
        <v>0</v>
      </c>
      <c r="C110" s="72"/>
      <c r="D110" s="72"/>
      <c r="E110" s="73"/>
      <c r="F110" s="73"/>
      <c r="G110" t="s">
        <v>1224</v>
      </c>
    </row>
    <row r="111" spans="1:7" x14ac:dyDescent="0.25">
      <c r="A111">
        <f t="shared" si="2"/>
        <v>0</v>
      </c>
      <c r="B111" s="3">
        <f t="shared" si="3"/>
        <v>0</v>
      </c>
      <c r="C111" s="72"/>
      <c r="D111" s="72"/>
      <c r="E111" s="73"/>
      <c r="F111" s="73"/>
      <c r="G111" t="s">
        <v>1224</v>
      </c>
    </row>
    <row r="112" spans="1:7" x14ac:dyDescent="0.25">
      <c r="A112">
        <f t="shared" si="2"/>
        <v>0</v>
      </c>
      <c r="B112" s="3">
        <f t="shared" si="3"/>
        <v>0</v>
      </c>
      <c r="C112" s="72"/>
      <c r="D112" s="72"/>
      <c r="E112" s="73"/>
      <c r="F112" s="73"/>
      <c r="G112" t="s">
        <v>1224</v>
      </c>
    </row>
    <row r="113" spans="1:8" x14ac:dyDescent="0.25">
      <c r="A113">
        <f t="shared" si="2"/>
        <v>0</v>
      </c>
      <c r="B113" s="3">
        <f t="shared" si="3"/>
        <v>0</v>
      </c>
      <c r="C113" s="72"/>
      <c r="D113" s="72"/>
      <c r="E113" s="73"/>
      <c r="F113" s="73"/>
      <c r="G113" t="s">
        <v>1224</v>
      </c>
    </row>
    <row r="114" spans="1:8" x14ac:dyDescent="0.25">
      <c r="A114">
        <f t="shared" si="2"/>
        <v>0</v>
      </c>
      <c r="B114" s="3">
        <f t="shared" si="3"/>
        <v>0</v>
      </c>
      <c r="C114" s="72"/>
      <c r="D114" s="72"/>
      <c r="E114" s="73"/>
      <c r="F114" s="73"/>
      <c r="G114" t="s">
        <v>1224</v>
      </c>
    </row>
    <row r="115" spans="1:8" x14ac:dyDescent="0.25">
      <c r="A115">
        <f t="shared" si="2"/>
        <v>0</v>
      </c>
      <c r="B115" s="3">
        <f t="shared" si="3"/>
        <v>0</v>
      </c>
      <c r="C115" s="72"/>
      <c r="D115" s="72"/>
      <c r="E115" s="73"/>
      <c r="F115" s="73"/>
      <c r="G115" t="s">
        <v>1224</v>
      </c>
    </row>
    <row r="116" spans="1:8" x14ac:dyDescent="0.25">
      <c r="A116">
        <f t="shared" si="2"/>
        <v>0</v>
      </c>
      <c r="B116" s="3">
        <f t="shared" si="3"/>
        <v>0</v>
      </c>
      <c r="C116" s="72"/>
      <c r="D116" s="72"/>
      <c r="E116" s="73"/>
      <c r="F116" s="73"/>
      <c r="G116" t="s">
        <v>1224</v>
      </c>
    </row>
    <row r="117" spans="1:8" x14ac:dyDescent="0.25">
      <c r="A117">
        <f t="shared" si="2"/>
        <v>0</v>
      </c>
      <c r="B117" s="3">
        <f t="shared" si="3"/>
        <v>0</v>
      </c>
      <c r="C117" s="72"/>
      <c r="D117" s="72"/>
      <c r="E117" s="73"/>
      <c r="F117" s="73"/>
      <c r="G117" t="s">
        <v>1224</v>
      </c>
    </row>
    <row r="118" spans="1:8" x14ac:dyDescent="0.25">
      <c r="A118">
        <f t="shared" si="2"/>
        <v>0</v>
      </c>
      <c r="B118" s="3">
        <f t="shared" si="3"/>
        <v>0</v>
      </c>
      <c r="C118" s="72"/>
      <c r="D118" s="72"/>
      <c r="E118" s="73"/>
      <c r="F118" s="73"/>
      <c r="G118" t="s">
        <v>1224</v>
      </c>
    </row>
    <row r="119" spans="1:8" x14ac:dyDescent="0.25">
      <c r="A119">
        <f t="shared" si="2"/>
        <v>0</v>
      </c>
      <c r="B119" s="3">
        <f t="shared" si="3"/>
        <v>0</v>
      </c>
      <c r="C119" s="72"/>
      <c r="D119" s="72"/>
      <c r="E119" s="73"/>
      <c r="F119" s="73"/>
      <c r="G119" t="s">
        <v>1224</v>
      </c>
    </row>
    <row r="120" spans="1:8" x14ac:dyDescent="0.25">
      <c r="A120">
        <f t="shared" si="2"/>
        <v>0</v>
      </c>
      <c r="B120" s="3">
        <f t="shared" si="3"/>
        <v>0</v>
      </c>
      <c r="C120" s="72"/>
      <c r="D120" s="72"/>
      <c r="E120" s="73"/>
      <c r="F120" s="73"/>
      <c r="G120" t="s">
        <v>1224</v>
      </c>
    </row>
    <row r="121" spans="1:8" x14ac:dyDescent="0.25">
      <c r="A121">
        <f t="shared" si="2"/>
        <v>0</v>
      </c>
      <c r="B121" s="3">
        <f t="shared" si="3"/>
        <v>0</v>
      </c>
      <c r="C121" s="72"/>
      <c r="D121" s="72"/>
      <c r="E121" s="73"/>
      <c r="F121" s="73"/>
      <c r="G121" t="s">
        <v>1224</v>
      </c>
    </row>
    <row r="122" spans="1:8" x14ac:dyDescent="0.25">
      <c r="A122">
        <f t="shared" si="2"/>
        <v>0</v>
      </c>
      <c r="B122" s="3">
        <f t="shared" si="3"/>
        <v>0</v>
      </c>
      <c r="C122" s="72"/>
      <c r="D122" s="72"/>
      <c r="E122" s="73"/>
      <c r="F122" s="73"/>
      <c r="G122" t="s">
        <v>1224</v>
      </c>
    </row>
    <row r="123" spans="1:8" x14ac:dyDescent="0.25">
      <c r="A123">
        <f t="shared" si="2"/>
        <v>0</v>
      </c>
      <c r="B123" s="3">
        <f t="shared" si="3"/>
        <v>0</v>
      </c>
      <c r="C123" s="72"/>
      <c r="D123" s="72"/>
      <c r="E123" s="73"/>
      <c r="F123" s="73"/>
      <c r="G123" t="s">
        <v>1224</v>
      </c>
    </row>
    <row r="124" spans="1:8" x14ac:dyDescent="0.25">
      <c r="A124">
        <f t="shared" si="2"/>
        <v>0</v>
      </c>
      <c r="B124" s="3">
        <f t="shared" si="3"/>
        <v>0</v>
      </c>
      <c r="C124" s="72"/>
      <c r="D124" s="72"/>
      <c r="E124" s="73"/>
      <c r="F124" s="73"/>
      <c r="G124" t="s">
        <v>1224</v>
      </c>
    </row>
    <row r="125" spans="1:8" x14ac:dyDescent="0.25">
      <c r="A125">
        <f t="shared" si="2"/>
        <v>0</v>
      </c>
      <c r="B125" s="3">
        <f t="shared" si="3"/>
        <v>0</v>
      </c>
      <c r="C125" s="72"/>
      <c r="D125" s="72"/>
      <c r="E125" s="73"/>
      <c r="F125" s="73"/>
      <c r="G125" t="s">
        <v>1224</v>
      </c>
    </row>
    <row r="126" spans="1:8" x14ac:dyDescent="0.25">
      <c r="A126">
        <f t="shared" si="2"/>
        <v>0</v>
      </c>
      <c r="B126" s="3">
        <f t="shared" si="3"/>
        <v>0</v>
      </c>
      <c r="C126" s="72"/>
      <c r="D126" s="72"/>
      <c r="E126" s="73"/>
      <c r="F126" s="73"/>
      <c r="G126" t="s">
        <v>1224</v>
      </c>
    </row>
    <row r="127" spans="1:8" x14ac:dyDescent="0.25">
      <c r="A127">
        <f t="shared" si="2"/>
        <v>0</v>
      </c>
      <c r="B127" s="3">
        <f t="shared" si="3"/>
        <v>0</v>
      </c>
      <c r="C127" s="72"/>
      <c r="D127" s="72"/>
      <c r="E127" s="73"/>
      <c r="F127" s="73"/>
      <c r="G127" t="s">
        <v>1224</v>
      </c>
    </row>
    <row r="128" spans="1:8" x14ac:dyDescent="0.25">
      <c r="A128">
        <f t="shared" si="2"/>
        <v>0</v>
      </c>
      <c r="B128" s="3">
        <f t="shared" si="3"/>
        <v>0</v>
      </c>
      <c r="C128" s="72"/>
      <c r="D128" s="72"/>
      <c r="E128" s="73"/>
      <c r="F128" s="73"/>
      <c r="G128" t="s">
        <v>1224</v>
      </c>
      <c r="H128" s="59">
        <v>1111</v>
      </c>
    </row>
    <row r="129" spans="1:7" x14ac:dyDescent="0.25">
      <c r="A129">
        <f t="shared" si="2"/>
        <v>0</v>
      </c>
      <c r="B129" s="3">
        <f t="shared" si="3"/>
        <v>0</v>
      </c>
      <c r="C129" s="72"/>
      <c r="D129" s="72"/>
      <c r="E129" s="73"/>
      <c r="F129" s="73"/>
      <c r="G129" t="s">
        <v>1224</v>
      </c>
    </row>
    <row r="130" spans="1:7" x14ac:dyDescent="0.25">
      <c r="A130">
        <f t="shared" si="2"/>
        <v>0</v>
      </c>
      <c r="B130" s="3">
        <f t="shared" si="3"/>
        <v>0</v>
      </c>
      <c r="C130" s="72"/>
      <c r="D130" s="72"/>
      <c r="E130" s="73"/>
      <c r="F130" s="73"/>
      <c r="G130" t="s">
        <v>1224</v>
      </c>
    </row>
    <row r="131" spans="1:7" x14ac:dyDescent="0.25">
      <c r="A131">
        <f t="shared" si="2"/>
        <v>0</v>
      </c>
      <c r="B131" s="3">
        <f t="shared" si="3"/>
        <v>0</v>
      </c>
      <c r="C131" s="72"/>
      <c r="D131" s="72"/>
      <c r="E131" s="73"/>
      <c r="F131" s="73"/>
      <c r="G131" t="s">
        <v>1224</v>
      </c>
    </row>
    <row r="132" spans="1:7" x14ac:dyDescent="0.25">
      <c r="A132">
        <f t="shared" si="2"/>
        <v>0</v>
      </c>
      <c r="B132" s="3">
        <f t="shared" si="3"/>
        <v>0</v>
      </c>
      <c r="C132" s="72"/>
      <c r="D132" s="72"/>
      <c r="E132" s="73"/>
      <c r="F132" s="73"/>
      <c r="G132" t="s">
        <v>1224</v>
      </c>
    </row>
    <row r="133" spans="1:7" x14ac:dyDescent="0.25">
      <c r="A133">
        <f t="shared" si="2"/>
        <v>0</v>
      </c>
      <c r="B133" s="3">
        <f t="shared" si="3"/>
        <v>0</v>
      </c>
      <c r="C133" s="72"/>
      <c r="D133" s="72"/>
      <c r="E133" s="73"/>
      <c r="F133" s="73"/>
      <c r="G133" t="s">
        <v>1224</v>
      </c>
    </row>
    <row r="134" spans="1:7" x14ac:dyDescent="0.25">
      <c r="A134">
        <f t="shared" si="2"/>
        <v>0</v>
      </c>
      <c r="B134" s="3">
        <f t="shared" si="3"/>
        <v>0</v>
      </c>
      <c r="C134" s="72"/>
      <c r="D134" s="72"/>
      <c r="E134" s="73"/>
      <c r="F134" s="73"/>
      <c r="G134" t="s">
        <v>1224</v>
      </c>
    </row>
    <row r="135" spans="1:7" x14ac:dyDescent="0.25">
      <c r="A135">
        <f t="shared" ref="A135:A198" si="4">IF(ISNUMBER(C135),C135*F135,)</f>
        <v>0</v>
      </c>
      <c r="B135" s="3">
        <f t="shared" ref="B135:B198" si="5">IF(C135&lt;&gt;"",1,0)</f>
        <v>0</v>
      </c>
      <c r="C135" s="72"/>
      <c r="D135" s="72"/>
      <c r="E135" s="73"/>
      <c r="F135" s="73"/>
      <c r="G135" t="s">
        <v>1224</v>
      </c>
    </row>
    <row r="136" spans="1:7" x14ac:dyDescent="0.25">
      <c r="A136">
        <f t="shared" si="4"/>
        <v>0</v>
      </c>
      <c r="B136" s="3">
        <f t="shared" si="5"/>
        <v>0</v>
      </c>
      <c r="C136" s="72"/>
      <c r="D136" s="72"/>
      <c r="E136" s="73"/>
      <c r="F136" s="73"/>
      <c r="G136" t="s">
        <v>1224</v>
      </c>
    </row>
    <row r="137" spans="1:7" x14ac:dyDescent="0.25">
      <c r="A137">
        <f t="shared" si="4"/>
        <v>0</v>
      </c>
      <c r="B137" s="3">
        <f t="shared" si="5"/>
        <v>0</v>
      </c>
      <c r="C137" s="72"/>
      <c r="D137" s="72"/>
      <c r="E137" s="73"/>
      <c r="F137" s="73"/>
      <c r="G137" t="s">
        <v>1224</v>
      </c>
    </row>
    <row r="138" spans="1:7" x14ac:dyDescent="0.25">
      <c r="A138">
        <f t="shared" si="4"/>
        <v>0</v>
      </c>
      <c r="B138" s="3">
        <f t="shared" si="5"/>
        <v>0</v>
      </c>
      <c r="C138" s="72"/>
      <c r="D138" s="72"/>
      <c r="E138" s="73"/>
      <c r="F138" s="73"/>
      <c r="G138" t="s">
        <v>1224</v>
      </c>
    </row>
    <row r="139" spans="1:7" x14ac:dyDescent="0.25">
      <c r="A139">
        <f t="shared" si="4"/>
        <v>0</v>
      </c>
      <c r="B139" s="3">
        <f t="shared" si="5"/>
        <v>0</v>
      </c>
      <c r="C139" s="72"/>
      <c r="D139" s="72"/>
      <c r="E139" s="73"/>
      <c r="F139" s="73"/>
      <c r="G139" t="s">
        <v>1224</v>
      </c>
    </row>
    <row r="140" spans="1:7" x14ac:dyDescent="0.25">
      <c r="A140">
        <f t="shared" si="4"/>
        <v>0</v>
      </c>
      <c r="B140" s="3">
        <f t="shared" si="5"/>
        <v>0</v>
      </c>
      <c r="C140" s="72"/>
      <c r="D140" s="72"/>
      <c r="E140" s="73"/>
      <c r="F140" s="73"/>
      <c r="G140" t="s">
        <v>1224</v>
      </c>
    </row>
    <row r="141" spans="1:7" x14ac:dyDescent="0.25">
      <c r="A141">
        <f t="shared" si="4"/>
        <v>0</v>
      </c>
      <c r="B141" s="3">
        <f t="shared" si="5"/>
        <v>0</v>
      </c>
      <c r="C141" s="72"/>
      <c r="D141" s="72"/>
      <c r="E141" s="73"/>
      <c r="F141" s="73"/>
      <c r="G141" t="s">
        <v>1224</v>
      </c>
    </row>
    <row r="142" spans="1:7" x14ac:dyDescent="0.25">
      <c r="A142">
        <f t="shared" si="4"/>
        <v>0</v>
      </c>
      <c r="B142" s="3">
        <f t="shared" si="5"/>
        <v>0</v>
      </c>
      <c r="C142" s="72"/>
      <c r="D142" s="72"/>
      <c r="E142" s="73"/>
      <c r="F142" s="73"/>
      <c r="G142" t="s">
        <v>1224</v>
      </c>
    </row>
    <row r="143" spans="1:7" x14ac:dyDescent="0.25">
      <c r="A143">
        <f t="shared" si="4"/>
        <v>0</v>
      </c>
      <c r="B143" s="3">
        <f t="shared" si="5"/>
        <v>0</v>
      </c>
      <c r="C143" s="72"/>
      <c r="D143" s="72"/>
      <c r="E143" s="73"/>
      <c r="F143" s="73"/>
      <c r="G143" t="s">
        <v>1224</v>
      </c>
    </row>
    <row r="144" spans="1:7" x14ac:dyDescent="0.25">
      <c r="A144">
        <f t="shared" si="4"/>
        <v>0</v>
      </c>
      <c r="B144" s="3">
        <f t="shared" si="5"/>
        <v>0</v>
      </c>
      <c r="C144" s="72"/>
      <c r="D144" s="72"/>
      <c r="E144" s="73"/>
      <c r="F144" s="73"/>
      <c r="G144" t="s">
        <v>1224</v>
      </c>
    </row>
    <row r="145" spans="1:7" x14ac:dyDescent="0.25">
      <c r="A145">
        <f t="shared" si="4"/>
        <v>0</v>
      </c>
      <c r="B145" s="3">
        <f t="shared" si="5"/>
        <v>0</v>
      </c>
      <c r="C145" s="72"/>
      <c r="D145" s="72"/>
      <c r="E145" s="73"/>
      <c r="F145" s="73"/>
      <c r="G145" t="s">
        <v>1224</v>
      </c>
    </row>
    <row r="146" spans="1:7" x14ac:dyDescent="0.25">
      <c r="A146">
        <f t="shared" si="4"/>
        <v>0</v>
      </c>
      <c r="B146" s="3">
        <f t="shared" si="5"/>
        <v>0</v>
      </c>
      <c r="C146" s="72"/>
      <c r="D146" s="72"/>
      <c r="E146" s="73"/>
      <c r="F146" s="73"/>
      <c r="G146" t="s">
        <v>1224</v>
      </c>
    </row>
    <row r="147" spans="1:7" x14ac:dyDescent="0.25">
      <c r="A147">
        <f t="shared" si="4"/>
        <v>0</v>
      </c>
      <c r="B147" s="3">
        <f t="shared" si="5"/>
        <v>0</v>
      </c>
      <c r="C147" s="72"/>
      <c r="D147" s="72"/>
      <c r="E147" s="73"/>
      <c r="F147" s="73"/>
      <c r="G147" t="s">
        <v>1224</v>
      </c>
    </row>
    <row r="148" spans="1:7" x14ac:dyDescent="0.25">
      <c r="A148">
        <f t="shared" si="4"/>
        <v>0</v>
      </c>
      <c r="B148" s="3">
        <f t="shared" si="5"/>
        <v>0</v>
      </c>
      <c r="C148" s="72"/>
      <c r="D148" s="72"/>
      <c r="E148" s="73"/>
      <c r="F148" s="73"/>
      <c r="G148" t="s">
        <v>1224</v>
      </c>
    </row>
    <row r="149" spans="1:7" x14ac:dyDescent="0.25">
      <c r="A149">
        <f t="shared" si="4"/>
        <v>0</v>
      </c>
      <c r="B149" s="3">
        <f t="shared" si="5"/>
        <v>0</v>
      </c>
      <c r="C149" s="72"/>
      <c r="D149" s="72"/>
      <c r="E149" s="73"/>
      <c r="F149" s="73"/>
      <c r="G149" t="s">
        <v>1224</v>
      </c>
    </row>
    <row r="150" spans="1:7" x14ac:dyDescent="0.25">
      <c r="A150">
        <f t="shared" si="4"/>
        <v>0</v>
      </c>
      <c r="B150" s="3">
        <f t="shared" si="5"/>
        <v>0</v>
      </c>
      <c r="C150" s="72"/>
      <c r="D150" s="72"/>
      <c r="E150" s="73"/>
      <c r="F150" s="73"/>
      <c r="G150" t="s">
        <v>1224</v>
      </c>
    </row>
    <row r="151" spans="1:7" x14ac:dyDescent="0.25">
      <c r="A151">
        <f t="shared" si="4"/>
        <v>0</v>
      </c>
      <c r="B151" s="3">
        <f t="shared" si="5"/>
        <v>0</v>
      </c>
      <c r="C151" s="72"/>
      <c r="D151" s="72"/>
      <c r="E151" s="73"/>
      <c r="F151" s="73"/>
      <c r="G151" t="s">
        <v>1224</v>
      </c>
    </row>
    <row r="152" spans="1:7" x14ac:dyDescent="0.25">
      <c r="A152">
        <f t="shared" si="4"/>
        <v>0</v>
      </c>
      <c r="B152" s="3">
        <f t="shared" si="5"/>
        <v>0</v>
      </c>
      <c r="C152" s="72"/>
      <c r="D152" s="72"/>
      <c r="E152" s="73"/>
      <c r="F152" s="73"/>
      <c r="G152" t="s">
        <v>1224</v>
      </c>
    </row>
    <row r="153" spans="1:7" x14ac:dyDescent="0.25">
      <c r="A153">
        <f t="shared" si="4"/>
        <v>0</v>
      </c>
      <c r="B153" s="3">
        <f t="shared" si="5"/>
        <v>0</v>
      </c>
      <c r="C153" s="72"/>
      <c r="D153" s="72"/>
      <c r="E153" s="73"/>
      <c r="F153" s="73"/>
      <c r="G153" t="s">
        <v>1224</v>
      </c>
    </row>
    <row r="154" spans="1:7" x14ac:dyDescent="0.25">
      <c r="A154">
        <f t="shared" si="4"/>
        <v>0</v>
      </c>
      <c r="B154" s="3">
        <f t="shared" si="5"/>
        <v>0</v>
      </c>
      <c r="C154" s="72"/>
      <c r="D154" s="72"/>
      <c r="E154" s="73"/>
      <c r="F154" s="73"/>
      <c r="G154" t="s">
        <v>1224</v>
      </c>
    </row>
    <row r="155" spans="1:7" x14ac:dyDescent="0.25">
      <c r="A155">
        <f t="shared" si="4"/>
        <v>0</v>
      </c>
      <c r="B155" s="3">
        <f t="shared" si="5"/>
        <v>0</v>
      </c>
      <c r="C155" s="72"/>
      <c r="D155" s="72"/>
      <c r="E155" s="73"/>
      <c r="F155" s="73"/>
      <c r="G155" t="s">
        <v>1224</v>
      </c>
    </row>
    <row r="156" spans="1:7" x14ac:dyDescent="0.25">
      <c r="A156">
        <f t="shared" si="4"/>
        <v>0</v>
      </c>
      <c r="B156" s="3">
        <f t="shared" si="5"/>
        <v>0</v>
      </c>
      <c r="C156" s="72"/>
      <c r="D156" s="72"/>
      <c r="E156" s="73"/>
      <c r="F156" s="73"/>
      <c r="G156" t="s">
        <v>1224</v>
      </c>
    </row>
    <row r="157" spans="1:7" x14ac:dyDescent="0.25">
      <c r="A157">
        <f t="shared" si="4"/>
        <v>0</v>
      </c>
      <c r="B157" s="3">
        <f t="shared" si="5"/>
        <v>0</v>
      </c>
      <c r="C157" s="72"/>
      <c r="D157" s="72"/>
      <c r="E157" s="73"/>
      <c r="F157" s="73"/>
      <c r="G157" t="s">
        <v>1224</v>
      </c>
    </row>
    <row r="158" spans="1:7" x14ac:dyDescent="0.25">
      <c r="A158">
        <f t="shared" si="4"/>
        <v>0</v>
      </c>
      <c r="B158" s="3">
        <f t="shared" si="5"/>
        <v>0</v>
      </c>
      <c r="C158" s="72"/>
      <c r="D158" s="72"/>
      <c r="E158" s="73"/>
      <c r="F158" s="73"/>
      <c r="G158" t="s">
        <v>1224</v>
      </c>
    </row>
    <row r="159" spans="1:7" x14ac:dyDescent="0.25">
      <c r="A159">
        <f t="shared" si="4"/>
        <v>0</v>
      </c>
      <c r="B159" s="3">
        <f t="shared" si="5"/>
        <v>0</v>
      </c>
      <c r="C159" s="72"/>
      <c r="D159" s="72"/>
      <c r="E159" s="73"/>
      <c r="F159" s="73"/>
      <c r="G159" t="s">
        <v>1224</v>
      </c>
    </row>
    <row r="160" spans="1:7" x14ac:dyDescent="0.25">
      <c r="A160">
        <f t="shared" si="4"/>
        <v>0</v>
      </c>
      <c r="B160" s="3">
        <f t="shared" si="5"/>
        <v>0</v>
      </c>
      <c r="C160" s="72"/>
      <c r="D160" s="72"/>
      <c r="E160" s="73"/>
      <c r="F160" s="73"/>
      <c r="G160" t="s">
        <v>1224</v>
      </c>
    </row>
    <row r="161" spans="1:7" x14ac:dyDescent="0.25">
      <c r="A161">
        <f t="shared" si="4"/>
        <v>0</v>
      </c>
      <c r="B161" s="3">
        <f t="shared" si="5"/>
        <v>0</v>
      </c>
      <c r="C161" s="72"/>
      <c r="D161" s="72"/>
      <c r="E161" s="73"/>
      <c r="F161" s="73"/>
      <c r="G161" t="s">
        <v>1224</v>
      </c>
    </row>
    <row r="162" spans="1:7" x14ac:dyDescent="0.25">
      <c r="A162">
        <f t="shared" si="4"/>
        <v>0</v>
      </c>
      <c r="B162" s="3">
        <f t="shared" si="5"/>
        <v>0</v>
      </c>
      <c r="C162" s="72"/>
      <c r="D162" s="72"/>
      <c r="E162" s="73"/>
      <c r="F162" s="73"/>
      <c r="G162" t="s">
        <v>1224</v>
      </c>
    </row>
    <row r="163" spans="1:7" x14ac:dyDescent="0.25">
      <c r="A163">
        <f t="shared" si="4"/>
        <v>0</v>
      </c>
      <c r="B163" s="3">
        <f t="shared" si="5"/>
        <v>0</v>
      </c>
      <c r="C163" s="72"/>
      <c r="D163" s="72"/>
      <c r="E163" s="73"/>
      <c r="F163" s="73"/>
      <c r="G163" t="s">
        <v>1224</v>
      </c>
    </row>
    <row r="164" spans="1:7" x14ac:dyDescent="0.25">
      <c r="A164">
        <f t="shared" si="4"/>
        <v>0</v>
      </c>
      <c r="B164" s="3">
        <f t="shared" si="5"/>
        <v>0</v>
      </c>
      <c r="C164" s="72"/>
      <c r="D164" s="72"/>
      <c r="E164" s="73"/>
      <c r="F164" s="73"/>
      <c r="G164" t="s">
        <v>1224</v>
      </c>
    </row>
    <row r="165" spans="1:7" x14ac:dyDescent="0.25">
      <c r="A165">
        <f t="shared" si="4"/>
        <v>0</v>
      </c>
      <c r="B165" s="3">
        <f t="shared" si="5"/>
        <v>0</v>
      </c>
      <c r="C165" s="72"/>
      <c r="D165" s="72"/>
      <c r="E165" s="73"/>
      <c r="F165" s="73"/>
      <c r="G165" t="s">
        <v>1224</v>
      </c>
    </row>
    <row r="166" spans="1:7" x14ac:dyDescent="0.25">
      <c r="A166">
        <f t="shared" si="4"/>
        <v>0</v>
      </c>
      <c r="B166" s="3">
        <f t="shared" si="5"/>
        <v>0</v>
      </c>
      <c r="C166" s="72"/>
      <c r="D166" s="72"/>
      <c r="E166" s="73"/>
      <c r="F166" s="73"/>
      <c r="G166" t="s">
        <v>1224</v>
      </c>
    </row>
    <row r="167" spans="1:7" x14ac:dyDescent="0.25">
      <c r="A167">
        <f t="shared" si="4"/>
        <v>0</v>
      </c>
      <c r="B167" s="3">
        <f t="shared" si="5"/>
        <v>0</v>
      </c>
      <c r="C167" s="72"/>
      <c r="D167" s="72"/>
      <c r="E167" s="73"/>
      <c r="F167" s="73"/>
      <c r="G167" t="s">
        <v>1224</v>
      </c>
    </row>
    <row r="168" spans="1:7" x14ac:dyDescent="0.25">
      <c r="A168">
        <f t="shared" si="4"/>
        <v>0</v>
      </c>
      <c r="B168" s="3">
        <f t="shared" si="5"/>
        <v>0</v>
      </c>
      <c r="C168" s="72"/>
      <c r="D168" s="72"/>
      <c r="E168" s="73"/>
      <c r="F168" s="73"/>
      <c r="G168" t="s">
        <v>1224</v>
      </c>
    </row>
    <row r="169" spans="1:7" x14ac:dyDescent="0.25">
      <c r="A169">
        <f t="shared" si="4"/>
        <v>0</v>
      </c>
      <c r="B169" s="3">
        <f t="shared" si="5"/>
        <v>0</v>
      </c>
      <c r="C169" s="72"/>
      <c r="D169" s="72"/>
      <c r="E169" s="73"/>
      <c r="F169" s="73"/>
      <c r="G169" t="s">
        <v>1224</v>
      </c>
    </row>
    <row r="170" spans="1:7" x14ac:dyDescent="0.25">
      <c r="A170">
        <f t="shared" si="4"/>
        <v>0</v>
      </c>
      <c r="B170" s="3">
        <f t="shared" si="5"/>
        <v>0</v>
      </c>
      <c r="C170" s="72"/>
      <c r="D170" s="72"/>
      <c r="E170" s="73"/>
      <c r="F170" s="73"/>
      <c r="G170" t="s">
        <v>1224</v>
      </c>
    </row>
    <row r="171" spans="1:7" x14ac:dyDescent="0.25">
      <c r="A171">
        <f t="shared" si="4"/>
        <v>0</v>
      </c>
      <c r="B171" s="3">
        <f t="shared" si="5"/>
        <v>0</v>
      </c>
      <c r="C171" s="72"/>
      <c r="D171" s="72"/>
      <c r="E171" s="73"/>
      <c r="F171" s="73"/>
      <c r="G171" t="s">
        <v>1224</v>
      </c>
    </row>
    <row r="172" spans="1:7" x14ac:dyDescent="0.25">
      <c r="A172">
        <f t="shared" si="4"/>
        <v>0</v>
      </c>
      <c r="B172" s="3">
        <f t="shared" si="5"/>
        <v>0</v>
      </c>
      <c r="C172" s="72"/>
      <c r="D172" s="72"/>
      <c r="E172" s="73"/>
      <c r="F172" s="73"/>
      <c r="G172" t="s">
        <v>1224</v>
      </c>
    </row>
    <row r="173" spans="1:7" x14ac:dyDescent="0.25">
      <c r="A173">
        <f t="shared" si="4"/>
        <v>0</v>
      </c>
      <c r="B173" s="3">
        <f t="shared" si="5"/>
        <v>0</v>
      </c>
      <c r="C173" s="72"/>
      <c r="D173" s="72"/>
      <c r="E173" s="73"/>
      <c r="F173" s="73"/>
      <c r="G173" t="s">
        <v>1224</v>
      </c>
    </row>
    <row r="174" spans="1:7" x14ac:dyDescent="0.25">
      <c r="A174">
        <f t="shared" si="4"/>
        <v>0</v>
      </c>
      <c r="B174" s="3">
        <f t="shared" si="5"/>
        <v>0</v>
      </c>
      <c r="C174" s="72"/>
      <c r="D174" s="72"/>
      <c r="E174" s="73"/>
      <c r="F174" s="73"/>
      <c r="G174" t="s">
        <v>1224</v>
      </c>
    </row>
    <row r="175" spans="1:7" x14ac:dyDescent="0.25">
      <c r="A175">
        <f t="shared" si="4"/>
        <v>0</v>
      </c>
      <c r="B175" s="3">
        <f t="shared" si="5"/>
        <v>0</v>
      </c>
      <c r="C175" s="72"/>
      <c r="D175" s="72"/>
      <c r="E175" s="73"/>
      <c r="F175" s="73"/>
      <c r="G175" t="s">
        <v>1224</v>
      </c>
    </row>
    <row r="176" spans="1:7" x14ac:dyDescent="0.25">
      <c r="A176">
        <f t="shared" si="4"/>
        <v>0</v>
      </c>
      <c r="B176" s="3">
        <f t="shared" si="5"/>
        <v>0</v>
      </c>
      <c r="C176" s="72"/>
      <c r="D176" s="72"/>
      <c r="E176" s="73"/>
      <c r="F176" s="73"/>
      <c r="G176" t="s">
        <v>1224</v>
      </c>
    </row>
    <row r="177" spans="1:7" x14ac:dyDescent="0.25">
      <c r="A177">
        <f t="shared" si="4"/>
        <v>0</v>
      </c>
      <c r="B177" s="3">
        <f t="shared" si="5"/>
        <v>0</v>
      </c>
      <c r="C177" s="72"/>
      <c r="D177" s="72"/>
      <c r="E177" s="73"/>
      <c r="F177" s="73"/>
      <c r="G177" t="s">
        <v>1224</v>
      </c>
    </row>
    <row r="178" spans="1:7" x14ac:dyDescent="0.25">
      <c r="A178">
        <f t="shared" si="4"/>
        <v>0</v>
      </c>
      <c r="B178" s="3">
        <f t="shared" si="5"/>
        <v>0</v>
      </c>
      <c r="C178" s="72"/>
      <c r="D178" s="72"/>
      <c r="E178" s="73"/>
      <c r="F178" s="73"/>
      <c r="G178" t="s">
        <v>1224</v>
      </c>
    </row>
    <row r="179" spans="1:7" x14ac:dyDescent="0.25">
      <c r="A179">
        <f t="shared" si="4"/>
        <v>0</v>
      </c>
      <c r="B179" s="3">
        <f t="shared" si="5"/>
        <v>0</v>
      </c>
      <c r="C179" s="72"/>
      <c r="D179" s="72"/>
      <c r="E179" s="73"/>
      <c r="F179" s="73"/>
      <c r="G179" t="s">
        <v>1224</v>
      </c>
    </row>
    <row r="180" spans="1:7" x14ac:dyDescent="0.25">
      <c r="A180">
        <f t="shared" si="4"/>
        <v>0</v>
      </c>
      <c r="B180" s="3">
        <f t="shared" si="5"/>
        <v>0</v>
      </c>
      <c r="C180" s="72"/>
      <c r="D180" s="72"/>
      <c r="E180" s="73"/>
      <c r="F180" s="73"/>
      <c r="G180" t="s">
        <v>1224</v>
      </c>
    </row>
    <row r="181" spans="1:7" x14ac:dyDescent="0.25">
      <c r="A181">
        <f t="shared" si="4"/>
        <v>0</v>
      </c>
      <c r="B181" s="3">
        <f t="shared" si="5"/>
        <v>0</v>
      </c>
      <c r="C181" s="72"/>
      <c r="D181" s="72"/>
      <c r="E181" s="73"/>
      <c r="F181" s="73"/>
      <c r="G181" t="s">
        <v>1224</v>
      </c>
    </row>
    <row r="182" spans="1:7" x14ac:dyDescent="0.25">
      <c r="A182">
        <f t="shared" si="4"/>
        <v>0</v>
      </c>
      <c r="B182" s="3">
        <f t="shared" si="5"/>
        <v>0</v>
      </c>
      <c r="C182" s="72"/>
      <c r="D182" s="72"/>
      <c r="E182" s="73"/>
      <c r="F182" s="73"/>
      <c r="G182" t="s">
        <v>1224</v>
      </c>
    </row>
    <row r="183" spans="1:7" x14ac:dyDescent="0.25">
      <c r="A183">
        <f t="shared" si="4"/>
        <v>0</v>
      </c>
      <c r="B183" s="3">
        <f t="shared" si="5"/>
        <v>0</v>
      </c>
      <c r="C183" s="72"/>
      <c r="D183" s="72"/>
      <c r="E183" s="73"/>
      <c r="F183" s="73"/>
      <c r="G183" t="s">
        <v>1224</v>
      </c>
    </row>
    <row r="184" spans="1:7" x14ac:dyDescent="0.25">
      <c r="A184">
        <f t="shared" si="4"/>
        <v>0</v>
      </c>
      <c r="B184" s="3">
        <f t="shared" si="5"/>
        <v>0</v>
      </c>
      <c r="C184" s="72"/>
      <c r="D184" s="72"/>
      <c r="E184" s="73"/>
      <c r="F184" s="73"/>
      <c r="G184" t="s">
        <v>1224</v>
      </c>
    </row>
    <row r="185" spans="1:7" x14ac:dyDescent="0.25">
      <c r="A185">
        <f t="shared" si="4"/>
        <v>0</v>
      </c>
      <c r="B185" s="3">
        <f t="shared" si="5"/>
        <v>0</v>
      </c>
      <c r="C185" s="72"/>
      <c r="D185" s="72"/>
      <c r="E185" s="73"/>
      <c r="F185" s="73"/>
      <c r="G185" t="s">
        <v>1224</v>
      </c>
    </row>
    <row r="186" spans="1:7" x14ac:dyDescent="0.25">
      <c r="A186">
        <f t="shared" si="4"/>
        <v>0</v>
      </c>
      <c r="B186" s="3">
        <f t="shared" si="5"/>
        <v>0</v>
      </c>
      <c r="C186" s="72"/>
      <c r="D186" s="72"/>
      <c r="E186" s="73"/>
      <c r="F186" s="73"/>
      <c r="G186" t="s">
        <v>1224</v>
      </c>
    </row>
    <row r="187" spans="1:7" x14ac:dyDescent="0.25">
      <c r="A187">
        <f t="shared" si="4"/>
        <v>0</v>
      </c>
      <c r="B187" s="3">
        <f t="shared" si="5"/>
        <v>0</v>
      </c>
      <c r="C187" s="72"/>
      <c r="D187" s="72"/>
      <c r="E187" s="73"/>
      <c r="F187" s="73"/>
      <c r="G187" t="s">
        <v>1224</v>
      </c>
    </row>
    <row r="188" spans="1:7" x14ac:dyDescent="0.25">
      <c r="A188">
        <f t="shared" si="4"/>
        <v>0</v>
      </c>
      <c r="B188" s="3">
        <f t="shared" si="5"/>
        <v>0</v>
      </c>
      <c r="C188" s="72"/>
      <c r="D188" s="72"/>
      <c r="E188" s="73"/>
      <c r="F188" s="73"/>
      <c r="G188" t="s">
        <v>1224</v>
      </c>
    </row>
    <row r="189" spans="1:7" x14ac:dyDescent="0.25">
      <c r="A189">
        <f t="shared" si="4"/>
        <v>0</v>
      </c>
      <c r="B189" s="3">
        <f t="shared" si="5"/>
        <v>0</v>
      </c>
      <c r="C189" s="72"/>
      <c r="D189" s="72"/>
      <c r="E189" s="73"/>
      <c r="F189" s="73"/>
      <c r="G189" t="s">
        <v>1224</v>
      </c>
    </row>
    <row r="190" spans="1:7" x14ac:dyDescent="0.25">
      <c r="A190">
        <f t="shared" si="4"/>
        <v>0</v>
      </c>
      <c r="B190" s="3">
        <f t="shared" si="5"/>
        <v>0</v>
      </c>
      <c r="C190" s="72"/>
      <c r="D190" s="72"/>
      <c r="E190" s="73"/>
      <c r="F190" s="73"/>
      <c r="G190" t="s">
        <v>1224</v>
      </c>
    </row>
    <row r="191" spans="1:7" x14ac:dyDescent="0.25">
      <c r="A191">
        <f t="shared" si="4"/>
        <v>0</v>
      </c>
      <c r="B191" s="3">
        <f t="shared" si="5"/>
        <v>0</v>
      </c>
      <c r="C191" s="72"/>
      <c r="D191" s="72"/>
      <c r="E191" s="73"/>
      <c r="F191" s="73"/>
      <c r="G191" t="s">
        <v>1224</v>
      </c>
    </row>
    <row r="192" spans="1:7" x14ac:dyDescent="0.25">
      <c r="A192">
        <f t="shared" si="4"/>
        <v>0</v>
      </c>
      <c r="B192" s="3">
        <f t="shared" si="5"/>
        <v>0</v>
      </c>
      <c r="C192" s="72"/>
      <c r="D192" s="72"/>
      <c r="E192" s="73"/>
      <c r="F192" s="73"/>
      <c r="G192" t="s">
        <v>1224</v>
      </c>
    </row>
    <row r="193" spans="1:7" x14ac:dyDescent="0.25">
      <c r="A193">
        <f t="shared" si="4"/>
        <v>0</v>
      </c>
      <c r="B193" s="3">
        <f t="shared" si="5"/>
        <v>0</v>
      </c>
      <c r="C193" s="72"/>
      <c r="D193" s="72"/>
      <c r="E193" s="73"/>
      <c r="F193" s="73"/>
      <c r="G193" t="s">
        <v>1224</v>
      </c>
    </row>
    <row r="194" spans="1:7" x14ac:dyDescent="0.25">
      <c r="A194">
        <f t="shared" si="4"/>
        <v>0</v>
      </c>
      <c r="B194" s="3">
        <f t="shared" si="5"/>
        <v>0</v>
      </c>
      <c r="C194" s="72"/>
      <c r="D194" s="72"/>
      <c r="E194" s="73"/>
      <c r="F194" s="73"/>
      <c r="G194" t="s">
        <v>1224</v>
      </c>
    </row>
    <row r="195" spans="1:7" x14ac:dyDescent="0.25">
      <c r="A195">
        <f t="shared" si="4"/>
        <v>0</v>
      </c>
      <c r="B195" s="3">
        <f t="shared" si="5"/>
        <v>0</v>
      </c>
      <c r="C195" s="72"/>
      <c r="D195" s="72"/>
      <c r="E195" s="73"/>
      <c r="F195" s="73"/>
      <c r="G195" t="s">
        <v>1224</v>
      </c>
    </row>
    <row r="196" spans="1:7" x14ac:dyDescent="0.25">
      <c r="A196">
        <f t="shared" si="4"/>
        <v>0</v>
      </c>
      <c r="B196" s="3">
        <f t="shared" si="5"/>
        <v>0</v>
      </c>
      <c r="C196" s="72"/>
      <c r="D196" s="72"/>
      <c r="E196" s="73"/>
      <c r="F196" s="73"/>
      <c r="G196" t="s">
        <v>1224</v>
      </c>
    </row>
    <row r="197" spans="1:7" x14ac:dyDescent="0.25">
      <c r="A197">
        <f t="shared" si="4"/>
        <v>0</v>
      </c>
      <c r="B197" s="3">
        <f t="shared" si="5"/>
        <v>0</v>
      </c>
      <c r="C197" s="72"/>
      <c r="D197" s="72"/>
      <c r="E197" s="73"/>
      <c r="F197" s="73"/>
      <c r="G197" t="s">
        <v>1224</v>
      </c>
    </row>
    <row r="198" spans="1:7" x14ac:dyDescent="0.25">
      <c r="A198">
        <f t="shared" si="4"/>
        <v>0</v>
      </c>
      <c r="B198" s="3">
        <f t="shared" si="5"/>
        <v>0</v>
      </c>
      <c r="C198" s="72"/>
      <c r="D198" s="72"/>
      <c r="E198" s="73"/>
      <c r="F198" s="73"/>
      <c r="G198" t="s">
        <v>1224</v>
      </c>
    </row>
    <row r="199" spans="1:7" x14ac:dyDescent="0.25">
      <c r="A199">
        <f t="shared" ref="A199:A262" si="6">IF(ISNUMBER(C199),C199*F199,)</f>
        <v>0</v>
      </c>
      <c r="B199" s="3">
        <f t="shared" ref="B199:B262" si="7">IF(C199&lt;&gt;"",1,0)</f>
        <v>0</v>
      </c>
      <c r="C199" s="72"/>
      <c r="D199" s="72"/>
      <c r="E199" s="73"/>
      <c r="F199" s="73"/>
      <c r="G199" t="s">
        <v>1224</v>
      </c>
    </row>
    <row r="200" spans="1:7" x14ac:dyDescent="0.25">
      <c r="A200">
        <f t="shared" si="6"/>
        <v>0</v>
      </c>
      <c r="B200" s="3">
        <f t="shared" si="7"/>
        <v>0</v>
      </c>
      <c r="C200" s="72"/>
      <c r="D200" s="72"/>
      <c r="E200" s="73"/>
      <c r="F200" s="73"/>
      <c r="G200" t="s">
        <v>1224</v>
      </c>
    </row>
    <row r="201" spans="1:7" x14ac:dyDescent="0.25">
      <c r="A201">
        <f t="shared" si="6"/>
        <v>0</v>
      </c>
      <c r="B201" s="3">
        <f t="shared" si="7"/>
        <v>0</v>
      </c>
      <c r="C201" s="72"/>
      <c r="D201" s="72"/>
      <c r="E201" s="73"/>
      <c r="F201" s="73"/>
      <c r="G201" t="s">
        <v>1224</v>
      </c>
    </row>
    <row r="202" spans="1:7" x14ac:dyDescent="0.25">
      <c r="A202">
        <f t="shared" si="6"/>
        <v>0</v>
      </c>
      <c r="B202" s="3">
        <f t="shared" si="7"/>
        <v>0</v>
      </c>
      <c r="C202" s="72"/>
      <c r="D202" s="72"/>
      <c r="E202" s="73"/>
      <c r="F202" s="73"/>
      <c r="G202" t="s">
        <v>1224</v>
      </c>
    </row>
    <row r="203" spans="1:7" x14ac:dyDescent="0.25">
      <c r="A203">
        <f t="shared" si="6"/>
        <v>0</v>
      </c>
      <c r="B203" s="3">
        <f t="shared" si="7"/>
        <v>0</v>
      </c>
      <c r="C203" s="72"/>
      <c r="D203" s="72"/>
      <c r="E203" s="73"/>
      <c r="F203" s="73"/>
      <c r="G203" t="s">
        <v>1224</v>
      </c>
    </row>
    <row r="204" spans="1:7" x14ac:dyDescent="0.25">
      <c r="A204">
        <f t="shared" si="6"/>
        <v>0</v>
      </c>
      <c r="B204" s="3">
        <f t="shared" si="7"/>
        <v>0</v>
      </c>
      <c r="C204" s="72"/>
      <c r="D204" s="72"/>
      <c r="E204" s="73"/>
      <c r="F204" s="73"/>
      <c r="G204" t="s">
        <v>1224</v>
      </c>
    </row>
    <row r="205" spans="1:7" x14ac:dyDescent="0.25">
      <c r="A205">
        <f t="shared" si="6"/>
        <v>0</v>
      </c>
      <c r="B205" s="3">
        <f t="shared" si="7"/>
        <v>0</v>
      </c>
      <c r="C205" s="72"/>
      <c r="D205" s="72"/>
      <c r="E205" s="73"/>
      <c r="F205" s="73"/>
      <c r="G205" t="s">
        <v>1224</v>
      </c>
    </row>
    <row r="206" spans="1:7" x14ac:dyDescent="0.25">
      <c r="A206">
        <f t="shared" si="6"/>
        <v>0</v>
      </c>
      <c r="B206" s="3">
        <f t="shared" si="7"/>
        <v>0</v>
      </c>
      <c r="C206" s="72"/>
      <c r="D206" s="72"/>
      <c r="E206" s="73"/>
      <c r="F206" s="73"/>
      <c r="G206" t="s">
        <v>1224</v>
      </c>
    </row>
    <row r="207" spans="1:7" x14ac:dyDescent="0.25">
      <c r="A207">
        <f t="shared" si="6"/>
        <v>0</v>
      </c>
      <c r="B207" s="3">
        <f t="shared" si="7"/>
        <v>0</v>
      </c>
      <c r="C207" s="72"/>
      <c r="D207" s="72"/>
      <c r="E207" s="73"/>
      <c r="F207" s="73"/>
      <c r="G207" t="s">
        <v>1224</v>
      </c>
    </row>
    <row r="208" spans="1:7" x14ac:dyDescent="0.25">
      <c r="A208">
        <f t="shared" si="6"/>
        <v>0</v>
      </c>
      <c r="B208" s="3">
        <f t="shared" si="7"/>
        <v>0</v>
      </c>
      <c r="C208" s="72"/>
      <c r="D208" s="72"/>
      <c r="E208" s="73"/>
      <c r="F208" s="73"/>
      <c r="G208" t="s">
        <v>1224</v>
      </c>
    </row>
    <row r="209" spans="1:7" x14ac:dyDescent="0.25">
      <c r="A209">
        <f t="shared" si="6"/>
        <v>0</v>
      </c>
      <c r="B209" s="3">
        <f t="shared" si="7"/>
        <v>0</v>
      </c>
      <c r="C209" s="72"/>
      <c r="D209" s="72"/>
      <c r="E209" s="73"/>
      <c r="F209" s="73"/>
      <c r="G209" t="s">
        <v>1224</v>
      </c>
    </row>
    <row r="210" spans="1:7" x14ac:dyDescent="0.25">
      <c r="A210">
        <f t="shared" si="6"/>
        <v>0</v>
      </c>
      <c r="B210" s="3">
        <f t="shared" si="7"/>
        <v>0</v>
      </c>
      <c r="C210" s="72"/>
      <c r="D210" s="72"/>
      <c r="E210" s="73"/>
      <c r="F210" s="73"/>
      <c r="G210" t="s">
        <v>1224</v>
      </c>
    </row>
    <row r="211" spans="1:7" x14ac:dyDescent="0.25">
      <c r="A211">
        <f t="shared" si="6"/>
        <v>0</v>
      </c>
      <c r="B211" s="3">
        <f t="shared" si="7"/>
        <v>0</v>
      </c>
      <c r="C211" s="72"/>
      <c r="D211" s="72"/>
      <c r="E211" s="73"/>
      <c r="F211" s="73"/>
      <c r="G211" t="s">
        <v>1224</v>
      </c>
    </row>
    <row r="212" spans="1:7" x14ac:dyDescent="0.25">
      <c r="A212">
        <f t="shared" si="6"/>
        <v>0</v>
      </c>
      <c r="B212" s="3">
        <f t="shared" si="7"/>
        <v>0</v>
      </c>
      <c r="C212" s="72"/>
      <c r="D212" s="72"/>
      <c r="E212" s="73"/>
      <c r="F212" s="73"/>
      <c r="G212" t="s">
        <v>1224</v>
      </c>
    </row>
    <row r="213" spans="1:7" x14ac:dyDescent="0.25">
      <c r="A213">
        <f t="shared" si="6"/>
        <v>0</v>
      </c>
      <c r="B213" s="3">
        <f t="shared" si="7"/>
        <v>0</v>
      </c>
      <c r="C213" s="72"/>
      <c r="D213" s="72"/>
      <c r="E213" s="73"/>
      <c r="F213" s="73"/>
      <c r="G213" t="s">
        <v>1224</v>
      </c>
    </row>
    <row r="214" spans="1:7" x14ac:dyDescent="0.25">
      <c r="A214">
        <f t="shared" si="6"/>
        <v>0</v>
      </c>
      <c r="B214" s="3">
        <f t="shared" si="7"/>
        <v>0</v>
      </c>
      <c r="C214" s="72"/>
      <c r="D214" s="72"/>
      <c r="E214" s="73"/>
      <c r="F214" s="73"/>
      <c r="G214" t="s">
        <v>1224</v>
      </c>
    </row>
    <row r="215" spans="1:7" x14ac:dyDescent="0.25">
      <c r="A215">
        <f t="shared" si="6"/>
        <v>0</v>
      </c>
      <c r="B215" s="3">
        <f t="shared" si="7"/>
        <v>0</v>
      </c>
      <c r="C215" s="72"/>
      <c r="D215" s="72"/>
      <c r="E215" s="73"/>
      <c r="F215" s="73"/>
      <c r="G215" t="s">
        <v>1224</v>
      </c>
    </row>
    <row r="216" spans="1:7" x14ac:dyDescent="0.25">
      <c r="A216">
        <f t="shared" si="6"/>
        <v>0</v>
      </c>
      <c r="B216" s="3">
        <f t="shared" si="7"/>
        <v>0</v>
      </c>
      <c r="C216" s="72"/>
      <c r="D216" s="72"/>
      <c r="E216" s="73"/>
      <c r="F216" s="73"/>
      <c r="G216" t="s">
        <v>1224</v>
      </c>
    </row>
    <row r="217" spans="1:7" x14ac:dyDescent="0.25">
      <c r="A217">
        <f t="shared" si="6"/>
        <v>0</v>
      </c>
      <c r="B217" s="3">
        <f t="shared" si="7"/>
        <v>0</v>
      </c>
      <c r="C217" s="72"/>
      <c r="D217" s="72"/>
      <c r="E217" s="73"/>
      <c r="F217" s="73"/>
      <c r="G217" t="s">
        <v>1224</v>
      </c>
    </row>
    <row r="218" spans="1:7" x14ac:dyDescent="0.25">
      <c r="A218">
        <f t="shared" si="6"/>
        <v>0</v>
      </c>
      <c r="B218" s="3">
        <f t="shared" si="7"/>
        <v>0</v>
      </c>
      <c r="C218" s="72"/>
      <c r="D218" s="72"/>
      <c r="E218" s="73"/>
      <c r="F218" s="73"/>
      <c r="G218" t="s">
        <v>1224</v>
      </c>
    </row>
    <row r="219" spans="1:7" x14ac:dyDescent="0.25">
      <c r="A219">
        <f t="shared" si="6"/>
        <v>0</v>
      </c>
      <c r="B219" s="3">
        <f t="shared" si="7"/>
        <v>0</v>
      </c>
      <c r="C219" s="72"/>
      <c r="D219" s="72"/>
      <c r="E219" s="73"/>
      <c r="F219" s="73"/>
      <c r="G219" t="s">
        <v>1224</v>
      </c>
    </row>
    <row r="220" spans="1:7" x14ac:dyDescent="0.25">
      <c r="A220">
        <f t="shared" si="6"/>
        <v>0</v>
      </c>
      <c r="B220" s="3">
        <f t="shared" si="7"/>
        <v>0</v>
      </c>
      <c r="C220" s="72"/>
      <c r="D220" s="72"/>
      <c r="E220" s="73"/>
      <c r="F220" s="73"/>
      <c r="G220" t="s">
        <v>1224</v>
      </c>
    </row>
    <row r="221" spans="1:7" x14ac:dyDescent="0.25">
      <c r="A221">
        <f t="shared" si="6"/>
        <v>0</v>
      </c>
      <c r="B221" s="3">
        <f t="shared" si="7"/>
        <v>0</v>
      </c>
      <c r="C221" s="72"/>
      <c r="D221" s="72"/>
      <c r="E221" s="73"/>
      <c r="F221" s="73"/>
      <c r="G221" t="s">
        <v>1224</v>
      </c>
    </row>
    <row r="222" spans="1:7" x14ac:dyDescent="0.25">
      <c r="A222">
        <f t="shared" si="6"/>
        <v>0</v>
      </c>
      <c r="B222" s="3">
        <f t="shared" si="7"/>
        <v>0</v>
      </c>
      <c r="C222" s="72"/>
      <c r="D222" s="72"/>
      <c r="E222" s="73"/>
      <c r="F222" s="73"/>
      <c r="G222" t="s">
        <v>1224</v>
      </c>
    </row>
    <row r="223" spans="1:7" x14ac:dyDescent="0.25">
      <c r="A223">
        <f t="shared" si="6"/>
        <v>0</v>
      </c>
      <c r="B223" s="3">
        <f t="shared" si="7"/>
        <v>0</v>
      </c>
      <c r="C223" s="72"/>
      <c r="D223" s="72"/>
      <c r="E223" s="73"/>
      <c r="F223" s="73"/>
      <c r="G223" t="s">
        <v>1224</v>
      </c>
    </row>
    <row r="224" spans="1:7" x14ac:dyDescent="0.25">
      <c r="A224">
        <f t="shared" si="6"/>
        <v>0</v>
      </c>
      <c r="B224" s="3">
        <f t="shared" si="7"/>
        <v>0</v>
      </c>
      <c r="C224" s="72"/>
      <c r="D224" s="72"/>
      <c r="E224" s="73"/>
      <c r="F224" s="73"/>
      <c r="G224" t="s">
        <v>1224</v>
      </c>
    </row>
    <row r="225" spans="1:7" x14ac:dyDescent="0.25">
      <c r="A225">
        <f t="shared" si="6"/>
        <v>0</v>
      </c>
      <c r="B225" s="3">
        <f t="shared" si="7"/>
        <v>0</v>
      </c>
      <c r="C225" s="72"/>
      <c r="D225" s="72"/>
      <c r="E225" s="73"/>
      <c r="F225" s="73"/>
      <c r="G225" t="s">
        <v>1224</v>
      </c>
    </row>
    <row r="226" spans="1:7" x14ac:dyDescent="0.25">
      <c r="A226">
        <f t="shared" si="6"/>
        <v>0</v>
      </c>
      <c r="B226" s="3">
        <f t="shared" si="7"/>
        <v>0</v>
      </c>
      <c r="C226" s="72"/>
      <c r="D226" s="72"/>
      <c r="E226" s="73"/>
      <c r="F226" s="73"/>
      <c r="G226" t="s">
        <v>1224</v>
      </c>
    </row>
    <row r="227" spans="1:7" x14ac:dyDescent="0.25">
      <c r="A227">
        <f t="shared" si="6"/>
        <v>0</v>
      </c>
      <c r="B227" s="3">
        <f t="shared" si="7"/>
        <v>0</v>
      </c>
      <c r="C227" s="72"/>
      <c r="D227" s="72"/>
      <c r="E227" s="73"/>
      <c r="F227" s="73"/>
      <c r="G227" t="s">
        <v>1224</v>
      </c>
    </row>
    <row r="228" spans="1:7" x14ac:dyDescent="0.25">
      <c r="A228">
        <f t="shared" si="6"/>
        <v>0</v>
      </c>
      <c r="B228" s="3">
        <f t="shared" si="7"/>
        <v>0</v>
      </c>
      <c r="C228" s="72"/>
      <c r="D228" s="72"/>
      <c r="E228" s="73"/>
      <c r="F228" s="73"/>
      <c r="G228" t="s">
        <v>1224</v>
      </c>
    </row>
    <row r="229" spans="1:7" x14ac:dyDescent="0.25">
      <c r="A229">
        <f t="shared" si="6"/>
        <v>0</v>
      </c>
      <c r="B229" s="3">
        <f t="shared" si="7"/>
        <v>0</v>
      </c>
      <c r="C229" s="72"/>
      <c r="D229" s="72"/>
      <c r="E229" s="73"/>
      <c r="F229" s="73"/>
      <c r="G229" t="s">
        <v>1224</v>
      </c>
    </row>
    <row r="230" spans="1:7" x14ac:dyDescent="0.25">
      <c r="A230">
        <f t="shared" si="6"/>
        <v>0</v>
      </c>
      <c r="B230" s="3">
        <f t="shared" si="7"/>
        <v>0</v>
      </c>
      <c r="C230" s="72"/>
      <c r="D230" s="72"/>
      <c r="E230" s="73"/>
      <c r="F230" s="73"/>
      <c r="G230" t="s">
        <v>1224</v>
      </c>
    </row>
    <row r="231" spans="1:7" x14ac:dyDescent="0.25">
      <c r="A231">
        <f t="shared" si="6"/>
        <v>0</v>
      </c>
      <c r="B231" s="3">
        <f t="shared" si="7"/>
        <v>0</v>
      </c>
      <c r="C231" s="72"/>
      <c r="D231" s="72"/>
      <c r="E231" s="73"/>
      <c r="F231" s="73"/>
      <c r="G231" t="s">
        <v>1224</v>
      </c>
    </row>
    <row r="232" spans="1:7" x14ac:dyDescent="0.25">
      <c r="A232">
        <f t="shared" si="6"/>
        <v>0</v>
      </c>
      <c r="B232" s="3">
        <f t="shared" si="7"/>
        <v>0</v>
      </c>
      <c r="C232" s="72"/>
      <c r="D232" s="72"/>
      <c r="E232" s="73"/>
      <c r="F232" s="73"/>
      <c r="G232" t="s">
        <v>1224</v>
      </c>
    </row>
    <row r="233" spans="1:7" x14ac:dyDescent="0.25">
      <c r="A233">
        <f t="shared" si="6"/>
        <v>0</v>
      </c>
      <c r="B233" s="3">
        <f t="shared" si="7"/>
        <v>0</v>
      </c>
      <c r="C233" s="72"/>
      <c r="D233" s="72"/>
      <c r="E233" s="73"/>
      <c r="F233" s="73"/>
      <c r="G233" t="s">
        <v>1224</v>
      </c>
    </row>
    <row r="234" spans="1:7" x14ac:dyDescent="0.25">
      <c r="A234">
        <f t="shared" si="6"/>
        <v>0</v>
      </c>
      <c r="B234" s="3">
        <f t="shared" si="7"/>
        <v>0</v>
      </c>
      <c r="C234" s="72"/>
      <c r="D234" s="72"/>
      <c r="E234" s="73"/>
      <c r="F234" s="73"/>
      <c r="G234" t="s">
        <v>1224</v>
      </c>
    </row>
    <row r="235" spans="1:7" x14ac:dyDescent="0.25">
      <c r="A235">
        <f t="shared" si="6"/>
        <v>0</v>
      </c>
      <c r="B235" s="3">
        <f t="shared" si="7"/>
        <v>0</v>
      </c>
      <c r="C235" s="72"/>
      <c r="D235" s="72"/>
      <c r="E235" s="73"/>
      <c r="F235" s="73"/>
      <c r="G235" t="s">
        <v>1224</v>
      </c>
    </row>
    <row r="236" spans="1:7" x14ac:dyDescent="0.25">
      <c r="A236">
        <f t="shared" si="6"/>
        <v>0</v>
      </c>
      <c r="B236" s="3">
        <f t="shared" si="7"/>
        <v>0</v>
      </c>
      <c r="C236" s="72"/>
      <c r="D236" s="72"/>
      <c r="E236" s="73"/>
      <c r="F236" s="73"/>
      <c r="G236" t="s">
        <v>1224</v>
      </c>
    </row>
    <row r="237" spans="1:7" x14ac:dyDescent="0.25">
      <c r="A237">
        <f t="shared" si="6"/>
        <v>0</v>
      </c>
      <c r="B237" s="3">
        <f t="shared" si="7"/>
        <v>0</v>
      </c>
      <c r="C237" s="72"/>
      <c r="D237" s="72"/>
      <c r="E237" s="73"/>
      <c r="F237" s="73"/>
      <c r="G237" t="s">
        <v>1224</v>
      </c>
    </row>
    <row r="238" spans="1:7" x14ac:dyDescent="0.25">
      <c r="A238">
        <f t="shared" si="6"/>
        <v>0</v>
      </c>
      <c r="B238" s="3">
        <f t="shared" si="7"/>
        <v>0</v>
      </c>
      <c r="C238" s="72"/>
      <c r="D238" s="72"/>
      <c r="E238" s="73"/>
      <c r="F238" s="73"/>
      <c r="G238" t="s">
        <v>1224</v>
      </c>
    </row>
    <row r="239" spans="1:7" x14ac:dyDescent="0.25">
      <c r="A239">
        <f t="shared" si="6"/>
        <v>0</v>
      </c>
      <c r="B239" s="3">
        <f t="shared" si="7"/>
        <v>0</v>
      </c>
      <c r="C239" s="72"/>
      <c r="D239" s="72"/>
      <c r="E239" s="73"/>
      <c r="F239" s="73"/>
      <c r="G239" t="s">
        <v>1224</v>
      </c>
    </row>
    <row r="240" spans="1:7" x14ac:dyDescent="0.25">
      <c r="A240">
        <f t="shared" si="6"/>
        <v>0</v>
      </c>
      <c r="B240" s="3">
        <f t="shared" si="7"/>
        <v>0</v>
      </c>
      <c r="C240" s="72"/>
      <c r="D240" s="72"/>
      <c r="E240" s="73"/>
      <c r="F240" s="73"/>
      <c r="G240" t="s">
        <v>1224</v>
      </c>
    </row>
    <row r="241" spans="1:7" x14ac:dyDescent="0.25">
      <c r="A241">
        <f t="shared" si="6"/>
        <v>0</v>
      </c>
      <c r="B241" s="3">
        <f t="shared" si="7"/>
        <v>0</v>
      </c>
      <c r="C241" s="72"/>
      <c r="D241" s="72"/>
      <c r="E241" s="73"/>
      <c r="F241" s="73"/>
      <c r="G241" t="s">
        <v>1224</v>
      </c>
    </row>
    <row r="242" spans="1:7" x14ac:dyDescent="0.25">
      <c r="A242">
        <f t="shared" si="6"/>
        <v>0</v>
      </c>
      <c r="B242" s="3">
        <f t="shared" si="7"/>
        <v>0</v>
      </c>
      <c r="C242" s="72"/>
      <c r="D242" s="72"/>
      <c r="E242" s="73"/>
      <c r="F242" s="73"/>
      <c r="G242" t="s">
        <v>1224</v>
      </c>
    </row>
    <row r="243" spans="1:7" x14ac:dyDescent="0.25">
      <c r="A243">
        <f t="shared" si="6"/>
        <v>0</v>
      </c>
      <c r="B243" s="3">
        <f t="shared" si="7"/>
        <v>0</v>
      </c>
      <c r="C243" s="72"/>
      <c r="D243" s="72"/>
      <c r="E243" s="73"/>
      <c r="F243" s="73"/>
      <c r="G243" t="s">
        <v>1224</v>
      </c>
    </row>
    <row r="244" spans="1:7" x14ac:dyDescent="0.25">
      <c r="A244">
        <f t="shared" si="6"/>
        <v>0</v>
      </c>
      <c r="B244" s="3">
        <f t="shared" si="7"/>
        <v>0</v>
      </c>
      <c r="C244" s="72"/>
      <c r="D244" s="72"/>
      <c r="E244" s="73"/>
      <c r="F244" s="73"/>
      <c r="G244" t="s">
        <v>1224</v>
      </c>
    </row>
    <row r="245" spans="1:7" x14ac:dyDescent="0.25">
      <c r="A245">
        <f t="shared" si="6"/>
        <v>0</v>
      </c>
      <c r="B245" s="3">
        <f t="shared" si="7"/>
        <v>0</v>
      </c>
      <c r="C245" s="72"/>
      <c r="D245" s="72"/>
      <c r="E245" s="73"/>
      <c r="F245" s="73"/>
      <c r="G245" t="s">
        <v>1224</v>
      </c>
    </row>
    <row r="246" spans="1:7" x14ac:dyDescent="0.25">
      <c r="A246">
        <f t="shared" si="6"/>
        <v>0</v>
      </c>
      <c r="B246" s="3">
        <f t="shared" si="7"/>
        <v>0</v>
      </c>
      <c r="C246" s="72"/>
      <c r="D246" s="72"/>
      <c r="E246" s="73"/>
      <c r="F246" s="73"/>
      <c r="G246" t="s">
        <v>1224</v>
      </c>
    </row>
    <row r="247" spans="1:7" x14ac:dyDescent="0.25">
      <c r="A247">
        <f t="shared" si="6"/>
        <v>0</v>
      </c>
      <c r="B247" s="3">
        <f t="shared" si="7"/>
        <v>0</v>
      </c>
      <c r="C247" s="72"/>
      <c r="D247" s="72"/>
      <c r="E247" s="73"/>
      <c r="F247" s="73"/>
      <c r="G247" t="s">
        <v>1224</v>
      </c>
    </row>
    <row r="248" spans="1:7" x14ac:dyDescent="0.25">
      <c r="A248">
        <f t="shared" si="6"/>
        <v>0</v>
      </c>
      <c r="B248" s="3">
        <f t="shared" si="7"/>
        <v>0</v>
      </c>
      <c r="C248" s="72"/>
      <c r="D248" s="72"/>
      <c r="E248" s="73"/>
      <c r="F248" s="73"/>
      <c r="G248" t="s">
        <v>1224</v>
      </c>
    </row>
    <row r="249" spans="1:7" x14ac:dyDescent="0.25">
      <c r="A249">
        <f t="shared" si="6"/>
        <v>0</v>
      </c>
      <c r="B249" s="3">
        <f t="shared" si="7"/>
        <v>0</v>
      </c>
      <c r="C249" s="72"/>
      <c r="D249" s="72"/>
      <c r="E249" s="73"/>
      <c r="F249" s="73"/>
      <c r="G249" t="s">
        <v>1224</v>
      </c>
    </row>
    <row r="250" spans="1:7" x14ac:dyDescent="0.25">
      <c r="A250">
        <f t="shared" si="6"/>
        <v>0</v>
      </c>
      <c r="B250" s="3">
        <f t="shared" si="7"/>
        <v>0</v>
      </c>
      <c r="C250" s="72"/>
      <c r="D250" s="72"/>
      <c r="E250" s="73"/>
      <c r="F250" s="73"/>
      <c r="G250" t="s">
        <v>1224</v>
      </c>
    </row>
    <row r="251" spans="1:7" x14ac:dyDescent="0.25">
      <c r="A251">
        <f t="shared" si="6"/>
        <v>0</v>
      </c>
      <c r="B251" s="3">
        <f t="shared" si="7"/>
        <v>0</v>
      </c>
      <c r="C251" s="72"/>
      <c r="D251" s="72"/>
      <c r="E251" s="73"/>
      <c r="F251" s="73"/>
      <c r="G251" t="s">
        <v>1224</v>
      </c>
    </row>
    <row r="252" spans="1:7" x14ac:dyDescent="0.25">
      <c r="A252">
        <f t="shared" si="6"/>
        <v>0</v>
      </c>
      <c r="B252" s="3">
        <f t="shared" si="7"/>
        <v>0</v>
      </c>
      <c r="C252" s="72"/>
      <c r="D252" s="72"/>
      <c r="E252" s="73"/>
      <c r="F252" s="73"/>
      <c r="G252" t="s">
        <v>1224</v>
      </c>
    </row>
    <row r="253" spans="1:7" x14ac:dyDescent="0.25">
      <c r="A253">
        <f t="shared" si="6"/>
        <v>0</v>
      </c>
      <c r="B253" s="3">
        <f t="shared" si="7"/>
        <v>0</v>
      </c>
      <c r="C253" s="72"/>
      <c r="D253" s="72"/>
      <c r="E253" s="73"/>
      <c r="F253" s="73"/>
      <c r="G253" t="s">
        <v>1224</v>
      </c>
    </row>
    <row r="254" spans="1:7" x14ac:dyDescent="0.25">
      <c r="A254">
        <f t="shared" si="6"/>
        <v>0</v>
      </c>
      <c r="B254" s="3">
        <f t="shared" si="7"/>
        <v>0</v>
      </c>
      <c r="C254" s="72"/>
      <c r="D254" s="72"/>
      <c r="E254" s="73"/>
      <c r="F254" s="73"/>
      <c r="G254" t="s">
        <v>1224</v>
      </c>
    </row>
    <row r="255" spans="1:7" x14ac:dyDescent="0.25">
      <c r="A255">
        <f t="shared" si="6"/>
        <v>0</v>
      </c>
      <c r="B255" s="3">
        <f t="shared" si="7"/>
        <v>0</v>
      </c>
      <c r="C255" s="72"/>
      <c r="D255" s="72"/>
      <c r="E255" s="73"/>
      <c r="F255" s="73"/>
      <c r="G255" t="s">
        <v>1224</v>
      </c>
    </row>
    <row r="256" spans="1:7" x14ac:dyDescent="0.25">
      <c r="A256">
        <f t="shared" si="6"/>
        <v>0</v>
      </c>
      <c r="B256" s="3">
        <f t="shared" si="7"/>
        <v>0</v>
      </c>
      <c r="C256" s="72"/>
      <c r="D256" s="72"/>
      <c r="E256" s="73"/>
      <c r="F256" s="73"/>
      <c r="G256" t="s">
        <v>1224</v>
      </c>
    </row>
    <row r="257" spans="1:7" x14ac:dyDescent="0.25">
      <c r="A257">
        <f t="shared" si="6"/>
        <v>0</v>
      </c>
      <c r="B257" s="3">
        <f t="shared" si="7"/>
        <v>0</v>
      </c>
      <c r="C257" s="72"/>
      <c r="D257" s="72"/>
      <c r="E257" s="73"/>
      <c r="F257" s="73"/>
      <c r="G257" t="s">
        <v>1224</v>
      </c>
    </row>
    <row r="258" spans="1:7" x14ac:dyDescent="0.25">
      <c r="A258">
        <f t="shared" si="6"/>
        <v>0</v>
      </c>
      <c r="B258" s="3">
        <f t="shared" si="7"/>
        <v>0</v>
      </c>
      <c r="C258" s="72"/>
      <c r="D258" s="72"/>
      <c r="E258" s="73"/>
      <c r="F258" s="73"/>
      <c r="G258" t="s">
        <v>1224</v>
      </c>
    </row>
    <row r="259" spans="1:7" x14ac:dyDescent="0.25">
      <c r="A259">
        <f t="shared" si="6"/>
        <v>0</v>
      </c>
      <c r="B259" s="3">
        <f t="shared" si="7"/>
        <v>0</v>
      </c>
      <c r="C259" s="72"/>
      <c r="D259" s="72"/>
      <c r="E259" s="73"/>
      <c r="F259" s="73"/>
      <c r="G259" t="s">
        <v>1224</v>
      </c>
    </row>
    <row r="260" spans="1:7" x14ac:dyDescent="0.25">
      <c r="A260">
        <f t="shared" si="6"/>
        <v>0</v>
      </c>
      <c r="B260" s="3">
        <f t="shared" si="7"/>
        <v>0</v>
      </c>
      <c r="C260" s="72"/>
      <c r="D260" s="72"/>
      <c r="E260" s="73"/>
      <c r="F260" s="73"/>
      <c r="G260" t="s">
        <v>1224</v>
      </c>
    </row>
    <row r="261" spans="1:7" x14ac:dyDescent="0.25">
      <c r="A261">
        <f t="shared" si="6"/>
        <v>0</v>
      </c>
      <c r="B261" s="3">
        <f t="shared" si="7"/>
        <v>0</v>
      </c>
      <c r="C261" s="72"/>
      <c r="D261" s="72"/>
      <c r="E261" s="73"/>
      <c r="F261" s="73"/>
      <c r="G261" t="s">
        <v>1224</v>
      </c>
    </row>
    <row r="262" spans="1:7" x14ac:dyDescent="0.25">
      <c r="A262">
        <f t="shared" si="6"/>
        <v>0</v>
      </c>
      <c r="B262" s="3">
        <f t="shared" si="7"/>
        <v>0</v>
      </c>
      <c r="C262" s="72"/>
      <c r="D262" s="72"/>
      <c r="E262" s="73"/>
      <c r="F262" s="73"/>
      <c r="G262" t="s">
        <v>1224</v>
      </c>
    </row>
    <row r="263" spans="1:7" x14ac:dyDescent="0.25">
      <c r="A263">
        <f t="shared" ref="A263:A326" si="8">IF(ISNUMBER(C263),C263*F263,)</f>
        <v>0</v>
      </c>
      <c r="B263" s="3">
        <f t="shared" ref="B263:B326" si="9">IF(C263&lt;&gt;"",1,0)</f>
        <v>0</v>
      </c>
      <c r="C263" s="72"/>
      <c r="D263" s="72"/>
      <c r="E263" s="73"/>
      <c r="F263" s="73"/>
      <c r="G263" t="s">
        <v>1224</v>
      </c>
    </row>
    <row r="264" spans="1:7" x14ac:dyDescent="0.25">
      <c r="A264">
        <f t="shared" si="8"/>
        <v>0</v>
      </c>
      <c r="B264" s="3">
        <f t="shared" si="9"/>
        <v>0</v>
      </c>
      <c r="C264" s="72"/>
      <c r="D264" s="72"/>
      <c r="E264" s="73"/>
      <c r="F264" s="73"/>
      <c r="G264" t="s">
        <v>1224</v>
      </c>
    </row>
    <row r="265" spans="1:7" x14ac:dyDescent="0.25">
      <c r="A265">
        <f t="shared" si="8"/>
        <v>0</v>
      </c>
      <c r="B265" s="3">
        <f t="shared" si="9"/>
        <v>0</v>
      </c>
      <c r="C265" s="72"/>
      <c r="D265" s="72"/>
      <c r="E265" s="73"/>
      <c r="F265" s="73"/>
      <c r="G265" t="s">
        <v>1224</v>
      </c>
    </row>
    <row r="266" spans="1:7" x14ac:dyDescent="0.25">
      <c r="A266">
        <f t="shared" si="8"/>
        <v>0</v>
      </c>
      <c r="B266" s="3">
        <f t="shared" si="9"/>
        <v>0</v>
      </c>
      <c r="C266" s="72"/>
      <c r="D266" s="72"/>
      <c r="E266" s="73"/>
      <c r="F266" s="73"/>
      <c r="G266" t="s">
        <v>1224</v>
      </c>
    </row>
    <row r="267" spans="1:7" x14ac:dyDescent="0.25">
      <c r="A267">
        <f t="shared" si="8"/>
        <v>0</v>
      </c>
      <c r="B267" s="3">
        <f t="shared" si="9"/>
        <v>0</v>
      </c>
      <c r="C267" s="72"/>
      <c r="D267" s="72"/>
      <c r="E267" s="73"/>
      <c r="F267" s="73"/>
      <c r="G267" t="s">
        <v>1224</v>
      </c>
    </row>
    <row r="268" spans="1:7" x14ac:dyDescent="0.25">
      <c r="A268">
        <f t="shared" si="8"/>
        <v>0</v>
      </c>
      <c r="B268" s="3">
        <f t="shared" si="9"/>
        <v>0</v>
      </c>
      <c r="C268" s="72"/>
      <c r="D268" s="72"/>
      <c r="E268" s="73"/>
      <c r="F268" s="73"/>
      <c r="G268" t="s">
        <v>1224</v>
      </c>
    </row>
    <row r="269" spans="1:7" x14ac:dyDescent="0.25">
      <c r="A269">
        <f t="shared" si="8"/>
        <v>0</v>
      </c>
      <c r="B269" s="3">
        <f t="shared" si="9"/>
        <v>0</v>
      </c>
      <c r="C269" s="72"/>
      <c r="D269" s="72"/>
      <c r="E269" s="73"/>
      <c r="F269" s="73"/>
      <c r="G269" t="s">
        <v>1224</v>
      </c>
    </row>
    <row r="270" spans="1:7" x14ac:dyDescent="0.25">
      <c r="A270">
        <f t="shared" si="8"/>
        <v>0</v>
      </c>
      <c r="B270" s="3">
        <f t="shared" si="9"/>
        <v>0</v>
      </c>
      <c r="C270" s="72"/>
      <c r="D270" s="72"/>
      <c r="E270" s="73"/>
      <c r="F270" s="73"/>
      <c r="G270" t="s">
        <v>1224</v>
      </c>
    </row>
    <row r="271" spans="1:7" x14ac:dyDescent="0.25">
      <c r="A271">
        <f t="shared" si="8"/>
        <v>0</v>
      </c>
      <c r="B271" s="3">
        <f t="shared" si="9"/>
        <v>0</v>
      </c>
      <c r="C271" s="72"/>
      <c r="D271" s="72"/>
      <c r="E271" s="73"/>
      <c r="F271" s="73"/>
      <c r="G271" t="s">
        <v>1224</v>
      </c>
    </row>
    <row r="272" spans="1:7" x14ac:dyDescent="0.25">
      <c r="A272">
        <f t="shared" si="8"/>
        <v>0</v>
      </c>
      <c r="B272" s="3">
        <f t="shared" si="9"/>
        <v>0</v>
      </c>
      <c r="C272" s="72"/>
      <c r="D272" s="72"/>
      <c r="E272" s="73"/>
      <c r="F272" s="73"/>
      <c r="G272" t="s">
        <v>1224</v>
      </c>
    </row>
    <row r="273" spans="1:7" x14ac:dyDescent="0.25">
      <c r="A273">
        <f t="shared" si="8"/>
        <v>0</v>
      </c>
      <c r="B273" s="3">
        <f t="shared" si="9"/>
        <v>0</v>
      </c>
      <c r="C273" s="72"/>
      <c r="D273" s="72"/>
      <c r="E273" s="73"/>
      <c r="F273" s="73"/>
      <c r="G273" t="s">
        <v>1224</v>
      </c>
    </row>
    <row r="274" spans="1:7" x14ac:dyDescent="0.25">
      <c r="A274">
        <f t="shared" si="8"/>
        <v>0</v>
      </c>
      <c r="B274" s="3">
        <f t="shared" si="9"/>
        <v>0</v>
      </c>
      <c r="C274" s="72"/>
      <c r="D274" s="72"/>
      <c r="E274" s="73"/>
      <c r="F274" s="73"/>
      <c r="G274" t="s">
        <v>1224</v>
      </c>
    </row>
    <row r="275" spans="1:7" x14ac:dyDescent="0.25">
      <c r="A275">
        <f t="shared" si="8"/>
        <v>0</v>
      </c>
      <c r="B275" s="3">
        <f t="shared" si="9"/>
        <v>0</v>
      </c>
      <c r="C275" s="72"/>
      <c r="D275" s="72"/>
      <c r="E275" s="73"/>
      <c r="F275" s="73"/>
      <c r="G275" t="s">
        <v>1224</v>
      </c>
    </row>
    <row r="276" spans="1:7" x14ac:dyDescent="0.25">
      <c r="A276">
        <f t="shared" si="8"/>
        <v>0</v>
      </c>
      <c r="B276" s="3">
        <f t="shared" si="9"/>
        <v>0</v>
      </c>
      <c r="C276" s="72"/>
      <c r="D276" s="72"/>
      <c r="E276" s="73"/>
      <c r="F276" s="73"/>
      <c r="G276" t="s">
        <v>1224</v>
      </c>
    </row>
    <row r="277" spans="1:7" x14ac:dyDescent="0.25">
      <c r="A277">
        <f t="shared" si="8"/>
        <v>0</v>
      </c>
      <c r="B277" s="3">
        <f t="shared" si="9"/>
        <v>0</v>
      </c>
      <c r="C277" s="72"/>
      <c r="D277" s="72"/>
      <c r="E277" s="73"/>
      <c r="F277" s="73"/>
      <c r="G277" t="s">
        <v>1224</v>
      </c>
    </row>
    <row r="278" spans="1:7" x14ac:dyDescent="0.25">
      <c r="A278">
        <f t="shared" si="8"/>
        <v>0</v>
      </c>
      <c r="B278" s="3">
        <f t="shared" si="9"/>
        <v>0</v>
      </c>
      <c r="C278" s="72"/>
      <c r="D278" s="72"/>
      <c r="E278" s="73"/>
      <c r="F278" s="73"/>
      <c r="G278" t="s">
        <v>1224</v>
      </c>
    </row>
    <row r="279" spans="1:7" x14ac:dyDescent="0.25">
      <c r="A279">
        <f t="shared" si="8"/>
        <v>0</v>
      </c>
      <c r="B279" s="3">
        <f t="shared" si="9"/>
        <v>0</v>
      </c>
      <c r="C279" s="72"/>
      <c r="D279" s="72"/>
      <c r="E279" s="73"/>
      <c r="F279" s="73"/>
      <c r="G279" t="s">
        <v>1224</v>
      </c>
    </row>
    <row r="280" spans="1:7" x14ac:dyDescent="0.25">
      <c r="A280">
        <f t="shared" si="8"/>
        <v>0</v>
      </c>
      <c r="B280" s="3">
        <f t="shared" si="9"/>
        <v>0</v>
      </c>
      <c r="C280" s="72"/>
      <c r="D280" s="72"/>
      <c r="E280" s="73"/>
      <c r="F280" s="73"/>
      <c r="G280" t="s">
        <v>1224</v>
      </c>
    </row>
    <row r="281" spans="1:7" x14ac:dyDescent="0.25">
      <c r="A281">
        <f t="shared" si="8"/>
        <v>0</v>
      </c>
      <c r="B281" s="3">
        <f t="shared" si="9"/>
        <v>0</v>
      </c>
      <c r="C281" s="72"/>
      <c r="D281" s="72"/>
      <c r="E281" s="73"/>
      <c r="F281" s="73"/>
      <c r="G281" t="s">
        <v>1224</v>
      </c>
    </row>
    <row r="282" spans="1:7" x14ac:dyDescent="0.25">
      <c r="A282">
        <f t="shared" si="8"/>
        <v>0</v>
      </c>
      <c r="B282" s="3">
        <f t="shared" si="9"/>
        <v>0</v>
      </c>
      <c r="C282" s="72"/>
      <c r="D282" s="72"/>
      <c r="E282" s="73"/>
      <c r="F282" s="73"/>
      <c r="G282" t="s">
        <v>1224</v>
      </c>
    </row>
    <row r="283" spans="1:7" x14ac:dyDescent="0.25">
      <c r="A283">
        <f t="shared" si="8"/>
        <v>0</v>
      </c>
      <c r="B283" s="3">
        <f t="shared" si="9"/>
        <v>0</v>
      </c>
      <c r="C283" s="72"/>
      <c r="D283" s="72"/>
      <c r="E283" s="73"/>
      <c r="F283" s="73"/>
      <c r="G283" t="s">
        <v>1224</v>
      </c>
    </row>
    <row r="284" spans="1:7" x14ac:dyDescent="0.25">
      <c r="A284">
        <f t="shared" si="8"/>
        <v>0</v>
      </c>
      <c r="B284" s="3">
        <f t="shared" si="9"/>
        <v>0</v>
      </c>
      <c r="C284" s="72"/>
      <c r="D284" s="72"/>
      <c r="E284" s="73"/>
      <c r="F284" s="73"/>
      <c r="G284" t="s">
        <v>1224</v>
      </c>
    </row>
    <row r="285" spans="1:7" x14ac:dyDescent="0.25">
      <c r="A285">
        <f t="shared" si="8"/>
        <v>0</v>
      </c>
      <c r="B285" s="3">
        <f t="shared" si="9"/>
        <v>0</v>
      </c>
      <c r="C285" s="72"/>
      <c r="D285" s="72"/>
      <c r="E285" s="73"/>
      <c r="F285" s="73"/>
      <c r="G285" t="s">
        <v>1224</v>
      </c>
    </row>
    <row r="286" spans="1:7" x14ac:dyDescent="0.25">
      <c r="A286">
        <f t="shared" si="8"/>
        <v>0</v>
      </c>
      <c r="B286" s="3">
        <f t="shared" si="9"/>
        <v>0</v>
      </c>
      <c r="C286" s="72"/>
      <c r="D286" s="72"/>
      <c r="E286" s="73"/>
      <c r="F286" s="73"/>
      <c r="G286" t="s">
        <v>1224</v>
      </c>
    </row>
    <row r="287" spans="1:7" x14ac:dyDescent="0.25">
      <c r="A287">
        <f t="shared" si="8"/>
        <v>0</v>
      </c>
      <c r="B287" s="3">
        <f t="shared" si="9"/>
        <v>0</v>
      </c>
      <c r="C287" s="72"/>
      <c r="D287" s="72"/>
      <c r="E287" s="73"/>
      <c r="F287" s="73"/>
      <c r="G287" t="s">
        <v>1224</v>
      </c>
    </row>
    <row r="288" spans="1:7" x14ac:dyDescent="0.25">
      <c r="A288">
        <f t="shared" si="8"/>
        <v>0</v>
      </c>
      <c r="B288" s="3">
        <f t="shared" si="9"/>
        <v>0</v>
      </c>
      <c r="C288" s="72"/>
      <c r="D288" s="72"/>
      <c r="E288" s="73"/>
      <c r="F288" s="73"/>
      <c r="G288" t="s">
        <v>1224</v>
      </c>
    </row>
    <row r="289" spans="1:7" x14ac:dyDescent="0.25">
      <c r="A289">
        <f t="shared" si="8"/>
        <v>0</v>
      </c>
      <c r="B289" s="3">
        <f t="shared" si="9"/>
        <v>0</v>
      </c>
      <c r="C289" s="72"/>
      <c r="D289" s="72"/>
      <c r="E289" s="73"/>
      <c r="F289" s="73"/>
      <c r="G289" t="s">
        <v>1224</v>
      </c>
    </row>
    <row r="290" spans="1:7" x14ac:dyDescent="0.25">
      <c r="A290">
        <f t="shared" si="8"/>
        <v>0</v>
      </c>
      <c r="B290" s="3">
        <f t="shared" si="9"/>
        <v>0</v>
      </c>
      <c r="C290" s="72"/>
      <c r="D290" s="72"/>
      <c r="E290" s="73"/>
      <c r="F290" s="73"/>
      <c r="G290" t="s">
        <v>1224</v>
      </c>
    </row>
    <row r="291" spans="1:7" x14ac:dyDescent="0.25">
      <c r="A291">
        <f t="shared" si="8"/>
        <v>0</v>
      </c>
      <c r="B291" s="3">
        <f t="shared" si="9"/>
        <v>0</v>
      </c>
      <c r="C291" s="72"/>
      <c r="D291" s="72"/>
      <c r="E291" s="73"/>
      <c r="F291" s="73"/>
      <c r="G291" t="s">
        <v>1224</v>
      </c>
    </row>
    <row r="292" spans="1:7" x14ac:dyDescent="0.25">
      <c r="A292">
        <f t="shared" si="8"/>
        <v>0</v>
      </c>
      <c r="B292" s="3">
        <f t="shared" si="9"/>
        <v>0</v>
      </c>
      <c r="C292" s="72"/>
      <c r="D292" s="72"/>
      <c r="E292" s="73"/>
      <c r="F292" s="73"/>
      <c r="G292" t="s">
        <v>1224</v>
      </c>
    </row>
    <row r="293" spans="1:7" x14ac:dyDescent="0.25">
      <c r="A293">
        <f t="shared" si="8"/>
        <v>0</v>
      </c>
      <c r="B293" s="3">
        <f t="shared" si="9"/>
        <v>0</v>
      </c>
      <c r="C293" s="72"/>
      <c r="D293" s="72"/>
      <c r="E293" s="73"/>
      <c r="F293" s="73"/>
      <c r="G293" t="s">
        <v>1224</v>
      </c>
    </row>
    <row r="294" spans="1:7" x14ac:dyDescent="0.25">
      <c r="A294">
        <f t="shared" si="8"/>
        <v>0</v>
      </c>
      <c r="B294" s="3">
        <f t="shared" si="9"/>
        <v>0</v>
      </c>
      <c r="C294" s="72"/>
      <c r="D294" s="72"/>
      <c r="E294" s="73"/>
      <c r="F294" s="73"/>
      <c r="G294" t="s">
        <v>1224</v>
      </c>
    </row>
    <row r="295" spans="1:7" x14ac:dyDescent="0.25">
      <c r="A295">
        <f t="shared" si="8"/>
        <v>0</v>
      </c>
      <c r="B295" s="3">
        <f t="shared" si="9"/>
        <v>0</v>
      </c>
      <c r="C295" s="72"/>
      <c r="D295" s="72"/>
      <c r="E295" s="73"/>
      <c r="F295" s="73"/>
      <c r="G295" t="s">
        <v>1224</v>
      </c>
    </row>
    <row r="296" spans="1:7" x14ac:dyDescent="0.25">
      <c r="A296">
        <f t="shared" si="8"/>
        <v>0</v>
      </c>
      <c r="B296" s="3">
        <f t="shared" si="9"/>
        <v>0</v>
      </c>
      <c r="C296" s="72"/>
      <c r="D296" s="72"/>
      <c r="E296" s="73"/>
      <c r="F296" s="73"/>
      <c r="G296" t="s">
        <v>1224</v>
      </c>
    </row>
    <row r="297" spans="1:7" x14ac:dyDescent="0.25">
      <c r="A297">
        <f t="shared" si="8"/>
        <v>0</v>
      </c>
      <c r="B297" s="3">
        <f t="shared" si="9"/>
        <v>0</v>
      </c>
      <c r="C297" s="72"/>
      <c r="D297" s="72"/>
      <c r="E297" s="73"/>
      <c r="F297" s="73"/>
      <c r="G297" t="s">
        <v>1224</v>
      </c>
    </row>
    <row r="298" spans="1:7" x14ac:dyDescent="0.25">
      <c r="A298">
        <f t="shared" si="8"/>
        <v>0</v>
      </c>
      <c r="B298" s="3">
        <f t="shared" si="9"/>
        <v>0</v>
      </c>
      <c r="C298" s="72"/>
      <c r="D298" s="72"/>
      <c r="E298" s="73"/>
      <c r="F298" s="73"/>
      <c r="G298" t="s">
        <v>1224</v>
      </c>
    </row>
    <row r="299" spans="1:7" x14ac:dyDescent="0.25">
      <c r="A299">
        <f t="shared" si="8"/>
        <v>0</v>
      </c>
      <c r="B299" s="3">
        <f t="shared" si="9"/>
        <v>0</v>
      </c>
      <c r="C299" s="72"/>
      <c r="D299" s="72"/>
      <c r="E299" s="73"/>
      <c r="F299" s="73"/>
      <c r="G299" t="s">
        <v>1224</v>
      </c>
    </row>
    <row r="300" spans="1:7" x14ac:dyDescent="0.25">
      <c r="A300">
        <f t="shared" si="8"/>
        <v>0</v>
      </c>
      <c r="B300" s="3">
        <f t="shared" si="9"/>
        <v>0</v>
      </c>
      <c r="C300" s="72"/>
      <c r="D300" s="72"/>
      <c r="E300" s="73"/>
      <c r="F300" s="73"/>
      <c r="G300" t="s">
        <v>1224</v>
      </c>
    </row>
    <row r="301" spans="1:7" x14ac:dyDescent="0.25">
      <c r="A301">
        <f t="shared" si="8"/>
        <v>0</v>
      </c>
      <c r="B301" s="3">
        <f t="shared" si="9"/>
        <v>0</v>
      </c>
      <c r="C301" s="72"/>
      <c r="D301" s="72"/>
      <c r="E301" s="73"/>
      <c r="F301" s="73"/>
      <c r="G301" t="s">
        <v>1224</v>
      </c>
    </row>
    <row r="302" spans="1:7" x14ac:dyDescent="0.25">
      <c r="A302">
        <f t="shared" si="8"/>
        <v>0</v>
      </c>
      <c r="B302" s="3">
        <f t="shared" si="9"/>
        <v>0</v>
      </c>
      <c r="C302" s="72"/>
      <c r="D302" s="72"/>
      <c r="E302" s="73"/>
      <c r="F302" s="73"/>
      <c r="G302" t="s">
        <v>1224</v>
      </c>
    </row>
    <row r="303" spans="1:7" x14ac:dyDescent="0.25">
      <c r="A303">
        <f t="shared" si="8"/>
        <v>0</v>
      </c>
      <c r="B303" s="3">
        <f t="shared" si="9"/>
        <v>0</v>
      </c>
      <c r="C303" s="72"/>
      <c r="D303" s="72"/>
      <c r="E303" s="73"/>
      <c r="F303" s="73"/>
      <c r="G303" t="s">
        <v>1224</v>
      </c>
    </row>
    <row r="304" spans="1:7" x14ac:dyDescent="0.25">
      <c r="A304">
        <f t="shared" si="8"/>
        <v>0</v>
      </c>
      <c r="B304" s="3">
        <f t="shared" si="9"/>
        <v>0</v>
      </c>
      <c r="C304" s="72"/>
      <c r="D304" s="72"/>
      <c r="E304" s="73"/>
      <c r="F304" s="73"/>
      <c r="G304" t="s">
        <v>1224</v>
      </c>
    </row>
    <row r="305" spans="1:7" x14ac:dyDescent="0.25">
      <c r="A305">
        <f t="shared" si="8"/>
        <v>0</v>
      </c>
      <c r="B305" s="3">
        <f t="shared" si="9"/>
        <v>0</v>
      </c>
      <c r="C305" s="72"/>
      <c r="D305" s="72"/>
      <c r="E305" s="73"/>
      <c r="F305" s="73"/>
      <c r="G305" t="s">
        <v>1224</v>
      </c>
    </row>
    <row r="306" spans="1:7" x14ac:dyDescent="0.25">
      <c r="A306">
        <f t="shared" si="8"/>
        <v>0</v>
      </c>
      <c r="B306" s="3">
        <f t="shared" si="9"/>
        <v>0</v>
      </c>
      <c r="C306" s="72"/>
      <c r="D306" s="72"/>
      <c r="E306" s="73"/>
      <c r="F306" s="73"/>
      <c r="G306" t="s">
        <v>1224</v>
      </c>
    </row>
    <row r="307" spans="1:7" x14ac:dyDescent="0.25">
      <c r="A307">
        <f t="shared" si="8"/>
        <v>0</v>
      </c>
      <c r="B307" s="3">
        <f t="shared" si="9"/>
        <v>0</v>
      </c>
      <c r="C307" s="72"/>
      <c r="D307" s="72"/>
      <c r="E307" s="73"/>
      <c r="F307" s="73"/>
      <c r="G307" t="s">
        <v>1224</v>
      </c>
    </row>
    <row r="308" spans="1:7" x14ac:dyDescent="0.25">
      <c r="A308">
        <f t="shared" si="8"/>
        <v>0</v>
      </c>
      <c r="B308" s="3">
        <f t="shared" si="9"/>
        <v>0</v>
      </c>
      <c r="C308" s="72"/>
      <c r="D308" s="72"/>
      <c r="E308" s="73"/>
      <c r="F308" s="73"/>
      <c r="G308" t="s">
        <v>1224</v>
      </c>
    </row>
    <row r="309" spans="1:7" x14ac:dyDescent="0.25">
      <c r="A309">
        <f t="shared" si="8"/>
        <v>0</v>
      </c>
      <c r="B309" s="3">
        <f t="shared" si="9"/>
        <v>0</v>
      </c>
      <c r="C309" s="72"/>
      <c r="D309" s="72"/>
      <c r="E309" s="73"/>
      <c r="F309" s="73"/>
      <c r="G309" t="s">
        <v>1224</v>
      </c>
    </row>
    <row r="310" spans="1:7" x14ac:dyDescent="0.25">
      <c r="A310">
        <f t="shared" si="8"/>
        <v>0</v>
      </c>
      <c r="B310" s="3">
        <f t="shared" si="9"/>
        <v>0</v>
      </c>
      <c r="C310" s="72"/>
      <c r="D310" s="72"/>
      <c r="E310" s="73"/>
      <c r="F310" s="73"/>
      <c r="G310" t="s">
        <v>1224</v>
      </c>
    </row>
    <row r="311" spans="1:7" x14ac:dyDescent="0.25">
      <c r="A311">
        <f t="shared" si="8"/>
        <v>0</v>
      </c>
      <c r="B311" s="3">
        <f t="shared" si="9"/>
        <v>0</v>
      </c>
      <c r="C311" s="72"/>
      <c r="D311" s="72"/>
      <c r="E311" s="73"/>
      <c r="F311" s="73"/>
      <c r="G311" t="s">
        <v>1224</v>
      </c>
    </row>
    <row r="312" spans="1:7" x14ac:dyDescent="0.25">
      <c r="A312">
        <f t="shared" si="8"/>
        <v>0</v>
      </c>
      <c r="B312" s="3">
        <f t="shared" si="9"/>
        <v>0</v>
      </c>
      <c r="C312" s="72"/>
      <c r="D312" s="72"/>
      <c r="E312" s="73"/>
      <c r="F312" s="73"/>
      <c r="G312" t="s">
        <v>1224</v>
      </c>
    </row>
    <row r="313" spans="1:7" x14ac:dyDescent="0.25">
      <c r="A313">
        <f t="shared" si="8"/>
        <v>0</v>
      </c>
      <c r="B313" s="3">
        <f t="shared" si="9"/>
        <v>0</v>
      </c>
      <c r="C313" s="72"/>
      <c r="D313" s="72"/>
      <c r="E313" s="73"/>
      <c r="F313" s="73"/>
      <c r="G313" t="s">
        <v>1224</v>
      </c>
    </row>
    <row r="314" spans="1:7" x14ac:dyDescent="0.25">
      <c r="A314">
        <f t="shared" si="8"/>
        <v>0</v>
      </c>
      <c r="B314" s="3">
        <f t="shared" si="9"/>
        <v>0</v>
      </c>
      <c r="C314" s="72"/>
      <c r="D314" s="72"/>
      <c r="E314" s="73"/>
      <c r="F314" s="73"/>
      <c r="G314" t="s">
        <v>1224</v>
      </c>
    </row>
    <row r="315" spans="1:7" x14ac:dyDescent="0.25">
      <c r="A315">
        <f t="shared" si="8"/>
        <v>0</v>
      </c>
      <c r="B315" s="3">
        <f t="shared" si="9"/>
        <v>0</v>
      </c>
      <c r="C315" s="72"/>
      <c r="D315" s="72"/>
      <c r="E315" s="73"/>
      <c r="F315" s="73"/>
      <c r="G315" t="s">
        <v>1224</v>
      </c>
    </row>
    <row r="316" spans="1:7" x14ac:dyDescent="0.25">
      <c r="A316">
        <f t="shared" si="8"/>
        <v>0</v>
      </c>
      <c r="B316" s="3">
        <f t="shared" si="9"/>
        <v>0</v>
      </c>
      <c r="C316" s="72"/>
      <c r="D316" s="72"/>
      <c r="E316" s="73"/>
      <c r="F316" s="73"/>
      <c r="G316" t="s">
        <v>1224</v>
      </c>
    </row>
    <row r="317" spans="1:7" x14ac:dyDescent="0.25">
      <c r="A317">
        <f t="shared" si="8"/>
        <v>0</v>
      </c>
      <c r="B317" s="3">
        <f t="shared" si="9"/>
        <v>0</v>
      </c>
      <c r="C317" s="72"/>
      <c r="D317" s="72"/>
      <c r="E317" s="73"/>
      <c r="F317" s="73"/>
      <c r="G317" t="s">
        <v>1224</v>
      </c>
    </row>
    <row r="318" spans="1:7" x14ac:dyDescent="0.25">
      <c r="A318">
        <f t="shared" si="8"/>
        <v>0</v>
      </c>
      <c r="B318" s="3">
        <f t="shared" si="9"/>
        <v>0</v>
      </c>
      <c r="C318" s="72"/>
      <c r="D318" s="72"/>
      <c r="E318" s="73"/>
      <c r="F318" s="73"/>
      <c r="G318" t="s">
        <v>1224</v>
      </c>
    </row>
    <row r="319" spans="1:7" x14ac:dyDescent="0.25">
      <c r="A319">
        <f t="shared" si="8"/>
        <v>0</v>
      </c>
      <c r="B319" s="3">
        <f t="shared" si="9"/>
        <v>0</v>
      </c>
      <c r="C319" s="72"/>
      <c r="D319" s="72"/>
      <c r="E319" s="73"/>
      <c r="F319" s="73"/>
      <c r="G319" t="s">
        <v>1224</v>
      </c>
    </row>
    <row r="320" spans="1:7" x14ac:dyDescent="0.25">
      <c r="A320">
        <f t="shared" si="8"/>
        <v>0</v>
      </c>
      <c r="B320" s="3">
        <f t="shared" si="9"/>
        <v>0</v>
      </c>
      <c r="C320" s="72"/>
      <c r="D320" s="72"/>
      <c r="E320" s="73"/>
      <c r="F320" s="73"/>
      <c r="G320" t="s">
        <v>1224</v>
      </c>
    </row>
    <row r="321" spans="1:7" x14ac:dyDescent="0.25">
      <c r="A321">
        <f t="shared" si="8"/>
        <v>0</v>
      </c>
      <c r="B321" s="3">
        <f t="shared" si="9"/>
        <v>0</v>
      </c>
      <c r="C321" s="72"/>
      <c r="D321" s="72"/>
      <c r="E321" s="73"/>
      <c r="F321" s="73"/>
      <c r="G321" t="s">
        <v>1224</v>
      </c>
    </row>
    <row r="322" spans="1:7" x14ac:dyDescent="0.25">
      <c r="A322">
        <f t="shared" si="8"/>
        <v>0</v>
      </c>
      <c r="B322" s="3">
        <f t="shared" si="9"/>
        <v>0</v>
      </c>
      <c r="C322" s="72"/>
      <c r="D322" s="72"/>
      <c r="E322" s="73"/>
      <c r="F322" s="73"/>
      <c r="G322" t="s">
        <v>1224</v>
      </c>
    </row>
    <row r="323" spans="1:7" x14ac:dyDescent="0.25">
      <c r="A323">
        <f t="shared" si="8"/>
        <v>0</v>
      </c>
      <c r="B323" s="3">
        <f t="shared" si="9"/>
        <v>0</v>
      </c>
      <c r="C323" s="72"/>
      <c r="D323" s="72"/>
      <c r="E323" s="73"/>
      <c r="F323" s="73"/>
      <c r="G323" t="s">
        <v>1224</v>
      </c>
    </row>
    <row r="324" spans="1:7" x14ac:dyDescent="0.25">
      <c r="A324">
        <f t="shared" si="8"/>
        <v>0</v>
      </c>
      <c r="B324" s="3">
        <f t="shared" si="9"/>
        <v>0</v>
      </c>
      <c r="C324" s="72"/>
      <c r="D324" s="72"/>
      <c r="E324" s="73"/>
      <c r="F324" s="73"/>
      <c r="G324" t="s">
        <v>1224</v>
      </c>
    </row>
    <row r="325" spans="1:7" x14ac:dyDescent="0.25">
      <c r="A325">
        <f t="shared" si="8"/>
        <v>0</v>
      </c>
      <c r="B325" s="3">
        <f t="shared" si="9"/>
        <v>0</v>
      </c>
      <c r="C325" s="72"/>
      <c r="D325" s="72"/>
      <c r="E325" s="73"/>
      <c r="F325" s="73"/>
      <c r="G325" t="s">
        <v>1224</v>
      </c>
    </row>
    <row r="326" spans="1:7" x14ac:dyDescent="0.25">
      <c r="A326">
        <f t="shared" si="8"/>
        <v>0</v>
      </c>
      <c r="B326" s="3">
        <f t="shared" si="9"/>
        <v>0</v>
      </c>
      <c r="C326" s="72"/>
      <c r="D326" s="72"/>
      <c r="E326" s="73"/>
      <c r="F326" s="73"/>
      <c r="G326" t="s">
        <v>1224</v>
      </c>
    </row>
    <row r="327" spans="1:7" x14ac:dyDescent="0.25">
      <c r="A327">
        <f t="shared" ref="A327:A390" si="10">IF(ISNUMBER(C327),C327*F327,)</f>
        <v>0</v>
      </c>
      <c r="B327" s="3">
        <f t="shared" ref="B327:B390" si="11">IF(C327&lt;&gt;"",1,0)</f>
        <v>0</v>
      </c>
      <c r="C327" s="72"/>
      <c r="D327" s="72"/>
      <c r="E327" s="73"/>
      <c r="F327" s="73"/>
      <c r="G327" t="s">
        <v>1224</v>
      </c>
    </row>
    <row r="328" spans="1:7" x14ac:dyDescent="0.25">
      <c r="A328">
        <f t="shared" si="10"/>
        <v>0</v>
      </c>
      <c r="B328" s="3">
        <f t="shared" si="11"/>
        <v>0</v>
      </c>
      <c r="C328" s="72"/>
      <c r="D328" s="72"/>
      <c r="E328" s="73"/>
      <c r="F328" s="73"/>
      <c r="G328" t="s">
        <v>1224</v>
      </c>
    </row>
    <row r="329" spans="1:7" x14ac:dyDescent="0.25">
      <c r="A329">
        <f t="shared" si="10"/>
        <v>0</v>
      </c>
      <c r="B329" s="3">
        <f t="shared" si="11"/>
        <v>0</v>
      </c>
      <c r="C329" s="72"/>
      <c r="D329" s="72"/>
      <c r="E329" s="73"/>
      <c r="F329" s="73"/>
      <c r="G329" t="s">
        <v>1224</v>
      </c>
    </row>
    <row r="330" spans="1:7" x14ac:dyDescent="0.25">
      <c r="A330">
        <f t="shared" si="10"/>
        <v>0</v>
      </c>
      <c r="B330" s="3">
        <f t="shared" si="11"/>
        <v>0</v>
      </c>
      <c r="C330" s="72"/>
      <c r="D330" s="72"/>
      <c r="E330" s="73"/>
      <c r="F330" s="73"/>
      <c r="G330" t="s">
        <v>1224</v>
      </c>
    </row>
    <row r="331" spans="1:7" x14ac:dyDescent="0.25">
      <c r="A331">
        <f t="shared" si="10"/>
        <v>0</v>
      </c>
      <c r="B331" s="3">
        <f t="shared" si="11"/>
        <v>0</v>
      </c>
      <c r="C331" s="72"/>
      <c r="D331" s="72"/>
      <c r="E331" s="73"/>
      <c r="F331" s="73"/>
      <c r="G331" t="s">
        <v>1224</v>
      </c>
    </row>
    <row r="332" spans="1:7" x14ac:dyDescent="0.25">
      <c r="A332">
        <f t="shared" si="10"/>
        <v>0</v>
      </c>
      <c r="B332" s="3">
        <f t="shared" si="11"/>
        <v>0</v>
      </c>
      <c r="C332" s="72"/>
      <c r="D332" s="72"/>
      <c r="E332" s="73"/>
      <c r="F332" s="73"/>
      <c r="G332" t="s">
        <v>1224</v>
      </c>
    </row>
    <row r="333" spans="1:7" x14ac:dyDescent="0.25">
      <c r="A333">
        <f t="shared" si="10"/>
        <v>0</v>
      </c>
      <c r="B333" s="3">
        <f t="shared" si="11"/>
        <v>0</v>
      </c>
      <c r="C333" s="72"/>
      <c r="D333" s="72"/>
      <c r="E333" s="73"/>
      <c r="F333" s="73"/>
      <c r="G333" t="s">
        <v>1224</v>
      </c>
    </row>
    <row r="334" spans="1:7" x14ac:dyDescent="0.25">
      <c r="A334">
        <f t="shared" si="10"/>
        <v>0</v>
      </c>
      <c r="B334" s="3">
        <f t="shared" si="11"/>
        <v>0</v>
      </c>
      <c r="C334" s="72"/>
      <c r="D334" s="72"/>
      <c r="E334" s="73"/>
      <c r="F334" s="73"/>
      <c r="G334" t="s">
        <v>1224</v>
      </c>
    </row>
    <row r="335" spans="1:7" x14ac:dyDescent="0.25">
      <c r="A335">
        <f t="shared" si="10"/>
        <v>0</v>
      </c>
      <c r="B335" s="3">
        <f t="shared" si="11"/>
        <v>0</v>
      </c>
      <c r="C335" s="72"/>
      <c r="D335" s="72"/>
      <c r="E335" s="73"/>
      <c r="F335" s="73"/>
      <c r="G335" t="s">
        <v>1224</v>
      </c>
    </row>
    <row r="336" spans="1:7" x14ac:dyDescent="0.25">
      <c r="A336">
        <f t="shared" si="10"/>
        <v>0</v>
      </c>
      <c r="B336" s="3">
        <f t="shared" si="11"/>
        <v>0</v>
      </c>
      <c r="C336" s="72"/>
      <c r="D336" s="72"/>
      <c r="E336" s="73"/>
      <c r="F336" s="73"/>
      <c r="G336" t="s">
        <v>1224</v>
      </c>
    </row>
    <row r="337" spans="1:7" x14ac:dyDescent="0.25">
      <c r="A337">
        <f t="shared" si="10"/>
        <v>0</v>
      </c>
      <c r="B337" s="3">
        <f t="shared" si="11"/>
        <v>0</v>
      </c>
      <c r="C337" s="72"/>
      <c r="D337" s="72"/>
      <c r="E337" s="73"/>
      <c r="F337" s="73"/>
      <c r="G337" t="s">
        <v>1224</v>
      </c>
    </row>
    <row r="338" spans="1:7" x14ac:dyDescent="0.25">
      <c r="A338">
        <f t="shared" si="10"/>
        <v>0</v>
      </c>
      <c r="B338" s="3">
        <f t="shared" si="11"/>
        <v>0</v>
      </c>
      <c r="C338" s="72"/>
      <c r="D338" s="72"/>
      <c r="E338" s="73"/>
      <c r="F338" s="73"/>
      <c r="G338" t="s">
        <v>1224</v>
      </c>
    </row>
    <row r="339" spans="1:7" x14ac:dyDescent="0.25">
      <c r="A339">
        <f t="shared" si="10"/>
        <v>0</v>
      </c>
      <c r="B339" s="3">
        <f t="shared" si="11"/>
        <v>0</v>
      </c>
      <c r="C339" s="72"/>
      <c r="D339" s="72"/>
      <c r="E339" s="73"/>
      <c r="F339" s="73"/>
      <c r="G339" t="s">
        <v>1224</v>
      </c>
    </row>
    <row r="340" spans="1:7" x14ac:dyDescent="0.25">
      <c r="A340">
        <f t="shared" si="10"/>
        <v>0</v>
      </c>
      <c r="B340" s="3">
        <f t="shared" si="11"/>
        <v>0</v>
      </c>
      <c r="C340" s="72"/>
      <c r="D340" s="72"/>
      <c r="E340" s="73"/>
      <c r="F340" s="73"/>
      <c r="G340" t="s">
        <v>1224</v>
      </c>
    </row>
    <row r="341" spans="1:7" x14ac:dyDescent="0.25">
      <c r="A341">
        <f t="shared" si="10"/>
        <v>0</v>
      </c>
      <c r="B341" s="3">
        <f t="shared" si="11"/>
        <v>0</v>
      </c>
      <c r="C341" s="72"/>
      <c r="D341" s="72"/>
      <c r="E341" s="73"/>
      <c r="F341" s="73"/>
      <c r="G341" t="s">
        <v>1224</v>
      </c>
    </row>
    <row r="342" spans="1:7" x14ac:dyDescent="0.25">
      <c r="A342">
        <f t="shared" si="10"/>
        <v>0</v>
      </c>
      <c r="B342" s="3">
        <f t="shared" si="11"/>
        <v>0</v>
      </c>
      <c r="C342" s="72"/>
      <c r="D342" s="72"/>
      <c r="E342" s="73"/>
      <c r="F342" s="73"/>
      <c r="G342" t="s">
        <v>1224</v>
      </c>
    </row>
    <row r="343" spans="1:7" x14ac:dyDescent="0.25">
      <c r="A343">
        <f t="shared" si="10"/>
        <v>0</v>
      </c>
      <c r="B343" s="3">
        <f t="shared" si="11"/>
        <v>0</v>
      </c>
      <c r="C343" s="72"/>
      <c r="D343" s="72"/>
      <c r="E343" s="73"/>
      <c r="F343" s="73"/>
      <c r="G343" t="s">
        <v>1224</v>
      </c>
    </row>
    <row r="344" spans="1:7" x14ac:dyDescent="0.25">
      <c r="A344">
        <f t="shared" si="10"/>
        <v>0</v>
      </c>
      <c r="B344" s="3">
        <f t="shared" si="11"/>
        <v>0</v>
      </c>
      <c r="C344" s="72"/>
      <c r="D344" s="72"/>
      <c r="E344" s="73"/>
      <c r="F344" s="73"/>
      <c r="G344" t="s">
        <v>1224</v>
      </c>
    </row>
    <row r="345" spans="1:7" x14ac:dyDescent="0.25">
      <c r="A345">
        <f t="shared" si="10"/>
        <v>0</v>
      </c>
      <c r="B345" s="3">
        <f t="shared" si="11"/>
        <v>0</v>
      </c>
      <c r="C345" s="72"/>
      <c r="D345" s="72"/>
      <c r="E345" s="73"/>
      <c r="F345" s="73"/>
      <c r="G345" t="s">
        <v>1224</v>
      </c>
    </row>
    <row r="346" spans="1:7" x14ac:dyDescent="0.25">
      <c r="A346">
        <f t="shared" si="10"/>
        <v>0</v>
      </c>
      <c r="B346" s="3">
        <f t="shared" si="11"/>
        <v>0</v>
      </c>
      <c r="C346" s="72"/>
      <c r="D346" s="72"/>
      <c r="E346" s="73"/>
      <c r="F346" s="73"/>
      <c r="G346" t="s">
        <v>1224</v>
      </c>
    </row>
    <row r="347" spans="1:7" x14ac:dyDescent="0.25">
      <c r="A347">
        <f t="shared" si="10"/>
        <v>0</v>
      </c>
      <c r="B347" s="3">
        <f t="shared" si="11"/>
        <v>0</v>
      </c>
      <c r="C347" s="72"/>
      <c r="D347" s="72"/>
      <c r="E347" s="73"/>
      <c r="F347" s="73"/>
      <c r="G347" t="s">
        <v>1224</v>
      </c>
    </row>
    <row r="348" spans="1:7" x14ac:dyDescent="0.25">
      <c r="A348">
        <f t="shared" si="10"/>
        <v>0</v>
      </c>
      <c r="B348" s="3">
        <f t="shared" si="11"/>
        <v>0</v>
      </c>
      <c r="C348" s="72"/>
      <c r="D348" s="72"/>
      <c r="E348" s="73"/>
      <c r="F348" s="73"/>
      <c r="G348" t="s">
        <v>1224</v>
      </c>
    </row>
    <row r="349" spans="1:7" x14ac:dyDescent="0.25">
      <c r="A349">
        <f t="shared" si="10"/>
        <v>0</v>
      </c>
      <c r="B349" s="3">
        <f t="shared" si="11"/>
        <v>0</v>
      </c>
      <c r="C349" s="72"/>
      <c r="D349" s="72"/>
      <c r="E349" s="73"/>
      <c r="F349" s="73"/>
      <c r="G349" t="s">
        <v>1224</v>
      </c>
    </row>
    <row r="350" spans="1:7" x14ac:dyDescent="0.25">
      <c r="A350">
        <f t="shared" si="10"/>
        <v>0</v>
      </c>
      <c r="B350" s="3">
        <f t="shared" si="11"/>
        <v>0</v>
      </c>
      <c r="C350" s="72"/>
      <c r="D350" s="72"/>
      <c r="E350" s="73"/>
      <c r="F350" s="73"/>
      <c r="G350" t="s">
        <v>1224</v>
      </c>
    </row>
    <row r="351" spans="1:7" x14ac:dyDescent="0.25">
      <c r="A351">
        <f t="shared" si="10"/>
        <v>0</v>
      </c>
      <c r="B351" s="3">
        <f t="shared" si="11"/>
        <v>0</v>
      </c>
      <c r="C351" s="72"/>
      <c r="D351" s="72"/>
      <c r="E351" s="73"/>
      <c r="F351" s="73"/>
      <c r="G351" t="s">
        <v>1224</v>
      </c>
    </row>
    <row r="352" spans="1:7" x14ac:dyDescent="0.25">
      <c r="A352">
        <f t="shared" si="10"/>
        <v>0</v>
      </c>
      <c r="B352" s="3">
        <f t="shared" si="11"/>
        <v>0</v>
      </c>
      <c r="C352" s="72"/>
      <c r="D352" s="72"/>
      <c r="E352" s="73"/>
      <c r="F352" s="73"/>
      <c r="G352" t="s">
        <v>1224</v>
      </c>
    </row>
    <row r="353" spans="1:7" x14ac:dyDescent="0.25">
      <c r="A353">
        <f t="shared" si="10"/>
        <v>0</v>
      </c>
      <c r="B353" s="3">
        <f t="shared" si="11"/>
        <v>0</v>
      </c>
      <c r="C353" s="72"/>
      <c r="D353" s="72"/>
      <c r="E353" s="73"/>
      <c r="F353" s="73"/>
      <c r="G353" t="s">
        <v>1224</v>
      </c>
    </row>
    <row r="354" spans="1:7" x14ac:dyDescent="0.25">
      <c r="A354">
        <f t="shared" si="10"/>
        <v>0</v>
      </c>
      <c r="B354" s="3">
        <f t="shared" si="11"/>
        <v>0</v>
      </c>
      <c r="C354" s="72"/>
      <c r="D354" s="72"/>
      <c r="E354" s="73"/>
      <c r="F354" s="73"/>
      <c r="G354" t="s">
        <v>1224</v>
      </c>
    </row>
    <row r="355" spans="1:7" x14ac:dyDescent="0.25">
      <c r="A355">
        <f t="shared" si="10"/>
        <v>0</v>
      </c>
      <c r="B355" s="3">
        <f t="shared" si="11"/>
        <v>0</v>
      </c>
      <c r="C355" s="72"/>
      <c r="D355" s="72"/>
      <c r="E355" s="73"/>
      <c r="F355" s="73"/>
      <c r="G355" t="s">
        <v>1224</v>
      </c>
    </row>
    <row r="356" spans="1:7" x14ac:dyDescent="0.25">
      <c r="A356">
        <f t="shared" si="10"/>
        <v>0</v>
      </c>
      <c r="B356" s="3">
        <f t="shared" si="11"/>
        <v>0</v>
      </c>
      <c r="C356" s="72"/>
      <c r="D356" s="72"/>
      <c r="E356" s="73"/>
      <c r="F356" s="73"/>
      <c r="G356" t="s">
        <v>1224</v>
      </c>
    </row>
    <row r="357" spans="1:7" x14ac:dyDescent="0.25">
      <c r="A357">
        <f t="shared" si="10"/>
        <v>0</v>
      </c>
      <c r="B357" s="3">
        <f t="shared" si="11"/>
        <v>0</v>
      </c>
      <c r="C357" s="72"/>
      <c r="D357" s="72"/>
      <c r="E357" s="73"/>
      <c r="F357" s="73"/>
      <c r="G357" t="s">
        <v>1224</v>
      </c>
    </row>
    <row r="358" spans="1:7" x14ac:dyDescent="0.25">
      <c r="A358">
        <f t="shared" si="10"/>
        <v>0</v>
      </c>
      <c r="B358" s="3">
        <f t="shared" si="11"/>
        <v>0</v>
      </c>
      <c r="C358" s="72"/>
      <c r="D358" s="72"/>
      <c r="E358" s="73"/>
      <c r="F358" s="73"/>
      <c r="G358" t="s">
        <v>1224</v>
      </c>
    </row>
    <row r="359" spans="1:7" x14ac:dyDescent="0.25">
      <c r="A359">
        <f t="shared" si="10"/>
        <v>0</v>
      </c>
      <c r="B359" s="3">
        <f t="shared" si="11"/>
        <v>0</v>
      </c>
      <c r="C359" s="72"/>
      <c r="D359" s="72"/>
      <c r="E359" s="73"/>
      <c r="F359" s="73"/>
      <c r="G359" t="s">
        <v>1224</v>
      </c>
    </row>
    <row r="360" spans="1:7" x14ac:dyDescent="0.25">
      <c r="A360">
        <f t="shared" si="10"/>
        <v>0</v>
      </c>
      <c r="B360" s="3">
        <f t="shared" si="11"/>
        <v>0</v>
      </c>
      <c r="C360" s="72"/>
      <c r="D360" s="72"/>
      <c r="E360" s="73"/>
      <c r="F360" s="73"/>
      <c r="G360" t="s">
        <v>1224</v>
      </c>
    </row>
    <row r="361" spans="1:7" x14ac:dyDescent="0.25">
      <c r="A361">
        <f t="shared" si="10"/>
        <v>0</v>
      </c>
      <c r="B361" s="3">
        <f t="shared" si="11"/>
        <v>0</v>
      </c>
      <c r="C361" s="72"/>
      <c r="D361" s="72"/>
      <c r="E361" s="73"/>
      <c r="F361" s="73"/>
      <c r="G361" t="s">
        <v>1224</v>
      </c>
    </row>
    <row r="362" spans="1:7" x14ac:dyDescent="0.25">
      <c r="A362">
        <f t="shared" si="10"/>
        <v>0</v>
      </c>
      <c r="B362" s="3">
        <f t="shared" si="11"/>
        <v>0</v>
      </c>
      <c r="C362" s="72"/>
      <c r="D362" s="72"/>
      <c r="E362" s="73"/>
      <c r="F362" s="73"/>
      <c r="G362" t="s">
        <v>1224</v>
      </c>
    </row>
    <row r="363" spans="1:7" x14ac:dyDescent="0.25">
      <c r="A363">
        <f t="shared" si="10"/>
        <v>0</v>
      </c>
      <c r="B363" s="3">
        <f t="shared" si="11"/>
        <v>0</v>
      </c>
      <c r="C363" s="72"/>
      <c r="D363" s="72"/>
      <c r="E363" s="73"/>
      <c r="F363" s="73"/>
      <c r="G363" t="s">
        <v>1224</v>
      </c>
    </row>
    <row r="364" spans="1:7" x14ac:dyDescent="0.25">
      <c r="A364">
        <f t="shared" si="10"/>
        <v>0</v>
      </c>
      <c r="B364" s="3">
        <f t="shared" si="11"/>
        <v>0</v>
      </c>
      <c r="C364" s="72"/>
      <c r="D364" s="72"/>
      <c r="E364" s="73"/>
      <c r="F364" s="73"/>
      <c r="G364" t="s">
        <v>1224</v>
      </c>
    </row>
    <row r="365" spans="1:7" x14ac:dyDescent="0.25">
      <c r="A365">
        <f t="shared" si="10"/>
        <v>0</v>
      </c>
      <c r="B365" s="3">
        <f t="shared" si="11"/>
        <v>0</v>
      </c>
      <c r="C365" s="72"/>
      <c r="D365" s="72"/>
      <c r="E365" s="73"/>
      <c r="F365" s="73"/>
      <c r="G365" t="s">
        <v>1224</v>
      </c>
    </row>
    <row r="366" spans="1:7" x14ac:dyDescent="0.25">
      <c r="A366">
        <f t="shared" si="10"/>
        <v>0</v>
      </c>
      <c r="B366" s="3">
        <f t="shared" si="11"/>
        <v>0</v>
      </c>
      <c r="C366" s="72"/>
      <c r="D366" s="72"/>
      <c r="E366" s="73"/>
      <c r="F366" s="73"/>
      <c r="G366" t="s">
        <v>1224</v>
      </c>
    </row>
    <row r="367" spans="1:7" x14ac:dyDescent="0.25">
      <c r="A367">
        <f t="shared" si="10"/>
        <v>0</v>
      </c>
      <c r="B367" s="3">
        <f t="shared" si="11"/>
        <v>0</v>
      </c>
      <c r="C367" s="72"/>
      <c r="D367" s="72"/>
      <c r="E367" s="73"/>
      <c r="F367" s="73"/>
      <c r="G367" t="s">
        <v>1224</v>
      </c>
    </row>
    <row r="368" spans="1:7" x14ac:dyDescent="0.25">
      <c r="A368">
        <f t="shared" si="10"/>
        <v>0</v>
      </c>
      <c r="B368" s="3">
        <f t="shared" si="11"/>
        <v>0</v>
      </c>
      <c r="C368" s="72"/>
      <c r="D368" s="72"/>
      <c r="E368" s="73"/>
      <c r="F368" s="73"/>
      <c r="G368" t="s">
        <v>1224</v>
      </c>
    </row>
    <row r="369" spans="1:7" x14ac:dyDescent="0.25">
      <c r="A369">
        <f t="shared" si="10"/>
        <v>0</v>
      </c>
      <c r="B369" s="3">
        <f t="shared" si="11"/>
        <v>0</v>
      </c>
      <c r="C369" s="72"/>
      <c r="D369" s="72"/>
      <c r="E369" s="73"/>
      <c r="F369" s="73"/>
      <c r="G369" t="s">
        <v>1224</v>
      </c>
    </row>
    <row r="370" spans="1:7" x14ac:dyDescent="0.25">
      <c r="A370">
        <f t="shared" si="10"/>
        <v>0</v>
      </c>
      <c r="B370" s="3">
        <f t="shared" si="11"/>
        <v>0</v>
      </c>
      <c r="C370" s="72"/>
      <c r="D370" s="72"/>
      <c r="E370" s="73"/>
      <c r="F370" s="73"/>
      <c r="G370" t="s">
        <v>1224</v>
      </c>
    </row>
    <row r="371" spans="1:7" x14ac:dyDescent="0.25">
      <c r="A371">
        <f t="shared" si="10"/>
        <v>0</v>
      </c>
      <c r="B371" s="3">
        <f t="shared" si="11"/>
        <v>0</v>
      </c>
      <c r="C371" s="72"/>
      <c r="D371" s="72"/>
      <c r="E371" s="73"/>
      <c r="F371" s="73"/>
      <c r="G371" t="s">
        <v>1224</v>
      </c>
    </row>
    <row r="372" spans="1:7" x14ac:dyDescent="0.25">
      <c r="A372">
        <f t="shared" si="10"/>
        <v>0</v>
      </c>
      <c r="B372" s="3">
        <f t="shared" si="11"/>
        <v>0</v>
      </c>
      <c r="C372" s="72"/>
      <c r="D372" s="72"/>
      <c r="E372" s="73"/>
      <c r="F372" s="73"/>
      <c r="G372" t="s">
        <v>1224</v>
      </c>
    </row>
    <row r="373" spans="1:7" x14ac:dyDescent="0.25">
      <c r="A373">
        <f t="shared" si="10"/>
        <v>0</v>
      </c>
      <c r="B373" s="3">
        <f t="shared" si="11"/>
        <v>0</v>
      </c>
      <c r="C373" s="72"/>
      <c r="D373" s="72"/>
      <c r="E373" s="73"/>
      <c r="F373" s="73"/>
      <c r="G373" t="s">
        <v>1224</v>
      </c>
    </row>
    <row r="374" spans="1:7" x14ac:dyDescent="0.25">
      <c r="A374">
        <f t="shared" si="10"/>
        <v>0</v>
      </c>
      <c r="B374" s="3">
        <f t="shared" si="11"/>
        <v>0</v>
      </c>
      <c r="C374" s="72"/>
      <c r="D374" s="72"/>
      <c r="E374" s="73"/>
      <c r="F374" s="73"/>
      <c r="G374" t="s">
        <v>1224</v>
      </c>
    </row>
    <row r="375" spans="1:7" x14ac:dyDescent="0.25">
      <c r="A375">
        <f t="shared" si="10"/>
        <v>0</v>
      </c>
      <c r="B375" s="3">
        <f t="shared" si="11"/>
        <v>0</v>
      </c>
      <c r="C375" s="72"/>
      <c r="D375" s="72"/>
      <c r="E375" s="73"/>
      <c r="F375" s="73"/>
      <c r="G375" t="s">
        <v>1224</v>
      </c>
    </row>
    <row r="376" spans="1:7" x14ac:dyDescent="0.25">
      <c r="A376">
        <f t="shared" si="10"/>
        <v>0</v>
      </c>
      <c r="B376" s="3">
        <f t="shared" si="11"/>
        <v>0</v>
      </c>
      <c r="C376" s="72"/>
      <c r="D376" s="72"/>
      <c r="E376" s="73"/>
      <c r="F376" s="73"/>
      <c r="G376" t="s">
        <v>1224</v>
      </c>
    </row>
    <row r="377" spans="1:7" x14ac:dyDescent="0.25">
      <c r="A377">
        <f t="shared" si="10"/>
        <v>0</v>
      </c>
      <c r="B377" s="3">
        <f t="shared" si="11"/>
        <v>0</v>
      </c>
      <c r="C377" s="72"/>
      <c r="D377" s="72"/>
      <c r="E377" s="73"/>
      <c r="F377" s="73"/>
      <c r="G377" t="s">
        <v>1224</v>
      </c>
    </row>
    <row r="378" spans="1:7" x14ac:dyDescent="0.25">
      <c r="A378">
        <f t="shared" si="10"/>
        <v>0</v>
      </c>
      <c r="B378" s="3">
        <f t="shared" si="11"/>
        <v>0</v>
      </c>
      <c r="C378" s="72"/>
      <c r="D378" s="72"/>
      <c r="E378" s="73"/>
      <c r="F378" s="73"/>
      <c r="G378" t="s">
        <v>1224</v>
      </c>
    </row>
    <row r="379" spans="1:7" x14ac:dyDescent="0.25">
      <c r="A379">
        <f t="shared" si="10"/>
        <v>0</v>
      </c>
      <c r="B379" s="3">
        <f t="shared" si="11"/>
        <v>0</v>
      </c>
      <c r="C379" s="72"/>
      <c r="D379" s="72"/>
      <c r="E379" s="73"/>
      <c r="F379" s="73"/>
      <c r="G379" t="s">
        <v>1224</v>
      </c>
    </row>
    <row r="380" spans="1:7" x14ac:dyDescent="0.25">
      <c r="A380">
        <f t="shared" si="10"/>
        <v>0</v>
      </c>
      <c r="B380" s="3">
        <f t="shared" si="11"/>
        <v>0</v>
      </c>
      <c r="C380" s="72"/>
      <c r="D380" s="72"/>
      <c r="E380" s="73"/>
      <c r="F380" s="73"/>
      <c r="G380" t="s">
        <v>1224</v>
      </c>
    </row>
    <row r="381" spans="1:7" x14ac:dyDescent="0.25">
      <c r="A381">
        <f t="shared" si="10"/>
        <v>0</v>
      </c>
      <c r="B381" s="3">
        <f t="shared" si="11"/>
        <v>0</v>
      </c>
      <c r="C381" s="72"/>
      <c r="D381" s="72"/>
      <c r="E381" s="73"/>
      <c r="F381" s="73"/>
      <c r="G381" t="s">
        <v>1224</v>
      </c>
    </row>
    <row r="382" spans="1:7" x14ac:dyDescent="0.25">
      <c r="A382">
        <f t="shared" si="10"/>
        <v>0</v>
      </c>
      <c r="B382" s="3">
        <f t="shared" si="11"/>
        <v>0</v>
      </c>
      <c r="C382" s="72"/>
      <c r="D382" s="72"/>
      <c r="E382" s="73"/>
      <c r="F382" s="73"/>
      <c r="G382" t="s">
        <v>1224</v>
      </c>
    </row>
    <row r="383" spans="1:7" x14ac:dyDescent="0.25">
      <c r="A383">
        <f t="shared" si="10"/>
        <v>0</v>
      </c>
      <c r="B383" s="3">
        <f t="shared" si="11"/>
        <v>0</v>
      </c>
      <c r="C383" s="72"/>
      <c r="D383" s="72"/>
      <c r="E383" s="73"/>
      <c r="F383" s="73"/>
      <c r="G383" t="s">
        <v>1224</v>
      </c>
    </row>
    <row r="384" spans="1:7" x14ac:dyDescent="0.25">
      <c r="A384">
        <f t="shared" si="10"/>
        <v>0</v>
      </c>
      <c r="B384" s="3">
        <f t="shared" si="11"/>
        <v>0</v>
      </c>
      <c r="C384" s="72"/>
      <c r="D384" s="72"/>
      <c r="E384" s="73"/>
      <c r="F384" s="73"/>
      <c r="G384" t="s">
        <v>1224</v>
      </c>
    </row>
    <row r="385" spans="1:7" x14ac:dyDescent="0.25">
      <c r="A385">
        <f t="shared" si="10"/>
        <v>0</v>
      </c>
      <c r="B385" s="3">
        <f t="shared" si="11"/>
        <v>0</v>
      </c>
      <c r="C385" s="72"/>
      <c r="D385" s="72"/>
      <c r="E385" s="73"/>
      <c r="F385" s="73"/>
      <c r="G385" t="s">
        <v>1224</v>
      </c>
    </row>
    <row r="386" spans="1:7" x14ac:dyDescent="0.25">
      <c r="A386">
        <f t="shared" si="10"/>
        <v>0</v>
      </c>
      <c r="B386" s="3">
        <f t="shared" si="11"/>
        <v>0</v>
      </c>
      <c r="C386" s="72"/>
      <c r="D386" s="72"/>
      <c r="E386" s="73"/>
      <c r="F386" s="73"/>
      <c r="G386" t="s">
        <v>1224</v>
      </c>
    </row>
    <row r="387" spans="1:7" x14ac:dyDescent="0.25">
      <c r="A387">
        <f t="shared" si="10"/>
        <v>0</v>
      </c>
      <c r="B387" s="3">
        <f t="shared" si="11"/>
        <v>0</v>
      </c>
      <c r="C387" s="72"/>
      <c r="D387" s="72"/>
      <c r="E387" s="73"/>
      <c r="F387" s="73"/>
      <c r="G387" t="s">
        <v>1224</v>
      </c>
    </row>
    <row r="388" spans="1:7" x14ac:dyDescent="0.25">
      <c r="A388">
        <f t="shared" si="10"/>
        <v>0</v>
      </c>
      <c r="B388" s="3">
        <f t="shared" si="11"/>
        <v>0</v>
      </c>
      <c r="C388" s="72"/>
      <c r="D388" s="72"/>
      <c r="E388" s="73"/>
      <c r="F388" s="73"/>
      <c r="G388" t="s">
        <v>1224</v>
      </c>
    </row>
    <row r="389" spans="1:7" x14ac:dyDescent="0.25">
      <c r="A389">
        <f t="shared" si="10"/>
        <v>0</v>
      </c>
      <c r="B389" s="3">
        <f t="shared" si="11"/>
        <v>0</v>
      </c>
      <c r="C389" s="72"/>
      <c r="D389" s="72"/>
      <c r="E389" s="73"/>
      <c r="F389" s="73"/>
      <c r="G389" t="s">
        <v>1224</v>
      </c>
    </row>
    <row r="390" spans="1:7" x14ac:dyDescent="0.25">
      <c r="A390">
        <f t="shared" si="10"/>
        <v>0</v>
      </c>
      <c r="B390" s="3">
        <f t="shared" si="11"/>
        <v>0</v>
      </c>
      <c r="C390" s="72"/>
      <c r="D390" s="72"/>
      <c r="E390" s="73"/>
      <c r="F390" s="73"/>
      <c r="G390" t="s">
        <v>1224</v>
      </c>
    </row>
    <row r="391" spans="1:7" x14ac:dyDescent="0.25">
      <c r="A391">
        <f t="shared" ref="A391:A454" si="12">IF(ISNUMBER(C391),C391*F391,)</f>
        <v>0</v>
      </c>
      <c r="B391" s="3">
        <f t="shared" ref="B391:B454" si="13">IF(C391&lt;&gt;"",1,0)</f>
        <v>0</v>
      </c>
      <c r="C391" s="72"/>
      <c r="D391" s="72"/>
      <c r="E391" s="73"/>
      <c r="F391" s="73"/>
      <c r="G391" t="s">
        <v>1224</v>
      </c>
    </row>
    <row r="392" spans="1:7" x14ac:dyDescent="0.25">
      <c r="A392">
        <f t="shared" si="12"/>
        <v>0</v>
      </c>
      <c r="B392" s="3">
        <f t="shared" si="13"/>
        <v>0</v>
      </c>
      <c r="C392" s="72"/>
      <c r="D392" s="72"/>
      <c r="E392" s="73"/>
      <c r="F392" s="73"/>
      <c r="G392" t="s">
        <v>1224</v>
      </c>
    </row>
    <row r="393" spans="1:7" x14ac:dyDescent="0.25">
      <c r="A393">
        <f t="shared" si="12"/>
        <v>0</v>
      </c>
      <c r="B393" s="3">
        <f t="shared" si="13"/>
        <v>0</v>
      </c>
      <c r="C393" s="72"/>
      <c r="D393" s="72"/>
      <c r="E393" s="73"/>
      <c r="F393" s="73"/>
      <c r="G393" t="s">
        <v>1224</v>
      </c>
    </row>
    <row r="394" spans="1:7" x14ac:dyDescent="0.25">
      <c r="A394">
        <f t="shared" si="12"/>
        <v>0</v>
      </c>
      <c r="B394" s="3">
        <f t="shared" si="13"/>
        <v>0</v>
      </c>
      <c r="C394" s="72"/>
      <c r="D394" s="72"/>
      <c r="E394" s="73"/>
      <c r="F394" s="73"/>
      <c r="G394" t="s">
        <v>1224</v>
      </c>
    </row>
    <row r="395" spans="1:7" x14ac:dyDescent="0.25">
      <c r="A395">
        <f t="shared" si="12"/>
        <v>0</v>
      </c>
      <c r="B395" s="3">
        <f t="shared" si="13"/>
        <v>0</v>
      </c>
      <c r="C395" s="72"/>
      <c r="D395" s="72"/>
      <c r="E395" s="73"/>
      <c r="F395" s="73"/>
      <c r="G395" t="s">
        <v>1224</v>
      </c>
    </row>
    <row r="396" spans="1:7" x14ac:dyDescent="0.25">
      <c r="A396">
        <f t="shared" si="12"/>
        <v>0</v>
      </c>
      <c r="B396" s="3">
        <f t="shared" si="13"/>
        <v>0</v>
      </c>
      <c r="C396" s="72"/>
      <c r="D396" s="72"/>
      <c r="E396" s="73"/>
      <c r="F396" s="73"/>
      <c r="G396" t="s">
        <v>1224</v>
      </c>
    </row>
    <row r="397" spans="1:7" x14ac:dyDescent="0.25">
      <c r="A397">
        <f t="shared" si="12"/>
        <v>0</v>
      </c>
      <c r="B397" s="3">
        <f t="shared" si="13"/>
        <v>0</v>
      </c>
      <c r="C397" s="72"/>
      <c r="D397" s="72"/>
      <c r="E397" s="73"/>
      <c r="F397" s="73"/>
      <c r="G397" t="s">
        <v>1224</v>
      </c>
    </row>
    <row r="398" spans="1:7" x14ac:dyDescent="0.25">
      <c r="A398">
        <f t="shared" si="12"/>
        <v>0</v>
      </c>
      <c r="B398" s="3">
        <f t="shared" si="13"/>
        <v>0</v>
      </c>
      <c r="C398" s="72"/>
      <c r="D398" s="72"/>
      <c r="E398" s="73"/>
      <c r="F398" s="73"/>
      <c r="G398" t="s">
        <v>1224</v>
      </c>
    </row>
    <row r="399" spans="1:7" x14ac:dyDescent="0.25">
      <c r="A399">
        <f t="shared" si="12"/>
        <v>0</v>
      </c>
      <c r="B399" s="3">
        <f t="shared" si="13"/>
        <v>0</v>
      </c>
      <c r="C399" s="72"/>
      <c r="D399" s="72"/>
      <c r="E399" s="73"/>
      <c r="F399" s="73"/>
      <c r="G399" t="s">
        <v>1224</v>
      </c>
    </row>
    <row r="400" spans="1:7" x14ac:dyDescent="0.25">
      <c r="A400">
        <f t="shared" si="12"/>
        <v>0</v>
      </c>
      <c r="B400" s="3">
        <f t="shared" si="13"/>
        <v>0</v>
      </c>
      <c r="C400" s="72"/>
      <c r="D400" s="72"/>
      <c r="E400" s="73"/>
      <c r="F400" s="73"/>
      <c r="G400" t="s">
        <v>1224</v>
      </c>
    </row>
    <row r="401" spans="1:7" x14ac:dyDescent="0.25">
      <c r="A401">
        <f t="shared" si="12"/>
        <v>0</v>
      </c>
      <c r="B401" s="3">
        <f t="shared" si="13"/>
        <v>0</v>
      </c>
      <c r="C401" s="72"/>
      <c r="D401" s="72"/>
      <c r="E401" s="73"/>
      <c r="F401" s="73"/>
      <c r="G401" t="s">
        <v>1224</v>
      </c>
    </row>
    <row r="402" spans="1:7" x14ac:dyDescent="0.25">
      <c r="A402">
        <f t="shared" si="12"/>
        <v>0</v>
      </c>
      <c r="B402" s="3">
        <f t="shared" si="13"/>
        <v>0</v>
      </c>
      <c r="C402" s="72"/>
      <c r="D402" s="72"/>
      <c r="E402" s="73"/>
      <c r="F402" s="73"/>
      <c r="G402" t="s">
        <v>1224</v>
      </c>
    </row>
    <row r="403" spans="1:7" x14ac:dyDescent="0.25">
      <c r="A403">
        <f t="shared" si="12"/>
        <v>0</v>
      </c>
      <c r="B403" s="3">
        <f t="shared" si="13"/>
        <v>0</v>
      </c>
      <c r="C403" s="72"/>
      <c r="D403" s="72"/>
      <c r="E403" s="73"/>
      <c r="F403" s="73"/>
      <c r="G403" t="s">
        <v>1224</v>
      </c>
    </row>
    <row r="404" spans="1:7" x14ac:dyDescent="0.25">
      <c r="A404">
        <f t="shared" si="12"/>
        <v>0</v>
      </c>
      <c r="B404" s="3">
        <f t="shared" si="13"/>
        <v>0</v>
      </c>
      <c r="C404" s="72"/>
      <c r="D404" s="72"/>
      <c r="E404" s="73"/>
      <c r="F404" s="73"/>
      <c r="G404" t="s">
        <v>1224</v>
      </c>
    </row>
    <row r="405" spans="1:7" x14ac:dyDescent="0.25">
      <c r="A405">
        <f t="shared" si="12"/>
        <v>0</v>
      </c>
      <c r="B405" s="3">
        <f t="shared" si="13"/>
        <v>0</v>
      </c>
      <c r="C405" s="72"/>
      <c r="D405" s="72"/>
      <c r="E405" s="73"/>
      <c r="F405" s="73"/>
      <c r="G405" t="s">
        <v>1224</v>
      </c>
    </row>
    <row r="406" spans="1:7" x14ac:dyDescent="0.25">
      <c r="A406">
        <f t="shared" si="12"/>
        <v>0</v>
      </c>
      <c r="B406" s="3">
        <f t="shared" si="13"/>
        <v>0</v>
      </c>
      <c r="C406" s="72"/>
      <c r="D406" s="72"/>
      <c r="E406" s="73"/>
      <c r="F406" s="73"/>
      <c r="G406" t="s">
        <v>1224</v>
      </c>
    </row>
    <row r="407" spans="1:7" x14ac:dyDescent="0.25">
      <c r="A407">
        <f t="shared" si="12"/>
        <v>0</v>
      </c>
      <c r="B407" s="3">
        <f t="shared" si="13"/>
        <v>0</v>
      </c>
      <c r="C407" s="72"/>
      <c r="D407" s="72"/>
      <c r="E407" s="73"/>
      <c r="F407" s="73"/>
      <c r="G407" t="s">
        <v>1224</v>
      </c>
    </row>
    <row r="408" spans="1:7" x14ac:dyDescent="0.25">
      <c r="A408">
        <f t="shared" si="12"/>
        <v>0</v>
      </c>
      <c r="B408" s="3">
        <f t="shared" si="13"/>
        <v>0</v>
      </c>
      <c r="C408" s="72"/>
      <c r="D408" s="72"/>
      <c r="E408" s="73"/>
      <c r="F408" s="73"/>
      <c r="G408" t="s">
        <v>1224</v>
      </c>
    </row>
    <row r="409" spans="1:7" x14ac:dyDescent="0.25">
      <c r="A409">
        <f t="shared" si="12"/>
        <v>0</v>
      </c>
      <c r="B409" s="3">
        <f t="shared" si="13"/>
        <v>0</v>
      </c>
      <c r="C409" s="72"/>
      <c r="D409" s="72"/>
      <c r="E409" s="73"/>
      <c r="F409" s="73"/>
      <c r="G409" t="s">
        <v>1224</v>
      </c>
    </row>
    <row r="410" spans="1:7" x14ac:dyDescent="0.25">
      <c r="A410">
        <f t="shared" si="12"/>
        <v>0</v>
      </c>
      <c r="B410" s="3">
        <f t="shared" si="13"/>
        <v>0</v>
      </c>
      <c r="C410" s="72"/>
      <c r="D410" s="72"/>
      <c r="E410" s="73"/>
      <c r="F410" s="73"/>
      <c r="G410" t="s">
        <v>1224</v>
      </c>
    </row>
    <row r="411" spans="1:7" x14ac:dyDescent="0.25">
      <c r="A411">
        <f t="shared" si="12"/>
        <v>0</v>
      </c>
      <c r="B411" s="3">
        <f t="shared" si="13"/>
        <v>0</v>
      </c>
      <c r="C411" s="72"/>
      <c r="D411" s="72"/>
      <c r="E411" s="73"/>
      <c r="F411" s="73"/>
      <c r="G411" t="s">
        <v>1224</v>
      </c>
    </row>
    <row r="412" spans="1:7" x14ac:dyDescent="0.25">
      <c r="A412">
        <f t="shared" si="12"/>
        <v>0</v>
      </c>
      <c r="B412" s="3">
        <f t="shared" si="13"/>
        <v>0</v>
      </c>
      <c r="C412" s="72"/>
      <c r="D412" s="72"/>
      <c r="E412" s="73"/>
      <c r="F412" s="73"/>
      <c r="G412" t="s">
        <v>1224</v>
      </c>
    </row>
    <row r="413" spans="1:7" x14ac:dyDescent="0.25">
      <c r="A413">
        <f t="shared" si="12"/>
        <v>0</v>
      </c>
      <c r="B413" s="3">
        <f t="shared" si="13"/>
        <v>0</v>
      </c>
      <c r="C413" s="72"/>
      <c r="D413" s="72"/>
      <c r="E413" s="73"/>
      <c r="F413" s="73"/>
      <c r="G413" t="s">
        <v>1224</v>
      </c>
    </row>
    <row r="414" spans="1:7" x14ac:dyDescent="0.25">
      <c r="A414">
        <f t="shared" si="12"/>
        <v>0</v>
      </c>
      <c r="B414" s="3">
        <f t="shared" si="13"/>
        <v>0</v>
      </c>
      <c r="C414" s="72"/>
      <c r="D414" s="72"/>
      <c r="E414" s="73"/>
      <c r="F414" s="73"/>
      <c r="G414" t="s">
        <v>1224</v>
      </c>
    </row>
    <row r="415" spans="1:7" x14ac:dyDescent="0.25">
      <c r="A415">
        <f t="shared" si="12"/>
        <v>0</v>
      </c>
      <c r="B415" s="3">
        <f t="shared" si="13"/>
        <v>0</v>
      </c>
      <c r="C415" s="72"/>
      <c r="D415" s="72"/>
      <c r="E415" s="73"/>
      <c r="F415" s="73"/>
      <c r="G415" t="s">
        <v>1224</v>
      </c>
    </row>
    <row r="416" spans="1:7" x14ac:dyDescent="0.25">
      <c r="A416">
        <f t="shared" si="12"/>
        <v>0</v>
      </c>
      <c r="B416" s="3">
        <f t="shared" si="13"/>
        <v>0</v>
      </c>
      <c r="C416" s="72"/>
      <c r="D416" s="72"/>
      <c r="E416" s="73"/>
      <c r="F416" s="73"/>
      <c r="G416" t="s">
        <v>1224</v>
      </c>
    </row>
    <row r="417" spans="1:7" x14ac:dyDescent="0.25">
      <c r="A417">
        <f t="shared" si="12"/>
        <v>0</v>
      </c>
      <c r="B417" s="3">
        <f t="shared" si="13"/>
        <v>0</v>
      </c>
      <c r="C417" s="72"/>
      <c r="D417" s="72"/>
      <c r="E417" s="73"/>
      <c r="F417" s="73"/>
      <c r="G417" t="s">
        <v>1224</v>
      </c>
    </row>
    <row r="418" spans="1:7" x14ac:dyDescent="0.25">
      <c r="A418">
        <f t="shared" si="12"/>
        <v>0</v>
      </c>
      <c r="B418" s="3">
        <f t="shared" si="13"/>
        <v>0</v>
      </c>
      <c r="C418" s="72"/>
      <c r="D418" s="72"/>
      <c r="E418" s="73"/>
      <c r="F418" s="73"/>
      <c r="G418" t="s">
        <v>1224</v>
      </c>
    </row>
    <row r="419" spans="1:7" x14ac:dyDescent="0.25">
      <c r="A419">
        <f t="shared" si="12"/>
        <v>0</v>
      </c>
      <c r="B419" s="3">
        <f t="shared" si="13"/>
        <v>0</v>
      </c>
      <c r="C419" s="72"/>
      <c r="D419" s="72"/>
      <c r="E419" s="73"/>
      <c r="F419" s="73"/>
      <c r="G419" t="s">
        <v>1224</v>
      </c>
    </row>
    <row r="420" spans="1:7" x14ac:dyDescent="0.25">
      <c r="A420">
        <f t="shared" si="12"/>
        <v>0</v>
      </c>
      <c r="B420" s="3">
        <f t="shared" si="13"/>
        <v>0</v>
      </c>
      <c r="C420" s="72"/>
      <c r="D420" s="72"/>
      <c r="E420" s="73"/>
      <c r="F420" s="73"/>
      <c r="G420" t="s">
        <v>1224</v>
      </c>
    </row>
    <row r="421" spans="1:7" x14ac:dyDescent="0.25">
      <c r="A421">
        <f t="shared" si="12"/>
        <v>0</v>
      </c>
      <c r="B421" s="3">
        <f t="shared" si="13"/>
        <v>0</v>
      </c>
      <c r="C421" s="72"/>
      <c r="D421" s="72"/>
      <c r="E421" s="73"/>
      <c r="F421" s="73"/>
      <c r="G421" t="s">
        <v>1224</v>
      </c>
    </row>
    <row r="422" spans="1:7" x14ac:dyDescent="0.25">
      <c r="A422">
        <f t="shared" si="12"/>
        <v>0</v>
      </c>
      <c r="B422" s="3">
        <f t="shared" si="13"/>
        <v>0</v>
      </c>
      <c r="C422" s="72"/>
      <c r="D422" s="72"/>
      <c r="E422" s="73"/>
      <c r="F422" s="73"/>
      <c r="G422" t="s">
        <v>1224</v>
      </c>
    </row>
    <row r="423" spans="1:7" x14ac:dyDescent="0.25">
      <c r="A423">
        <f t="shared" si="12"/>
        <v>0</v>
      </c>
      <c r="B423" s="3">
        <f t="shared" si="13"/>
        <v>0</v>
      </c>
      <c r="C423" s="72"/>
      <c r="D423" s="72"/>
      <c r="E423" s="73"/>
      <c r="F423" s="73"/>
      <c r="G423" t="s">
        <v>1224</v>
      </c>
    </row>
    <row r="424" spans="1:7" x14ac:dyDescent="0.25">
      <c r="A424">
        <f t="shared" si="12"/>
        <v>0</v>
      </c>
      <c r="B424" s="3">
        <f t="shared" si="13"/>
        <v>0</v>
      </c>
      <c r="C424" s="72"/>
      <c r="D424" s="72"/>
      <c r="E424" s="73"/>
      <c r="F424" s="73"/>
      <c r="G424" t="s">
        <v>1224</v>
      </c>
    </row>
    <row r="425" spans="1:7" x14ac:dyDescent="0.25">
      <c r="A425">
        <f t="shared" si="12"/>
        <v>0</v>
      </c>
      <c r="B425" s="3">
        <f t="shared" si="13"/>
        <v>0</v>
      </c>
      <c r="C425" s="72"/>
      <c r="D425" s="72"/>
      <c r="E425" s="73"/>
      <c r="F425" s="73"/>
      <c r="G425" t="s">
        <v>1224</v>
      </c>
    </row>
    <row r="426" spans="1:7" x14ac:dyDescent="0.25">
      <c r="A426">
        <f t="shared" si="12"/>
        <v>0</v>
      </c>
      <c r="B426" s="3">
        <f t="shared" si="13"/>
        <v>0</v>
      </c>
      <c r="C426" s="72"/>
      <c r="D426" s="72"/>
      <c r="E426" s="73"/>
      <c r="F426" s="73"/>
      <c r="G426" t="s">
        <v>1224</v>
      </c>
    </row>
    <row r="427" spans="1:7" x14ac:dyDescent="0.25">
      <c r="A427">
        <f t="shared" si="12"/>
        <v>0</v>
      </c>
      <c r="B427" s="3">
        <f t="shared" si="13"/>
        <v>0</v>
      </c>
      <c r="C427" s="72"/>
      <c r="D427" s="72"/>
      <c r="E427" s="73"/>
      <c r="F427" s="73"/>
      <c r="G427" t="s">
        <v>1224</v>
      </c>
    </row>
    <row r="428" spans="1:7" x14ac:dyDescent="0.25">
      <c r="A428">
        <f t="shared" si="12"/>
        <v>0</v>
      </c>
      <c r="B428" s="3">
        <f t="shared" si="13"/>
        <v>0</v>
      </c>
      <c r="C428" s="72"/>
      <c r="D428" s="72"/>
      <c r="E428" s="73"/>
      <c r="F428" s="73"/>
      <c r="G428" t="s">
        <v>1224</v>
      </c>
    </row>
    <row r="429" spans="1:7" x14ac:dyDescent="0.25">
      <c r="A429">
        <f t="shared" si="12"/>
        <v>0</v>
      </c>
      <c r="B429" s="3">
        <f t="shared" si="13"/>
        <v>0</v>
      </c>
      <c r="C429" s="72"/>
      <c r="D429" s="72"/>
      <c r="E429" s="73"/>
      <c r="F429" s="73"/>
      <c r="G429" t="s">
        <v>1224</v>
      </c>
    </row>
    <row r="430" spans="1:7" x14ac:dyDescent="0.25">
      <c r="A430">
        <f t="shared" si="12"/>
        <v>0</v>
      </c>
      <c r="B430" s="3">
        <f t="shared" si="13"/>
        <v>0</v>
      </c>
      <c r="C430" s="72"/>
      <c r="D430" s="72"/>
      <c r="E430" s="73"/>
      <c r="F430" s="73"/>
      <c r="G430" t="s">
        <v>1224</v>
      </c>
    </row>
    <row r="431" spans="1:7" x14ac:dyDescent="0.25">
      <c r="A431">
        <f t="shared" si="12"/>
        <v>0</v>
      </c>
      <c r="B431" s="3">
        <f t="shared" si="13"/>
        <v>0</v>
      </c>
      <c r="C431" s="72"/>
      <c r="D431" s="72"/>
      <c r="E431" s="73"/>
      <c r="F431" s="73"/>
      <c r="G431" t="s">
        <v>1224</v>
      </c>
    </row>
    <row r="432" spans="1:7" x14ac:dyDescent="0.25">
      <c r="A432">
        <f t="shared" si="12"/>
        <v>0</v>
      </c>
      <c r="B432" s="3">
        <f t="shared" si="13"/>
        <v>0</v>
      </c>
      <c r="C432" s="72"/>
      <c r="D432" s="72"/>
      <c r="E432" s="73"/>
      <c r="F432" s="73"/>
      <c r="G432" t="s">
        <v>1224</v>
      </c>
    </row>
    <row r="433" spans="1:7" x14ac:dyDescent="0.25">
      <c r="A433">
        <f t="shared" si="12"/>
        <v>0</v>
      </c>
      <c r="B433" s="3">
        <f t="shared" si="13"/>
        <v>0</v>
      </c>
      <c r="C433" s="72"/>
      <c r="D433" s="72"/>
      <c r="E433" s="73"/>
      <c r="F433" s="73"/>
      <c r="G433" t="s">
        <v>1224</v>
      </c>
    </row>
    <row r="434" spans="1:7" x14ac:dyDescent="0.25">
      <c r="A434">
        <f t="shared" si="12"/>
        <v>0</v>
      </c>
      <c r="B434" s="3">
        <f t="shared" si="13"/>
        <v>0</v>
      </c>
      <c r="C434" s="72"/>
      <c r="D434" s="72"/>
      <c r="E434" s="73"/>
      <c r="F434" s="73"/>
      <c r="G434" t="s">
        <v>1224</v>
      </c>
    </row>
    <row r="435" spans="1:7" x14ac:dyDescent="0.25">
      <c r="A435">
        <f t="shared" si="12"/>
        <v>0</v>
      </c>
      <c r="B435" s="3">
        <f t="shared" si="13"/>
        <v>0</v>
      </c>
      <c r="C435" s="72"/>
      <c r="D435" s="72"/>
      <c r="E435" s="73"/>
      <c r="F435" s="73"/>
      <c r="G435" t="s">
        <v>1224</v>
      </c>
    </row>
    <row r="436" spans="1:7" x14ac:dyDescent="0.25">
      <c r="A436">
        <f t="shared" si="12"/>
        <v>0</v>
      </c>
      <c r="B436" s="3">
        <f t="shared" si="13"/>
        <v>0</v>
      </c>
      <c r="C436" s="72"/>
      <c r="D436" s="72"/>
      <c r="E436" s="73"/>
      <c r="F436" s="73"/>
      <c r="G436" t="s">
        <v>1224</v>
      </c>
    </row>
    <row r="437" spans="1:7" x14ac:dyDescent="0.25">
      <c r="A437">
        <f t="shared" si="12"/>
        <v>0</v>
      </c>
      <c r="B437" s="3">
        <f t="shared" si="13"/>
        <v>0</v>
      </c>
      <c r="C437" s="72"/>
      <c r="D437" s="72"/>
      <c r="E437" s="73"/>
      <c r="F437" s="73"/>
      <c r="G437" t="s">
        <v>1224</v>
      </c>
    </row>
    <row r="438" spans="1:7" x14ac:dyDescent="0.25">
      <c r="A438">
        <f t="shared" si="12"/>
        <v>0</v>
      </c>
      <c r="B438" s="3">
        <f t="shared" si="13"/>
        <v>0</v>
      </c>
      <c r="C438" s="72"/>
      <c r="D438" s="72"/>
      <c r="E438" s="73"/>
      <c r="F438" s="73"/>
      <c r="G438" t="s">
        <v>1224</v>
      </c>
    </row>
    <row r="439" spans="1:7" x14ac:dyDescent="0.25">
      <c r="A439">
        <f t="shared" si="12"/>
        <v>0</v>
      </c>
      <c r="B439" s="3">
        <f t="shared" si="13"/>
        <v>0</v>
      </c>
      <c r="C439" s="72"/>
      <c r="D439" s="72"/>
      <c r="E439" s="73"/>
      <c r="F439" s="73"/>
      <c r="G439" t="s">
        <v>1224</v>
      </c>
    </row>
    <row r="440" spans="1:7" x14ac:dyDescent="0.25">
      <c r="A440">
        <f t="shared" si="12"/>
        <v>0</v>
      </c>
      <c r="B440" s="3">
        <f t="shared" si="13"/>
        <v>0</v>
      </c>
      <c r="C440" s="72"/>
      <c r="D440" s="72"/>
      <c r="E440" s="73"/>
      <c r="F440" s="73"/>
      <c r="G440" t="s">
        <v>1224</v>
      </c>
    </row>
    <row r="441" spans="1:7" x14ac:dyDescent="0.25">
      <c r="A441">
        <f t="shared" si="12"/>
        <v>0</v>
      </c>
      <c r="B441" s="3">
        <f t="shared" si="13"/>
        <v>0</v>
      </c>
      <c r="C441" s="72"/>
      <c r="D441" s="72"/>
      <c r="E441" s="73"/>
      <c r="F441" s="73"/>
      <c r="G441" t="s">
        <v>1224</v>
      </c>
    </row>
    <row r="442" spans="1:7" x14ac:dyDescent="0.25">
      <c r="A442">
        <f t="shared" si="12"/>
        <v>0</v>
      </c>
      <c r="B442" s="3">
        <f t="shared" si="13"/>
        <v>0</v>
      </c>
      <c r="C442" s="72"/>
      <c r="D442" s="72"/>
      <c r="E442" s="73"/>
      <c r="F442" s="73"/>
      <c r="G442" t="s">
        <v>1224</v>
      </c>
    </row>
    <row r="443" spans="1:7" x14ac:dyDescent="0.25">
      <c r="A443">
        <f t="shared" si="12"/>
        <v>0</v>
      </c>
      <c r="B443" s="3">
        <f t="shared" si="13"/>
        <v>0</v>
      </c>
      <c r="C443" s="72"/>
      <c r="D443" s="72"/>
      <c r="E443" s="73"/>
      <c r="F443" s="73"/>
      <c r="G443" t="s">
        <v>1224</v>
      </c>
    </row>
    <row r="444" spans="1:7" x14ac:dyDescent="0.25">
      <c r="A444">
        <f t="shared" si="12"/>
        <v>0</v>
      </c>
      <c r="B444" s="3">
        <f t="shared" si="13"/>
        <v>0</v>
      </c>
      <c r="C444" s="72"/>
      <c r="D444" s="72"/>
      <c r="E444" s="73"/>
      <c r="F444" s="73"/>
      <c r="G444" t="s">
        <v>1224</v>
      </c>
    </row>
    <row r="445" spans="1:7" x14ac:dyDescent="0.25">
      <c r="A445">
        <f t="shared" si="12"/>
        <v>0</v>
      </c>
      <c r="B445" s="3">
        <f t="shared" si="13"/>
        <v>0</v>
      </c>
      <c r="C445" s="72"/>
      <c r="D445" s="72"/>
      <c r="E445" s="73"/>
      <c r="F445" s="73"/>
      <c r="G445" t="s">
        <v>1224</v>
      </c>
    </row>
    <row r="446" spans="1:7" x14ac:dyDescent="0.25">
      <c r="A446">
        <f t="shared" si="12"/>
        <v>0</v>
      </c>
      <c r="B446" s="3">
        <f t="shared" si="13"/>
        <v>0</v>
      </c>
      <c r="C446" s="72"/>
      <c r="D446" s="72"/>
      <c r="E446" s="73"/>
      <c r="F446" s="73"/>
      <c r="G446" t="s">
        <v>1224</v>
      </c>
    </row>
    <row r="447" spans="1:7" x14ac:dyDescent="0.25">
      <c r="A447">
        <f t="shared" si="12"/>
        <v>0</v>
      </c>
      <c r="B447" s="3">
        <f t="shared" si="13"/>
        <v>0</v>
      </c>
      <c r="C447" s="72"/>
      <c r="D447" s="72"/>
      <c r="E447" s="73"/>
      <c r="F447" s="73"/>
      <c r="G447" t="s">
        <v>1224</v>
      </c>
    </row>
    <row r="448" spans="1:7" x14ac:dyDescent="0.25">
      <c r="A448">
        <f t="shared" si="12"/>
        <v>0</v>
      </c>
      <c r="B448" s="3">
        <f t="shared" si="13"/>
        <v>0</v>
      </c>
      <c r="C448" s="72"/>
      <c r="D448" s="72"/>
      <c r="E448" s="73"/>
      <c r="F448" s="73"/>
      <c r="G448" t="s">
        <v>1224</v>
      </c>
    </row>
    <row r="449" spans="1:7" x14ac:dyDescent="0.25">
      <c r="A449">
        <f t="shared" si="12"/>
        <v>0</v>
      </c>
      <c r="B449" s="3">
        <f t="shared" si="13"/>
        <v>0</v>
      </c>
      <c r="C449" s="72"/>
      <c r="D449" s="72"/>
      <c r="E449" s="73"/>
      <c r="F449" s="73"/>
      <c r="G449" t="s">
        <v>1224</v>
      </c>
    </row>
    <row r="450" spans="1:7" x14ac:dyDescent="0.25">
      <c r="A450">
        <f t="shared" si="12"/>
        <v>0</v>
      </c>
      <c r="B450" s="3">
        <f t="shared" si="13"/>
        <v>0</v>
      </c>
      <c r="C450" s="72"/>
      <c r="D450" s="72"/>
      <c r="E450" s="73"/>
      <c r="F450" s="73"/>
      <c r="G450" t="s">
        <v>1224</v>
      </c>
    </row>
    <row r="451" spans="1:7" x14ac:dyDescent="0.25">
      <c r="A451">
        <f t="shared" si="12"/>
        <v>0</v>
      </c>
      <c r="B451" s="3">
        <f t="shared" si="13"/>
        <v>0</v>
      </c>
      <c r="C451" s="72"/>
      <c r="D451" s="72"/>
      <c r="E451" s="73"/>
      <c r="F451" s="73"/>
      <c r="G451" t="s">
        <v>1224</v>
      </c>
    </row>
    <row r="452" spans="1:7" x14ac:dyDescent="0.25">
      <c r="A452">
        <f t="shared" si="12"/>
        <v>0</v>
      </c>
      <c r="B452" s="3">
        <f t="shared" si="13"/>
        <v>0</v>
      </c>
      <c r="C452" s="72"/>
      <c r="D452" s="72"/>
      <c r="E452" s="73"/>
      <c r="F452" s="73"/>
      <c r="G452" t="s">
        <v>1224</v>
      </c>
    </row>
    <row r="453" spans="1:7" x14ac:dyDescent="0.25">
      <c r="A453">
        <f t="shared" si="12"/>
        <v>0</v>
      </c>
      <c r="B453" s="3">
        <f t="shared" si="13"/>
        <v>0</v>
      </c>
      <c r="C453" s="72"/>
      <c r="D453" s="72"/>
      <c r="E453" s="73"/>
      <c r="F453" s="73"/>
      <c r="G453" t="s">
        <v>1224</v>
      </c>
    </row>
    <row r="454" spans="1:7" x14ac:dyDescent="0.25">
      <c r="A454">
        <f t="shared" si="12"/>
        <v>0</v>
      </c>
      <c r="B454" s="3">
        <f t="shared" si="13"/>
        <v>0</v>
      </c>
      <c r="C454" s="72"/>
      <c r="D454" s="72"/>
      <c r="E454" s="73"/>
      <c r="F454" s="73"/>
      <c r="G454" t="s">
        <v>1224</v>
      </c>
    </row>
    <row r="455" spans="1:7" x14ac:dyDescent="0.25">
      <c r="A455">
        <f t="shared" ref="A455:A518" si="14">IF(ISNUMBER(C455),C455*F455,)</f>
        <v>0</v>
      </c>
      <c r="B455" s="3">
        <f t="shared" ref="B455:B518" si="15">IF(C455&lt;&gt;"",1,0)</f>
        <v>0</v>
      </c>
      <c r="C455" s="72"/>
      <c r="D455" s="72"/>
      <c r="E455" s="73"/>
      <c r="F455" s="73"/>
      <c r="G455" t="s">
        <v>1224</v>
      </c>
    </row>
    <row r="456" spans="1:7" x14ac:dyDescent="0.25">
      <c r="A456">
        <f t="shared" si="14"/>
        <v>0</v>
      </c>
      <c r="B456" s="3">
        <f t="shared" si="15"/>
        <v>0</v>
      </c>
      <c r="C456" s="72"/>
      <c r="D456" s="72"/>
      <c r="E456" s="73"/>
      <c r="F456" s="73"/>
      <c r="G456" t="s">
        <v>1224</v>
      </c>
    </row>
    <row r="457" spans="1:7" x14ac:dyDescent="0.25">
      <c r="A457">
        <f t="shared" si="14"/>
        <v>0</v>
      </c>
      <c r="B457" s="3">
        <f t="shared" si="15"/>
        <v>0</v>
      </c>
      <c r="C457" s="72"/>
      <c r="D457" s="72"/>
      <c r="E457" s="73"/>
      <c r="F457" s="73"/>
      <c r="G457" t="s">
        <v>1224</v>
      </c>
    </row>
    <row r="458" spans="1:7" x14ac:dyDescent="0.25">
      <c r="A458">
        <f t="shared" si="14"/>
        <v>0</v>
      </c>
      <c r="B458" s="3">
        <f t="shared" si="15"/>
        <v>0</v>
      </c>
      <c r="C458" s="72"/>
      <c r="D458" s="72"/>
      <c r="E458" s="73"/>
      <c r="F458" s="73"/>
      <c r="G458" t="s">
        <v>1224</v>
      </c>
    </row>
    <row r="459" spans="1:7" x14ac:dyDescent="0.25">
      <c r="A459">
        <f t="shared" si="14"/>
        <v>0</v>
      </c>
      <c r="B459" s="3">
        <f t="shared" si="15"/>
        <v>0</v>
      </c>
      <c r="C459" s="72"/>
      <c r="D459" s="72"/>
      <c r="E459" s="73"/>
      <c r="F459" s="73"/>
      <c r="G459" t="s">
        <v>1224</v>
      </c>
    </row>
    <row r="460" spans="1:7" x14ac:dyDescent="0.25">
      <c r="A460">
        <f t="shared" si="14"/>
        <v>0</v>
      </c>
      <c r="B460" s="3">
        <f t="shared" si="15"/>
        <v>0</v>
      </c>
      <c r="C460" s="72"/>
      <c r="D460" s="72"/>
      <c r="E460" s="73"/>
      <c r="F460" s="73"/>
      <c r="G460" t="s">
        <v>1224</v>
      </c>
    </row>
    <row r="461" spans="1:7" x14ac:dyDescent="0.25">
      <c r="A461">
        <f t="shared" si="14"/>
        <v>0</v>
      </c>
      <c r="B461" s="3">
        <f t="shared" si="15"/>
        <v>0</v>
      </c>
      <c r="C461" s="72"/>
      <c r="D461" s="72"/>
      <c r="E461" s="73"/>
      <c r="F461" s="73"/>
      <c r="G461" t="s">
        <v>1224</v>
      </c>
    </row>
    <row r="462" spans="1:7" x14ac:dyDescent="0.25">
      <c r="A462">
        <f t="shared" si="14"/>
        <v>0</v>
      </c>
      <c r="B462" s="3">
        <f t="shared" si="15"/>
        <v>0</v>
      </c>
      <c r="C462" s="72"/>
      <c r="D462" s="72"/>
      <c r="E462" s="73"/>
      <c r="F462" s="73"/>
      <c r="G462" t="s">
        <v>1224</v>
      </c>
    </row>
    <row r="463" spans="1:7" x14ac:dyDescent="0.25">
      <c r="A463">
        <f t="shared" si="14"/>
        <v>0</v>
      </c>
      <c r="B463" s="3">
        <f t="shared" si="15"/>
        <v>0</v>
      </c>
      <c r="C463" s="72"/>
      <c r="D463" s="72"/>
      <c r="E463" s="73"/>
      <c r="F463" s="73"/>
      <c r="G463" t="s">
        <v>1224</v>
      </c>
    </row>
    <row r="464" spans="1:7" x14ac:dyDescent="0.25">
      <c r="A464">
        <f t="shared" si="14"/>
        <v>0</v>
      </c>
      <c r="B464" s="3">
        <f t="shared" si="15"/>
        <v>0</v>
      </c>
      <c r="C464" s="72"/>
      <c r="D464" s="72"/>
      <c r="E464" s="73"/>
      <c r="F464" s="73"/>
      <c r="G464" t="s">
        <v>1224</v>
      </c>
    </row>
    <row r="465" spans="1:7" x14ac:dyDescent="0.25">
      <c r="A465">
        <f t="shared" si="14"/>
        <v>0</v>
      </c>
      <c r="B465" s="3">
        <f t="shared" si="15"/>
        <v>0</v>
      </c>
      <c r="C465" s="72"/>
      <c r="D465" s="72"/>
      <c r="E465" s="73"/>
      <c r="F465" s="73"/>
      <c r="G465" t="s">
        <v>1224</v>
      </c>
    </row>
    <row r="466" spans="1:7" x14ac:dyDescent="0.25">
      <c r="A466">
        <f t="shared" si="14"/>
        <v>0</v>
      </c>
      <c r="B466" s="3">
        <f t="shared" si="15"/>
        <v>0</v>
      </c>
      <c r="C466" s="72"/>
      <c r="D466" s="72"/>
      <c r="E466" s="73"/>
      <c r="F466" s="73"/>
      <c r="G466" t="s">
        <v>1224</v>
      </c>
    </row>
    <row r="467" spans="1:7" x14ac:dyDescent="0.25">
      <c r="A467">
        <f t="shared" si="14"/>
        <v>0</v>
      </c>
      <c r="B467" s="3">
        <f t="shared" si="15"/>
        <v>0</v>
      </c>
      <c r="C467" s="72"/>
      <c r="D467" s="72"/>
      <c r="E467" s="73"/>
      <c r="F467" s="73"/>
      <c r="G467" t="s">
        <v>1224</v>
      </c>
    </row>
    <row r="468" spans="1:7" x14ac:dyDescent="0.25">
      <c r="A468">
        <f t="shared" si="14"/>
        <v>0</v>
      </c>
      <c r="B468" s="3">
        <f t="shared" si="15"/>
        <v>0</v>
      </c>
      <c r="C468" s="72"/>
      <c r="D468" s="72"/>
      <c r="E468" s="73"/>
      <c r="F468" s="73"/>
      <c r="G468" t="s">
        <v>1224</v>
      </c>
    </row>
    <row r="469" spans="1:7" x14ac:dyDescent="0.25">
      <c r="A469">
        <f t="shared" si="14"/>
        <v>0</v>
      </c>
      <c r="B469" s="3">
        <f t="shared" si="15"/>
        <v>0</v>
      </c>
      <c r="C469" s="72"/>
      <c r="D469" s="72"/>
      <c r="E469" s="73"/>
      <c r="F469" s="73"/>
      <c r="G469" t="s">
        <v>1224</v>
      </c>
    </row>
    <row r="470" spans="1:7" x14ac:dyDescent="0.25">
      <c r="A470">
        <f t="shared" si="14"/>
        <v>0</v>
      </c>
      <c r="B470" s="3">
        <f t="shared" si="15"/>
        <v>0</v>
      </c>
      <c r="C470" s="72"/>
      <c r="D470" s="72"/>
      <c r="E470" s="73"/>
      <c r="F470" s="73"/>
      <c r="G470" t="s">
        <v>1224</v>
      </c>
    </row>
    <row r="471" spans="1:7" x14ac:dyDescent="0.25">
      <c r="A471">
        <f t="shared" si="14"/>
        <v>0</v>
      </c>
      <c r="B471" s="3">
        <f t="shared" si="15"/>
        <v>0</v>
      </c>
      <c r="C471" s="72"/>
      <c r="D471" s="72"/>
      <c r="E471" s="73"/>
      <c r="F471" s="73"/>
      <c r="G471" t="s">
        <v>1224</v>
      </c>
    </row>
    <row r="472" spans="1:7" x14ac:dyDescent="0.25">
      <c r="A472">
        <f t="shared" si="14"/>
        <v>0</v>
      </c>
      <c r="B472" s="3">
        <f t="shared" si="15"/>
        <v>0</v>
      </c>
      <c r="C472" s="72"/>
      <c r="D472" s="72"/>
      <c r="E472" s="73"/>
      <c r="F472" s="73"/>
      <c r="G472" t="s">
        <v>1224</v>
      </c>
    </row>
    <row r="473" spans="1:7" x14ac:dyDescent="0.25">
      <c r="A473">
        <f t="shared" si="14"/>
        <v>0</v>
      </c>
      <c r="B473" s="3">
        <f t="shared" si="15"/>
        <v>0</v>
      </c>
      <c r="C473" s="72"/>
      <c r="D473" s="72"/>
      <c r="E473" s="73"/>
      <c r="F473" s="73"/>
      <c r="G473" t="s">
        <v>1224</v>
      </c>
    </row>
    <row r="474" spans="1:7" x14ac:dyDescent="0.25">
      <c r="A474">
        <f t="shared" si="14"/>
        <v>0</v>
      </c>
      <c r="B474" s="3">
        <f t="shared" si="15"/>
        <v>0</v>
      </c>
      <c r="C474" s="72"/>
      <c r="D474" s="72"/>
      <c r="E474" s="73"/>
      <c r="F474" s="73"/>
      <c r="G474" t="s">
        <v>1224</v>
      </c>
    </row>
    <row r="475" spans="1:7" x14ac:dyDescent="0.25">
      <c r="A475">
        <f t="shared" si="14"/>
        <v>0</v>
      </c>
      <c r="B475" s="3">
        <f t="shared" si="15"/>
        <v>0</v>
      </c>
      <c r="C475" s="72"/>
      <c r="D475" s="72"/>
      <c r="E475" s="73"/>
      <c r="F475" s="73"/>
      <c r="G475" t="s">
        <v>1224</v>
      </c>
    </row>
    <row r="476" spans="1:7" x14ac:dyDescent="0.25">
      <c r="A476">
        <f t="shared" si="14"/>
        <v>0</v>
      </c>
      <c r="B476" s="3">
        <f t="shared" si="15"/>
        <v>0</v>
      </c>
      <c r="C476" s="72"/>
      <c r="D476" s="72"/>
      <c r="E476" s="73"/>
      <c r="F476" s="73"/>
      <c r="G476" t="s">
        <v>1224</v>
      </c>
    </row>
    <row r="477" spans="1:7" x14ac:dyDescent="0.25">
      <c r="A477">
        <f t="shared" si="14"/>
        <v>0</v>
      </c>
      <c r="B477" s="3">
        <f t="shared" si="15"/>
        <v>0</v>
      </c>
      <c r="C477" s="72"/>
      <c r="D477" s="72"/>
      <c r="E477" s="73"/>
      <c r="F477" s="73"/>
      <c r="G477" t="s">
        <v>1224</v>
      </c>
    </row>
    <row r="478" spans="1:7" x14ac:dyDescent="0.25">
      <c r="A478">
        <f t="shared" si="14"/>
        <v>0</v>
      </c>
      <c r="B478" s="3">
        <f t="shared" si="15"/>
        <v>0</v>
      </c>
      <c r="C478" s="72"/>
      <c r="D478" s="72"/>
      <c r="E478" s="73"/>
      <c r="F478" s="73"/>
      <c r="G478" t="s">
        <v>1224</v>
      </c>
    </row>
    <row r="479" spans="1:7" x14ac:dyDescent="0.25">
      <c r="A479">
        <f t="shared" si="14"/>
        <v>0</v>
      </c>
      <c r="B479" s="3">
        <f t="shared" si="15"/>
        <v>0</v>
      </c>
      <c r="C479" s="72"/>
      <c r="D479" s="72"/>
      <c r="E479" s="73"/>
      <c r="F479" s="73"/>
      <c r="G479" t="s">
        <v>1224</v>
      </c>
    </row>
    <row r="480" spans="1:7" x14ac:dyDescent="0.25">
      <c r="A480">
        <f t="shared" si="14"/>
        <v>0</v>
      </c>
      <c r="B480" s="3">
        <f t="shared" si="15"/>
        <v>0</v>
      </c>
      <c r="C480" s="72"/>
      <c r="D480" s="72"/>
      <c r="E480" s="73"/>
      <c r="F480" s="73"/>
      <c r="G480" t="s">
        <v>1224</v>
      </c>
    </row>
    <row r="481" spans="1:10" x14ac:dyDescent="0.25">
      <c r="A481">
        <f t="shared" si="14"/>
        <v>0</v>
      </c>
      <c r="B481" s="3">
        <f t="shared" si="15"/>
        <v>0</v>
      </c>
      <c r="C481" s="72"/>
      <c r="D481" s="72"/>
      <c r="E481" s="73"/>
      <c r="F481" s="73"/>
      <c r="G481" t="s">
        <v>1224</v>
      </c>
      <c r="J481" t="s">
        <v>1225</v>
      </c>
    </row>
    <row r="482" spans="1:10" x14ac:dyDescent="0.25">
      <c r="A482">
        <f t="shared" si="14"/>
        <v>0</v>
      </c>
      <c r="B482" s="3">
        <f t="shared" si="15"/>
        <v>0</v>
      </c>
      <c r="C482" s="72"/>
      <c r="D482" s="72"/>
      <c r="E482" s="73"/>
      <c r="F482" s="73"/>
      <c r="G482" t="s">
        <v>1224</v>
      </c>
    </row>
    <row r="483" spans="1:10" x14ac:dyDescent="0.25">
      <c r="A483">
        <f t="shared" si="14"/>
        <v>0</v>
      </c>
      <c r="B483" s="3">
        <f t="shared" si="15"/>
        <v>0</v>
      </c>
      <c r="C483" s="72"/>
      <c r="D483" s="72"/>
      <c r="E483" s="73"/>
      <c r="F483" s="73"/>
      <c r="G483" t="s">
        <v>1224</v>
      </c>
    </row>
    <row r="484" spans="1:10" x14ac:dyDescent="0.25">
      <c r="A484">
        <f t="shared" si="14"/>
        <v>0</v>
      </c>
      <c r="B484" s="3">
        <f t="shared" si="15"/>
        <v>0</v>
      </c>
      <c r="C484" s="72"/>
      <c r="D484" s="72"/>
      <c r="E484" s="73"/>
      <c r="F484" s="73"/>
      <c r="G484" t="s">
        <v>1224</v>
      </c>
    </row>
    <row r="485" spans="1:10" x14ac:dyDescent="0.25">
      <c r="A485">
        <f t="shared" si="14"/>
        <v>0</v>
      </c>
      <c r="B485" s="3">
        <f t="shared" si="15"/>
        <v>0</v>
      </c>
      <c r="C485" s="72"/>
      <c r="D485" s="72"/>
      <c r="E485" s="73"/>
      <c r="F485" s="73"/>
      <c r="G485" t="s">
        <v>1224</v>
      </c>
    </row>
    <row r="486" spans="1:10" x14ac:dyDescent="0.25">
      <c r="A486">
        <f t="shared" si="14"/>
        <v>0</v>
      </c>
      <c r="B486" s="3">
        <f t="shared" si="15"/>
        <v>0</v>
      </c>
      <c r="C486" s="72"/>
      <c r="D486" s="72"/>
      <c r="E486" s="73"/>
      <c r="F486" s="73"/>
      <c r="G486" t="s">
        <v>1224</v>
      </c>
    </row>
    <row r="487" spans="1:10" x14ac:dyDescent="0.25">
      <c r="A487">
        <f t="shared" si="14"/>
        <v>0</v>
      </c>
      <c r="B487" s="3">
        <f t="shared" si="15"/>
        <v>0</v>
      </c>
      <c r="C487" s="72"/>
      <c r="D487" s="72"/>
      <c r="E487" s="73"/>
      <c r="F487" s="73"/>
      <c r="G487" t="s">
        <v>1224</v>
      </c>
    </row>
    <row r="488" spans="1:10" x14ac:dyDescent="0.25">
      <c r="A488">
        <f t="shared" si="14"/>
        <v>0</v>
      </c>
      <c r="B488" s="3">
        <f t="shared" si="15"/>
        <v>0</v>
      </c>
      <c r="C488" s="72"/>
      <c r="D488" s="72"/>
      <c r="E488" s="73"/>
      <c r="F488" s="73"/>
      <c r="G488" t="s">
        <v>1224</v>
      </c>
    </row>
    <row r="489" spans="1:10" x14ac:dyDescent="0.25">
      <c r="A489">
        <f t="shared" si="14"/>
        <v>0</v>
      </c>
      <c r="B489" s="3">
        <f t="shared" si="15"/>
        <v>0</v>
      </c>
      <c r="C489" s="72"/>
      <c r="D489" s="72"/>
      <c r="E489" s="73"/>
      <c r="F489" s="73"/>
      <c r="G489" t="s">
        <v>1224</v>
      </c>
    </row>
    <row r="490" spans="1:10" x14ac:dyDescent="0.25">
      <c r="A490">
        <f t="shared" si="14"/>
        <v>0</v>
      </c>
      <c r="B490" s="3">
        <f t="shared" si="15"/>
        <v>0</v>
      </c>
      <c r="C490" s="72"/>
      <c r="D490" s="72"/>
      <c r="E490" s="73"/>
      <c r="F490" s="73"/>
      <c r="G490" t="s">
        <v>1224</v>
      </c>
    </row>
    <row r="491" spans="1:10" x14ac:dyDescent="0.25">
      <c r="A491">
        <f t="shared" si="14"/>
        <v>0</v>
      </c>
      <c r="B491" s="3">
        <f t="shared" si="15"/>
        <v>0</v>
      </c>
      <c r="C491" s="72"/>
      <c r="D491" s="72"/>
      <c r="E491" s="73"/>
      <c r="F491" s="73"/>
      <c r="G491" t="s">
        <v>1224</v>
      </c>
    </row>
    <row r="492" spans="1:10" x14ac:dyDescent="0.25">
      <c r="A492">
        <f t="shared" si="14"/>
        <v>0</v>
      </c>
      <c r="B492" s="3">
        <f t="shared" si="15"/>
        <v>0</v>
      </c>
      <c r="C492" s="72"/>
      <c r="D492" s="72"/>
      <c r="E492" s="73"/>
      <c r="F492" s="73"/>
      <c r="G492" t="s">
        <v>1224</v>
      </c>
    </row>
    <row r="493" spans="1:10" x14ac:dyDescent="0.25">
      <c r="A493">
        <f t="shared" si="14"/>
        <v>0</v>
      </c>
      <c r="B493" s="3">
        <f t="shared" si="15"/>
        <v>0</v>
      </c>
      <c r="C493" s="72"/>
      <c r="D493" s="72"/>
      <c r="E493" s="73"/>
      <c r="F493" s="73"/>
      <c r="G493" t="s">
        <v>1224</v>
      </c>
    </row>
    <row r="494" spans="1:10" x14ac:dyDescent="0.25">
      <c r="A494">
        <f t="shared" si="14"/>
        <v>0</v>
      </c>
      <c r="B494" s="3">
        <f t="shared" si="15"/>
        <v>0</v>
      </c>
      <c r="C494" s="72"/>
      <c r="D494" s="72"/>
      <c r="E494" s="73"/>
      <c r="F494" s="73"/>
      <c r="G494" t="s">
        <v>1224</v>
      </c>
    </row>
    <row r="495" spans="1:10" x14ac:dyDescent="0.25">
      <c r="A495">
        <f t="shared" si="14"/>
        <v>0</v>
      </c>
      <c r="B495" s="3">
        <f t="shared" si="15"/>
        <v>0</v>
      </c>
      <c r="C495" s="72"/>
      <c r="D495" s="72"/>
      <c r="E495" s="73"/>
      <c r="F495" s="73"/>
      <c r="G495" t="s">
        <v>1224</v>
      </c>
    </row>
    <row r="496" spans="1:10" x14ac:dyDescent="0.25">
      <c r="A496">
        <f t="shared" si="14"/>
        <v>0</v>
      </c>
      <c r="B496" s="3">
        <f t="shared" si="15"/>
        <v>0</v>
      </c>
      <c r="C496" s="72"/>
      <c r="D496" s="72"/>
      <c r="E496" s="73"/>
      <c r="F496" s="73"/>
      <c r="G496" t="s">
        <v>1224</v>
      </c>
    </row>
    <row r="497" spans="1:7" x14ac:dyDescent="0.25">
      <c r="A497">
        <f t="shared" si="14"/>
        <v>0</v>
      </c>
      <c r="B497" s="3">
        <f t="shared" si="15"/>
        <v>0</v>
      </c>
      <c r="C497" s="72"/>
      <c r="D497" s="72"/>
      <c r="E497" s="73"/>
      <c r="F497" s="73"/>
      <c r="G497" t="s">
        <v>1224</v>
      </c>
    </row>
    <row r="498" spans="1:7" x14ac:dyDescent="0.25">
      <c r="A498">
        <f t="shared" si="14"/>
        <v>0</v>
      </c>
      <c r="B498" s="3">
        <f t="shared" si="15"/>
        <v>0</v>
      </c>
      <c r="C498" s="72"/>
      <c r="D498" s="72"/>
      <c r="E498" s="73"/>
      <c r="F498" s="73"/>
      <c r="G498" t="s">
        <v>1224</v>
      </c>
    </row>
    <row r="499" spans="1:7" x14ac:dyDescent="0.25">
      <c r="A499">
        <f t="shared" si="14"/>
        <v>0</v>
      </c>
      <c r="B499" s="3">
        <f t="shared" si="15"/>
        <v>0</v>
      </c>
      <c r="C499" s="72"/>
      <c r="D499" s="72"/>
      <c r="E499" s="73"/>
      <c r="F499" s="73"/>
      <c r="G499" t="s">
        <v>1224</v>
      </c>
    </row>
    <row r="500" spans="1:7" x14ac:dyDescent="0.25">
      <c r="A500">
        <f t="shared" si="14"/>
        <v>0</v>
      </c>
      <c r="B500" s="3">
        <f t="shared" si="15"/>
        <v>0</v>
      </c>
      <c r="C500" s="72"/>
      <c r="D500" s="72"/>
      <c r="E500" s="73"/>
      <c r="F500" s="73"/>
      <c r="G500" t="s">
        <v>1224</v>
      </c>
    </row>
    <row r="501" spans="1:7" x14ac:dyDescent="0.25">
      <c r="A501">
        <f t="shared" si="14"/>
        <v>0</v>
      </c>
      <c r="B501" s="3">
        <f t="shared" si="15"/>
        <v>0</v>
      </c>
      <c r="C501" s="72"/>
      <c r="D501" s="72"/>
      <c r="E501" s="73"/>
      <c r="F501" s="73"/>
      <c r="G501" t="s">
        <v>1224</v>
      </c>
    </row>
    <row r="502" spans="1:7" x14ac:dyDescent="0.25">
      <c r="A502">
        <f t="shared" si="14"/>
        <v>0</v>
      </c>
      <c r="B502" s="3">
        <f t="shared" si="15"/>
        <v>0</v>
      </c>
      <c r="C502" s="72"/>
      <c r="D502" s="72"/>
      <c r="E502" s="73"/>
      <c r="F502" s="73"/>
      <c r="G502" t="s">
        <v>1224</v>
      </c>
    </row>
    <row r="503" spans="1:7" x14ac:dyDescent="0.25">
      <c r="A503">
        <f t="shared" si="14"/>
        <v>0</v>
      </c>
      <c r="B503" s="3">
        <f t="shared" si="15"/>
        <v>0</v>
      </c>
      <c r="C503" s="72"/>
      <c r="D503" s="72"/>
      <c r="E503" s="73"/>
      <c r="F503" s="73"/>
      <c r="G503" t="s">
        <v>1224</v>
      </c>
    </row>
    <row r="504" spans="1:7" x14ac:dyDescent="0.25">
      <c r="A504">
        <f t="shared" si="14"/>
        <v>0</v>
      </c>
      <c r="B504" s="3">
        <f t="shared" si="15"/>
        <v>0</v>
      </c>
      <c r="C504" s="72"/>
      <c r="D504" s="72"/>
      <c r="E504" s="73"/>
      <c r="F504" s="73"/>
      <c r="G504" t="s">
        <v>1224</v>
      </c>
    </row>
    <row r="505" spans="1:7" x14ac:dyDescent="0.25">
      <c r="A505">
        <f t="shared" si="14"/>
        <v>0</v>
      </c>
      <c r="B505" s="3">
        <f t="shared" si="15"/>
        <v>0</v>
      </c>
      <c r="C505" s="72"/>
      <c r="D505" s="72"/>
      <c r="E505" s="73"/>
      <c r="F505" s="73"/>
      <c r="G505" t="s">
        <v>1224</v>
      </c>
    </row>
    <row r="506" spans="1:7" x14ac:dyDescent="0.25">
      <c r="A506">
        <f t="shared" si="14"/>
        <v>0</v>
      </c>
      <c r="B506" s="3">
        <f t="shared" si="15"/>
        <v>0</v>
      </c>
      <c r="C506" s="72"/>
      <c r="D506" s="72"/>
      <c r="E506" s="73"/>
      <c r="F506" s="73"/>
      <c r="G506" t="s">
        <v>1224</v>
      </c>
    </row>
    <row r="507" spans="1:7" x14ac:dyDescent="0.25">
      <c r="A507">
        <f t="shared" si="14"/>
        <v>0</v>
      </c>
      <c r="B507" s="3">
        <f t="shared" si="15"/>
        <v>0</v>
      </c>
      <c r="C507" s="72"/>
      <c r="D507" s="72"/>
      <c r="E507" s="73"/>
      <c r="F507" s="73"/>
      <c r="G507" t="s">
        <v>1224</v>
      </c>
    </row>
    <row r="508" spans="1:7" x14ac:dyDescent="0.25">
      <c r="A508">
        <f t="shared" si="14"/>
        <v>0</v>
      </c>
      <c r="B508" s="3">
        <f t="shared" si="15"/>
        <v>0</v>
      </c>
      <c r="C508" s="72"/>
      <c r="D508" s="72"/>
      <c r="E508" s="73"/>
      <c r="F508" s="73"/>
      <c r="G508" t="s">
        <v>1224</v>
      </c>
    </row>
    <row r="509" spans="1:7" x14ac:dyDescent="0.25">
      <c r="A509">
        <f t="shared" si="14"/>
        <v>0</v>
      </c>
      <c r="B509" s="3">
        <f t="shared" si="15"/>
        <v>0</v>
      </c>
      <c r="C509" s="72"/>
      <c r="D509" s="72"/>
      <c r="E509" s="73"/>
      <c r="F509" s="73"/>
      <c r="G509" t="s">
        <v>1224</v>
      </c>
    </row>
    <row r="510" spans="1:7" x14ac:dyDescent="0.25">
      <c r="A510">
        <f t="shared" si="14"/>
        <v>0</v>
      </c>
      <c r="B510" s="3">
        <f t="shared" si="15"/>
        <v>0</v>
      </c>
      <c r="C510" s="72"/>
      <c r="D510" s="72"/>
      <c r="E510" s="73"/>
      <c r="F510" s="73"/>
      <c r="G510" t="s">
        <v>1224</v>
      </c>
    </row>
    <row r="511" spans="1:7" x14ac:dyDescent="0.25">
      <c r="A511">
        <f t="shared" si="14"/>
        <v>0</v>
      </c>
      <c r="B511" s="3">
        <f t="shared" si="15"/>
        <v>0</v>
      </c>
      <c r="C511" s="72"/>
      <c r="D511" s="72"/>
      <c r="E511" s="73"/>
      <c r="F511" s="73"/>
      <c r="G511" t="s">
        <v>1224</v>
      </c>
    </row>
    <row r="512" spans="1:7" x14ac:dyDescent="0.25">
      <c r="A512">
        <f t="shared" si="14"/>
        <v>0</v>
      </c>
      <c r="B512" s="3">
        <f t="shared" si="15"/>
        <v>0</v>
      </c>
      <c r="C512" s="72"/>
      <c r="D512" s="72"/>
      <c r="E512" s="73"/>
      <c r="F512" s="73"/>
      <c r="G512" t="s">
        <v>1224</v>
      </c>
    </row>
    <row r="513" spans="1:7" x14ac:dyDescent="0.25">
      <c r="A513">
        <f t="shared" si="14"/>
        <v>0</v>
      </c>
      <c r="B513" s="3">
        <f t="shared" si="15"/>
        <v>0</v>
      </c>
      <c r="C513" s="72"/>
      <c r="D513" s="72"/>
      <c r="E513" s="73"/>
      <c r="F513" s="73"/>
      <c r="G513" t="s">
        <v>1224</v>
      </c>
    </row>
    <row r="514" spans="1:7" x14ac:dyDescent="0.25">
      <c r="A514">
        <f t="shared" si="14"/>
        <v>0</v>
      </c>
      <c r="B514" s="3">
        <f t="shared" si="15"/>
        <v>0</v>
      </c>
      <c r="C514" s="72"/>
      <c r="D514" s="72"/>
      <c r="E514" s="73"/>
      <c r="F514" s="73"/>
      <c r="G514" t="s">
        <v>1224</v>
      </c>
    </row>
    <row r="515" spans="1:7" x14ac:dyDescent="0.25">
      <c r="A515">
        <f t="shared" si="14"/>
        <v>0</v>
      </c>
      <c r="B515" s="3">
        <f t="shared" si="15"/>
        <v>0</v>
      </c>
      <c r="C515" s="72"/>
      <c r="D515" s="72"/>
      <c r="E515" s="73"/>
      <c r="F515" s="73"/>
      <c r="G515" t="s">
        <v>1224</v>
      </c>
    </row>
    <row r="516" spans="1:7" x14ac:dyDescent="0.25">
      <c r="A516">
        <f t="shared" si="14"/>
        <v>0</v>
      </c>
      <c r="B516" s="3">
        <f t="shared" si="15"/>
        <v>0</v>
      </c>
      <c r="C516" s="72"/>
      <c r="D516" s="72"/>
      <c r="E516" s="73"/>
      <c r="F516" s="73"/>
      <c r="G516" t="s">
        <v>1224</v>
      </c>
    </row>
    <row r="517" spans="1:7" x14ac:dyDescent="0.25">
      <c r="A517">
        <f t="shared" si="14"/>
        <v>0</v>
      </c>
      <c r="B517" s="3">
        <f t="shared" si="15"/>
        <v>0</v>
      </c>
      <c r="C517" s="72"/>
      <c r="D517" s="72"/>
      <c r="E517" s="73"/>
      <c r="F517" s="73"/>
      <c r="G517" t="s">
        <v>1224</v>
      </c>
    </row>
    <row r="518" spans="1:7" x14ac:dyDescent="0.25">
      <c r="A518">
        <f t="shared" si="14"/>
        <v>0</v>
      </c>
      <c r="B518" s="3">
        <f t="shared" si="15"/>
        <v>0</v>
      </c>
      <c r="C518" s="72"/>
      <c r="D518" s="72"/>
      <c r="E518" s="73"/>
      <c r="F518" s="73"/>
      <c r="G518" t="s">
        <v>1224</v>
      </c>
    </row>
    <row r="519" spans="1:7" x14ac:dyDescent="0.25">
      <c r="A519">
        <f t="shared" ref="A519:A582" si="16">IF(ISNUMBER(C519),C519*F519,)</f>
        <v>0</v>
      </c>
      <c r="B519" s="3">
        <f t="shared" ref="B519:B582" si="17">IF(C519&lt;&gt;"",1,0)</f>
        <v>0</v>
      </c>
      <c r="C519" s="72"/>
      <c r="D519" s="72"/>
      <c r="E519" s="73"/>
      <c r="F519" s="73"/>
      <c r="G519" t="s">
        <v>1224</v>
      </c>
    </row>
    <row r="520" spans="1:7" x14ac:dyDescent="0.25">
      <c r="A520">
        <f t="shared" si="16"/>
        <v>0</v>
      </c>
      <c r="B520" s="3">
        <f t="shared" si="17"/>
        <v>0</v>
      </c>
      <c r="C520" s="72"/>
      <c r="D520" s="72"/>
      <c r="E520" s="73"/>
      <c r="F520" s="73"/>
      <c r="G520" t="s">
        <v>1224</v>
      </c>
    </row>
    <row r="521" spans="1:7" x14ac:dyDescent="0.25">
      <c r="A521">
        <f t="shared" si="16"/>
        <v>0</v>
      </c>
      <c r="B521" s="3">
        <f t="shared" si="17"/>
        <v>0</v>
      </c>
      <c r="C521" s="72"/>
      <c r="D521" s="72"/>
      <c r="E521" s="73"/>
      <c r="F521" s="73"/>
      <c r="G521" t="s">
        <v>1224</v>
      </c>
    </row>
    <row r="522" spans="1:7" x14ac:dyDescent="0.25">
      <c r="A522">
        <f t="shared" si="16"/>
        <v>0</v>
      </c>
      <c r="B522" s="3">
        <f t="shared" si="17"/>
        <v>0</v>
      </c>
      <c r="C522" s="72"/>
      <c r="D522" s="72"/>
      <c r="E522" s="73"/>
      <c r="F522" s="73"/>
      <c r="G522" t="s">
        <v>1224</v>
      </c>
    </row>
    <row r="523" spans="1:7" x14ac:dyDescent="0.25">
      <c r="A523">
        <f t="shared" si="16"/>
        <v>0</v>
      </c>
      <c r="B523" s="3">
        <f t="shared" si="17"/>
        <v>0</v>
      </c>
      <c r="C523" s="72"/>
      <c r="D523" s="72"/>
      <c r="E523" s="73"/>
      <c r="F523" s="73"/>
      <c r="G523" t="s">
        <v>1224</v>
      </c>
    </row>
    <row r="524" spans="1:7" x14ac:dyDescent="0.25">
      <c r="A524">
        <f t="shared" si="16"/>
        <v>0</v>
      </c>
      <c r="B524" s="3">
        <f t="shared" si="17"/>
        <v>0</v>
      </c>
      <c r="C524" s="72"/>
      <c r="D524" s="72"/>
      <c r="E524" s="73"/>
      <c r="F524" s="73"/>
      <c r="G524" t="s">
        <v>1224</v>
      </c>
    </row>
    <row r="525" spans="1:7" x14ac:dyDescent="0.25">
      <c r="A525">
        <f t="shared" si="16"/>
        <v>0</v>
      </c>
      <c r="B525" s="3">
        <f t="shared" si="17"/>
        <v>0</v>
      </c>
      <c r="C525" s="72"/>
      <c r="D525" s="72"/>
      <c r="E525" s="73"/>
      <c r="F525" s="73"/>
      <c r="G525" t="s">
        <v>1224</v>
      </c>
    </row>
    <row r="526" spans="1:7" x14ac:dyDescent="0.25">
      <c r="A526">
        <f t="shared" si="16"/>
        <v>0</v>
      </c>
      <c r="B526" s="3">
        <f t="shared" si="17"/>
        <v>0</v>
      </c>
      <c r="C526" s="72"/>
      <c r="D526" s="72"/>
      <c r="E526" s="73"/>
      <c r="F526" s="73"/>
      <c r="G526" t="s">
        <v>1224</v>
      </c>
    </row>
    <row r="527" spans="1:7" x14ac:dyDescent="0.25">
      <c r="A527">
        <f t="shared" si="16"/>
        <v>0</v>
      </c>
      <c r="B527" s="3">
        <f t="shared" si="17"/>
        <v>0</v>
      </c>
      <c r="C527" s="72"/>
      <c r="D527" s="72"/>
      <c r="E527" s="73"/>
      <c r="F527" s="73"/>
      <c r="G527" t="s">
        <v>1224</v>
      </c>
    </row>
    <row r="528" spans="1:7" x14ac:dyDescent="0.25">
      <c r="A528">
        <f t="shared" si="16"/>
        <v>0</v>
      </c>
      <c r="B528" s="3">
        <f t="shared" si="17"/>
        <v>0</v>
      </c>
      <c r="C528" s="72"/>
      <c r="D528" s="72"/>
      <c r="E528" s="73"/>
      <c r="F528" s="73"/>
      <c r="G528" t="s">
        <v>1224</v>
      </c>
    </row>
    <row r="529" spans="1:7" x14ac:dyDescent="0.25">
      <c r="A529">
        <f t="shared" si="16"/>
        <v>0</v>
      </c>
      <c r="B529" s="3">
        <f t="shared" si="17"/>
        <v>0</v>
      </c>
      <c r="C529" s="72"/>
      <c r="D529" s="72"/>
      <c r="E529" s="73"/>
      <c r="F529" s="73"/>
      <c r="G529" t="s">
        <v>1224</v>
      </c>
    </row>
    <row r="530" spans="1:7" x14ac:dyDescent="0.25">
      <c r="A530">
        <f t="shared" si="16"/>
        <v>0</v>
      </c>
      <c r="B530" s="3">
        <f t="shared" si="17"/>
        <v>0</v>
      </c>
      <c r="C530" s="72"/>
      <c r="D530" s="72"/>
      <c r="E530" s="73"/>
      <c r="F530" s="73"/>
      <c r="G530" t="s">
        <v>1224</v>
      </c>
    </row>
    <row r="531" spans="1:7" x14ac:dyDescent="0.25">
      <c r="A531">
        <f t="shared" si="16"/>
        <v>0</v>
      </c>
      <c r="B531" s="3">
        <f t="shared" si="17"/>
        <v>0</v>
      </c>
      <c r="C531" s="72"/>
      <c r="D531" s="72"/>
      <c r="E531" s="73"/>
      <c r="F531" s="73"/>
      <c r="G531" t="s">
        <v>1224</v>
      </c>
    </row>
    <row r="532" spans="1:7" x14ac:dyDescent="0.25">
      <c r="A532">
        <f t="shared" si="16"/>
        <v>0</v>
      </c>
      <c r="B532" s="3">
        <f t="shared" si="17"/>
        <v>0</v>
      </c>
      <c r="C532" s="72"/>
      <c r="D532" s="72"/>
      <c r="E532" s="73"/>
      <c r="F532" s="73"/>
      <c r="G532" t="s">
        <v>1224</v>
      </c>
    </row>
    <row r="533" spans="1:7" x14ac:dyDescent="0.25">
      <c r="A533">
        <f t="shared" si="16"/>
        <v>0</v>
      </c>
      <c r="B533" s="3">
        <f t="shared" si="17"/>
        <v>0</v>
      </c>
      <c r="C533" s="72"/>
      <c r="D533" s="72"/>
      <c r="E533" s="73"/>
      <c r="F533" s="73"/>
      <c r="G533" t="s">
        <v>1224</v>
      </c>
    </row>
    <row r="534" spans="1:7" x14ac:dyDescent="0.25">
      <c r="A534">
        <f t="shared" si="16"/>
        <v>0</v>
      </c>
      <c r="B534" s="3">
        <f t="shared" si="17"/>
        <v>0</v>
      </c>
      <c r="C534" s="72"/>
      <c r="D534" s="72"/>
      <c r="E534" s="73"/>
      <c r="F534" s="73"/>
      <c r="G534" t="s">
        <v>1224</v>
      </c>
    </row>
    <row r="535" spans="1:7" x14ac:dyDescent="0.25">
      <c r="A535">
        <f t="shared" si="16"/>
        <v>0</v>
      </c>
      <c r="B535" s="3">
        <f t="shared" si="17"/>
        <v>0</v>
      </c>
      <c r="C535" s="72"/>
      <c r="D535" s="72"/>
      <c r="E535" s="73"/>
      <c r="F535" s="73"/>
      <c r="G535" t="s">
        <v>1224</v>
      </c>
    </row>
    <row r="536" spans="1:7" x14ac:dyDescent="0.25">
      <c r="A536">
        <f t="shared" si="16"/>
        <v>0</v>
      </c>
      <c r="B536" s="3">
        <f t="shared" si="17"/>
        <v>0</v>
      </c>
      <c r="C536" s="72"/>
      <c r="D536" s="72"/>
      <c r="E536" s="73"/>
      <c r="F536" s="73"/>
      <c r="G536" t="s">
        <v>1224</v>
      </c>
    </row>
    <row r="537" spans="1:7" x14ac:dyDescent="0.25">
      <c r="A537">
        <f t="shared" si="16"/>
        <v>0</v>
      </c>
      <c r="B537" s="3">
        <f t="shared" si="17"/>
        <v>0</v>
      </c>
      <c r="C537" s="72"/>
      <c r="D537" s="72"/>
      <c r="E537" s="73"/>
      <c r="F537" s="73"/>
      <c r="G537" t="s">
        <v>1224</v>
      </c>
    </row>
    <row r="538" spans="1:7" x14ac:dyDescent="0.25">
      <c r="A538">
        <f t="shared" si="16"/>
        <v>0</v>
      </c>
      <c r="B538" s="3">
        <f t="shared" si="17"/>
        <v>0</v>
      </c>
      <c r="C538" s="72"/>
      <c r="D538" s="72"/>
      <c r="E538" s="73"/>
      <c r="F538" s="73"/>
      <c r="G538" t="s">
        <v>1224</v>
      </c>
    </row>
    <row r="539" spans="1:7" x14ac:dyDescent="0.25">
      <c r="A539">
        <f t="shared" si="16"/>
        <v>0</v>
      </c>
      <c r="B539" s="3">
        <f t="shared" si="17"/>
        <v>0</v>
      </c>
      <c r="C539" s="72"/>
      <c r="D539" s="72"/>
      <c r="E539" s="73"/>
      <c r="F539" s="73"/>
      <c r="G539" t="s">
        <v>1224</v>
      </c>
    </row>
    <row r="540" spans="1:7" x14ac:dyDescent="0.25">
      <c r="A540">
        <f t="shared" si="16"/>
        <v>0</v>
      </c>
      <c r="B540" s="3">
        <f t="shared" si="17"/>
        <v>0</v>
      </c>
      <c r="C540" s="72"/>
      <c r="D540" s="72"/>
      <c r="E540" s="73"/>
      <c r="F540" s="73"/>
      <c r="G540" t="s">
        <v>1224</v>
      </c>
    </row>
    <row r="541" spans="1:7" x14ac:dyDescent="0.25">
      <c r="A541">
        <f t="shared" si="16"/>
        <v>0</v>
      </c>
      <c r="B541" s="3">
        <f t="shared" si="17"/>
        <v>0</v>
      </c>
      <c r="C541" s="72"/>
      <c r="D541" s="72"/>
      <c r="E541" s="73"/>
      <c r="F541" s="73"/>
      <c r="G541" t="s">
        <v>1224</v>
      </c>
    </row>
    <row r="542" spans="1:7" x14ac:dyDescent="0.25">
      <c r="A542">
        <f t="shared" si="16"/>
        <v>0</v>
      </c>
      <c r="B542" s="3">
        <f t="shared" si="17"/>
        <v>0</v>
      </c>
      <c r="C542" s="72"/>
      <c r="D542" s="72"/>
      <c r="E542" s="73"/>
      <c r="F542" s="73"/>
      <c r="G542" t="s">
        <v>1224</v>
      </c>
    </row>
    <row r="543" spans="1:7" x14ac:dyDescent="0.25">
      <c r="A543">
        <f t="shared" si="16"/>
        <v>0</v>
      </c>
      <c r="B543" s="3">
        <f t="shared" si="17"/>
        <v>0</v>
      </c>
      <c r="C543" s="72"/>
      <c r="D543" s="72"/>
      <c r="E543" s="73"/>
      <c r="F543" s="73"/>
      <c r="G543" t="s">
        <v>1224</v>
      </c>
    </row>
    <row r="544" spans="1:7" x14ac:dyDescent="0.25">
      <c r="A544">
        <f t="shared" si="16"/>
        <v>0</v>
      </c>
      <c r="B544" s="3">
        <f t="shared" si="17"/>
        <v>0</v>
      </c>
      <c r="C544" s="72"/>
      <c r="D544" s="72"/>
      <c r="E544" s="73"/>
      <c r="F544" s="73"/>
      <c r="G544" t="s">
        <v>1224</v>
      </c>
    </row>
    <row r="545" spans="1:7" x14ac:dyDescent="0.25">
      <c r="A545">
        <f t="shared" si="16"/>
        <v>0</v>
      </c>
      <c r="B545" s="3">
        <f t="shared" si="17"/>
        <v>0</v>
      </c>
      <c r="C545" s="72"/>
      <c r="D545" s="72"/>
      <c r="E545" s="73"/>
      <c r="F545" s="73"/>
      <c r="G545" t="s">
        <v>1224</v>
      </c>
    </row>
    <row r="546" spans="1:7" x14ac:dyDescent="0.25">
      <c r="A546">
        <f t="shared" si="16"/>
        <v>0</v>
      </c>
      <c r="B546" s="3">
        <f t="shared" si="17"/>
        <v>0</v>
      </c>
      <c r="C546" s="72"/>
      <c r="D546" s="72"/>
      <c r="E546" s="73"/>
      <c r="F546" s="73"/>
      <c r="G546" t="s">
        <v>1224</v>
      </c>
    </row>
    <row r="547" spans="1:7" x14ac:dyDescent="0.25">
      <c r="A547">
        <f t="shared" si="16"/>
        <v>0</v>
      </c>
      <c r="B547" s="3">
        <f t="shared" si="17"/>
        <v>0</v>
      </c>
      <c r="C547" s="72"/>
      <c r="D547" s="72"/>
      <c r="E547" s="73"/>
      <c r="F547" s="73"/>
      <c r="G547" t="s">
        <v>1224</v>
      </c>
    </row>
    <row r="548" spans="1:7" x14ac:dyDescent="0.25">
      <c r="A548">
        <f t="shared" si="16"/>
        <v>0</v>
      </c>
      <c r="B548" s="3">
        <f t="shared" si="17"/>
        <v>0</v>
      </c>
      <c r="C548" s="72"/>
      <c r="D548" s="72"/>
      <c r="E548" s="73"/>
      <c r="F548" s="73"/>
      <c r="G548" t="s">
        <v>1224</v>
      </c>
    </row>
    <row r="549" spans="1:7" x14ac:dyDescent="0.25">
      <c r="A549">
        <f t="shared" si="16"/>
        <v>0</v>
      </c>
      <c r="B549" s="3">
        <f t="shared" si="17"/>
        <v>0</v>
      </c>
      <c r="C549" s="72"/>
      <c r="D549" s="72"/>
      <c r="E549" s="73"/>
      <c r="F549" s="73"/>
      <c r="G549" t="s">
        <v>1224</v>
      </c>
    </row>
    <row r="550" spans="1:7" x14ac:dyDescent="0.25">
      <c r="A550">
        <f t="shared" si="16"/>
        <v>0</v>
      </c>
      <c r="B550" s="3">
        <f t="shared" si="17"/>
        <v>0</v>
      </c>
      <c r="C550" s="72"/>
      <c r="D550" s="72"/>
      <c r="E550" s="73"/>
      <c r="F550" s="73"/>
      <c r="G550" t="s">
        <v>1224</v>
      </c>
    </row>
    <row r="551" spans="1:7" x14ac:dyDescent="0.25">
      <c r="A551">
        <f t="shared" si="16"/>
        <v>0</v>
      </c>
      <c r="B551" s="3">
        <f t="shared" si="17"/>
        <v>0</v>
      </c>
      <c r="C551" s="72"/>
      <c r="D551" s="72"/>
      <c r="E551" s="73"/>
      <c r="F551" s="73"/>
      <c r="G551" t="s">
        <v>1224</v>
      </c>
    </row>
    <row r="552" spans="1:7" x14ac:dyDescent="0.25">
      <c r="A552">
        <f t="shared" si="16"/>
        <v>0</v>
      </c>
      <c r="B552" s="3">
        <f t="shared" si="17"/>
        <v>0</v>
      </c>
      <c r="C552" s="72"/>
      <c r="D552" s="72"/>
      <c r="E552" s="73"/>
      <c r="F552" s="73"/>
      <c r="G552" t="s">
        <v>1224</v>
      </c>
    </row>
    <row r="553" spans="1:7" x14ac:dyDescent="0.25">
      <c r="A553">
        <f t="shared" si="16"/>
        <v>0</v>
      </c>
      <c r="B553" s="3">
        <f t="shared" si="17"/>
        <v>0</v>
      </c>
      <c r="C553" s="72"/>
      <c r="D553" s="72"/>
      <c r="E553" s="73"/>
      <c r="F553" s="73"/>
      <c r="G553" t="s">
        <v>1224</v>
      </c>
    </row>
    <row r="554" spans="1:7" x14ac:dyDescent="0.25">
      <c r="A554">
        <f t="shared" si="16"/>
        <v>0</v>
      </c>
      <c r="B554" s="3">
        <f t="shared" si="17"/>
        <v>0</v>
      </c>
      <c r="C554" s="72"/>
      <c r="D554" s="72"/>
      <c r="E554" s="73"/>
      <c r="F554" s="73"/>
      <c r="G554" t="s">
        <v>1224</v>
      </c>
    </row>
    <row r="555" spans="1:7" x14ac:dyDescent="0.25">
      <c r="A555">
        <f t="shared" si="16"/>
        <v>0</v>
      </c>
      <c r="B555" s="3">
        <f t="shared" si="17"/>
        <v>0</v>
      </c>
      <c r="C555" s="72"/>
      <c r="D555" s="72"/>
      <c r="E555" s="73"/>
      <c r="F555" s="73"/>
      <c r="G555" t="s">
        <v>1224</v>
      </c>
    </row>
    <row r="556" spans="1:7" x14ac:dyDescent="0.25">
      <c r="A556">
        <f t="shared" si="16"/>
        <v>0</v>
      </c>
      <c r="B556" s="3">
        <f t="shared" si="17"/>
        <v>0</v>
      </c>
      <c r="C556" s="72"/>
      <c r="D556" s="72"/>
      <c r="E556" s="73"/>
      <c r="F556" s="73"/>
      <c r="G556" t="s">
        <v>1224</v>
      </c>
    </row>
    <row r="557" spans="1:7" x14ac:dyDescent="0.25">
      <c r="A557">
        <f t="shared" si="16"/>
        <v>0</v>
      </c>
      <c r="B557" s="3">
        <f t="shared" si="17"/>
        <v>0</v>
      </c>
      <c r="C557" s="72"/>
      <c r="D557" s="72"/>
      <c r="E557" s="73"/>
      <c r="F557" s="73"/>
      <c r="G557" t="s">
        <v>1224</v>
      </c>
    </row>
    <row r="558" spans="1:7" x14ac:dyDescent="0.25">
      <c r="A558">
        <f t="shared" si="16"/>
        <v>0</v>
      </c>
      <c r="B558" s="3">
        <f t="shared" si="17"/>
        <v>0</v>
      </c>
      <c r="C558" s="72"/>
      <c r="D558" s="72"/>
      <c r="E558" s="73"/>
      <c r="F558" s="73"/>
      <c r="G558" t="s">
        <v>1224</v>
      </c>
    </row>
    <row r="559" spans="1:7" x14ac:dyDescent="0.25">
      <c r="A559">
        <f t="shared" si="16"/>
        <v>0</v>
      </c>
      <c r="B559" s="3">
        <f t="shared" si="17"/>
        <v>0</v>
      </c>
      <c r="C559" s="72"/>
      <c r="D559" s="72"/>
      <c r="E559" s="73"/>
      <c r="F559" s="73"/>
      <c r="G559" t="s">
        <v>1224</v>
      </c>
    </row>
    <row r="560" spans="1:7" x14ac:dyDescent="0.25">
      <c r="A560">
        <f t="shared" si="16"/>
        <v>0</v>
      </c>
      <c r="B560" s="3">
        <f t="shared" si="17"/>
        <v>0</v>
      </c>
      <c r="C560" s="72"/>
      <c r="D560" s="72"/>
      <c r="E560" s="73"/>
      <c r="F560" s="73"/>
      <c r="G560" t="s">
        <v>1224</v>
      </c>
    </row>
    <row r="561" spans="1:7" x14ac:dyDescent="0.25">
      <c r="A561">
        <f t="shared" si="16"/>
        <v>0</v>
      </c>
      <c r="B561" s="3">
        <f t="shared" si="17"/>
        <v>0</v>
      </c>
      <c r="C561" s="72"/>
      <c r="D561" s="72"/>
      <c r="E561" s="73"/>
      <c r="F561" s="73"/>
      <c r="G561" t="s">
        <v>1224</v>
      </c>
    </row>
    <row r="562" spans="1:7" x14ac:dyDescent="0.25">
      <c r="A562">
        <f t="shared" si="16"/>
        <v>0</v>
      </c>
      <c r="B562" s="3">
        <f t="shared" si="17"/>
        <v>0</v>
      </c>
      <c r="C562" s="72"/>
      <c r="D562" s="72"/>
      <c r="E562" s="73"/>
      <c r="F562" s="73"/>
      <c r="G562" t="s">
        <v>1224</v>
      </c>
    </row>
    <row r="563" spans="1:7" x14ac:dyDescent="0.25">
      <c r="A563">
        <f t="shared" si="16"/>
        <v>0</v>
      </c>
      <c r="B563" s="3">
        <f t="shared" si="17"/>
        <v>0</v>
      </c>
      <c r="C563" s="72"/>
      <c r="D563" s="72"/>
      <c r="E563" s="73"/>
      <c r="F563" s="73"/>
      <c r="G563" t="s">
        <v>1224</v>
      </c>
    </row>
    <row r="564" spans="1:7" x14ac:dyDescent="0.25">
      <c r="A564">
        <f t="shared" si="16"/>
        <v>0</v>
      </c>
      <c r="B564" s="3">
        <f t="shared" si="17"/>
        <v>0</v>
      </c>
      <c r="C564" s="72"/>
      <c r="D564" s="72"/>
      <c r="E564" s="73"/>
      <c r="F564" s="73"/>
      <c r="G564" t="s">
        <v>1224</v>
      </c>
    </row>
    <row r="565" spans="1:7" x14ac:dyDescent="0.25">
      <c r="A565">
        <f t="shared" si="16"/>
        <v>0</v>
      </c>
      <c r="B565" s="3">
        <f t="shared" si="17"/>
        <v>0</v>
      </c>
      <c r="C565" s="72"/>
      <c r="D565" s="72"/>
      <c r="E565" s="73"/>
      <c r="F565" s="73"/>
      <c r="G565" t="s">
        <v>1224</v>
      </c>
    </row>
    <row r="566" spans="1:7" x14ac:dyDescent="0.25">
      <c r="A566">
        <f t="shared" si="16"/>
        <v>0</v>
      </c>
      <c r="B566" s="3">
        <f t="shared" si="17"/>
        <v>0</v>
      </c>
      <c r="C566" s="72"/>
      <c r="D566" s="72"/>
      <c r="E566" s="73"/>
      <c r="F566" s="73"/>
      <c r="G566" t="s">
        <v>1224</v>
      </c>
    </row>
    <row r="567" spans="1:7" x14ac:dyDescent="0.25">
      <c r="A567">
        <f t="shared" si="16"/>
        <v>0</v>
      </c>
      <c r="B567" s="3">
        <f t="shared" si="17"/>
        <v>0</v>
      </c>
      <c r="C567" s="72"/>
      <c r="D567" s="72"/>
      <c r="E567" s="73"/>
      <c r="F567" s="73"/>
      <c r="G567" t="s">
        <v>1224</v>
      </c>
    </row>
    <row r="568" spans="1:7" x14ac:dyDescent="0.25">
      <c r="A568">
        <f t="shared" si="16"/>
        <v>0</v>
      </c>
      <c r="B568" s="3">
        <f t="shared" si="17"/>
        <v>0</v>
      </c>
      <c r="C568" s="72"/>
      <c r="D568" s="72"/>
      <c r="E568" s="73"/>
      <c r="F568" s="73"/>
      <c r="G568" t="s">
        <v>1224</v>
      </c>
    </row>
    <row r="569" spans="1:7" x14ac:dyDescent="0.25">
      <c r="A569">
        <f t="shared" si="16"/>
        <v>0</v>
      </c>
      <c r="B569" s="3">
        <f t="shared" si="17"/>
        <v>0</v>
      </c>
      <c r="C569" s="72"/>
      <c r="D569" s="72"/>
      <c r="E569" s="73"/>
      <c r="F569" s="73"/>
      <c r="G569" t="s">
        <v>1224</v>
      </c>
    </row>
    <row r="570" spans="1:7" x14ac:dyDescent="0.25">
      <c r="A570">
        <f t="shared" si="16"/>
        <v>0</v>
      </c>
      <c r="B570" s="3">
        <f t="shared" si="17"/>
        <v>0</v>
      </c>
      <c r="C570" s="72"/>
      <c r="D570" s="72"/>
      <c r="E570" s="73"/>
      <c r="F570" s="73"/>
      <c r="G570" t="s">
        <v>1224</v>
      </c>
    </row>
    <row r="571" spans="1:7" x14ac:dyDescent="0.25">
      <c r="A571">
        <f t="shared" si="16"/>
        <v>0</v>
      </c>
      <c r="B571" s="3">
        <f t="shared" si="17"/>
        <v>0</v>
      </c>
      <c r="C571" s="72"/>
      <c r="D571" s="72"/>
      <c r="E571" s="73"/>
      <c r="F571" s="73"/>
      <c r="G571" t="s">
        <v>1224</v>
      </c>
    </row>
    <row r="572" spans="1:7" x14ac:dyDescent="0.25">
      <c r="A572">
        <f t="shared" si="16"/>
        <v>0</v>
      </c>
      <c r="B572" s="3">
        <f t="shared" si="17"/>
        <v>0</v>
      </c>
      <c r="C572" s="72"/>
      <c r="D572" s="72"/>
      <c r="E572" s="73"/>
      <c r="F572" s="73"/>
      <c r="G572" t="s">
        <v>1224</v>
      </c>
    </row>
    <row r="573" spans="1:7" x14ac:dyDescent="0.25">
      <c r="A573">
        <f t="shared" si="16"/>
        <v>0</v>
      </c>
      <c r="B573" s="3">
        <f t="shared" si="17"/>
        <v>0</v>
      </c>
      <c r="C573" s="72"/>
      <c r="D573" s="72"/>
      <c r="E573" s="73"/>
      <c r="F573" s="73"/>
      <c r="G573" t="s">
        <v>1224</v>
      </c>
    </row>
    <row r="574" spans="1:7" x14ac:dyDescent="0.25">
      <c r="A574">
        <f t="shared" si="16"/>
        <v>0</v>
      </c>
      <c r="B574" s="3">
        <f t="shared" si="17"/>
        <v>0</v>
      </c>
      <c r="C574" s="72"/>
      <c r="D574" s="72"/>
      <c r="E574" s="73"/>
      <c r="F574" s="73"/>
      <c r="G574" t="s">
        <v>1224</v>
      </c>
    </row>
    <row r="575" spans="1:7" x14ac:dyDescent="0.25">
      <c r="A575">
        <f t="shared" si="16"/>
        <v>0</v>
      </c>
      <c r="B575" s="3">
        <f t="shared" si="17"/>
        <v>0</v>
      </c>
      <c r="C575" s="72"/>
      <c r="D575" s="72"/>
      <c r="E575" s="73"/>
      <c r="F575" s="73"/>
      <c r="G575" t="s">
        <v>1224</v>
      </c>
    </row>
    <row r="576" spans="1:7" x14ac:dyDescent="0.25">
      <c r="A576">
        <f t="shared" si="16"/>
        <v>0</v>
      </c>
      <c r="B576" s="3">
        <f t="shared" si="17"/>
        <v>0</v>
      </c>
      <c r="C576" s="72"/>
      <c r="D576" s="72"/>
      <c r="E576" s="73"/>
      <c r="F576" s="73"/>
      <c r="G576" t="s">
        <v>1224</v>
      </c>
    </row>
    <row r="577" spans="1:7" x14ac:dyDescent="0.25">
      <c r="A577">
        <f t="shared" si="16"/>
        <v>0</v>
      </c>
      <c r="B577" s="3">
        <f t="shared" si="17"/>
        <v>0</v>
      </c>
      <c r="C577" s="72"/>
      <c r="D577" s="72"/>
      <c r="E577" s="73"/>
      <c r="F577" s="73"/>
      <c r="G577" t="s">
        <v>1224</v>
      </c>
    </row>
    <row r="578" spans="1:7" x14ac:dyDescent="0.25">
      <c r="A578">
        <f t="shared" si="16"/>
        <v>0</v>
      </c>
      <c r="B578" s="3">
        <f t="shared" si="17"/>
        <v>0</v>
      </c>
      <c r="C578" s="72"/>
      <c r="D578" s="72"/>
      <c r="E578" s="73"/>
      <c r="F578" s="73"/>
      <c r="G578" t="s">
        <v>1224</v>
      </c>
    </row>
    <row r="579" spans="1:7" x14ac:dyDescent="0.25">
      <c r="A579">
        <f t="shared" si="16"/>
        <v>0</v>
      </c>
      <c r="B579" s="3">
        <f t="shared" si="17"/>
        <v>0</v>
      </c>
      <c r="C579" s="72"/>
      <c r="D579" s="72"/>
      <c r="E579" s="73"/>
      <c r="F579" s="73"/>
      <c r="G579" t="s">
        <v>1224</v>
      </c>
    </row>
    <row r="580" spans="1:7" x14ac:dyDescent="0.25">
      <c r="A580">
        <f t="shared" si="16"/>
        <v>0</v>
      </c>
      <c r="B580" s="3">
        <f t="shared" si="17"/>
        <v>0</v>
      </c>
      <c r="C580" s="72"/>
      <c r="D580" s="72"/>
      <c r="E580" s="73"/>
      <c r="F580" s="73"/>
      <c r="G580" t="s">
        <v>1224</v>
      </c>
    </row>
    <row r="581" spans="1:7" x14ac:dyDescent="0.25">
      <c r="A581">
        <f t="shared" si="16"/>
        <v>0</v>
      </c>
      <c r="B581" s="3">
        <f t="shared" si="17"/>
        <v>0</v>
      </c>
      <c r="C581" s="72"/>
      <c r="D581" s="72"/>
      <c r="E581" s="73"/>
      <c r="F581" s="73"/>
      <c r="G581" t="s">
        <v>1224</v>
      </c>
    </row>
    <row r="582" spans="1:7" x14ac:dyDescent="0.25">
      <c r="A582">
        <f t="shared" si="16"/>
        <v>0</v>
      </c>
      <c r="B582" s="3">
        <f t="shared" si="17"/>
        <v>0</v>
      </c>
      <c r="C582" s="72"/>
      <c r="D582" s="72"/>
      <c r="E582" s="73"/>
      <c r="F582" s="73"/>
      <c r="G582" t="s">
        <v>1224</v>
      </c>
    </row>
    <row r="583" spans="1:7" x14ac:dyDescent="0.25">
      <c r="A583">
        <f t="shared" ref="A583:A646" si="18">IF(ISNUMBER(C583),C583*F583,)</f>
        <v>0</v>
      </c>
      <c r="B583" s="3">
        <f t="shared" ref="B583:B646" si="19">IF(C583&lt;&gt;"",1,0)</f>
        <v>0</v>
      </c>
      <c r="C583" s="72"/>
      <c r="D583" s="72"/>
      <c r="E583" s="73"/>
      <c r="F583" s="73"/>
      <c r="G583" t="s">
        <v>1224</v>
      </c>
    </row>
    <row r="584" spans="1:7" x14ac:dyDescent="0.25">
      <c r="A584">
        <f t="shared" si="18"/>
        <v>0</v>
      </c>
      <c r="B584" s="3">
        <f t="shared" si="19"/>
        <v>0</v>
      </c>
      <c r="C584" s="72"/>
      <c r="D584" s="72"/>
      <c r="E584" s="73"/>
      <c r="F584" s="73"/>
      <c r="G584" t="s">
        <v>1224</v>
      </c>
    </row>
    <row r="585" spans="1:7" x14ac:dyDescent="0.25">
      <c r="A585">
        <f t="shared" si="18"/>
        <v>0</v>
      </c>
      <c r="B585" s="3">
        <f t="shared" si="19"/>
        <v>0</v>
      </c>
      <c r="C585" s="72"/>
      <c r="D585" s="72"/>
      <c r="E585" s="73"/>
      <c r="F585" s="73"/>
      <c r="G585" t="s">
        <v>1224</v>
      </c>
    </row>
    <row r="586" spans="1:7" x14ac:dyDescent="0.25">
      <c r="A586">
        <f t="shared" si="18"/>
        <v>0</v>
      </c>
      <c r="B586" s="3">
        <f t="shared" si="19"/>
        <v>0</v>
      </c>
      <c r="C586" s="72"/>
      <c r="D586" s="72"/>
      <c r="E586" s="73"/>
      <c r="F586" s="73"/>
      <c r="G586" t="s">
        <v>1224</v>
      </c>
    </row>
    <row r="587" spans="1:7" x14ac:dyDescent="0.25">
      <c r="A587">
        <f t="shared" si="18"/>
        <v>0</v>
      </c>
      <c r="B587" s="3">
        <f t="shared" si="19"/>
        <v>0</v>
      </c>
      <c r="C587" s="72"/>
      <c r="D587" s="72"/>
      <c r="E587" s="73"/>
      <c r="F587" s="73"/>
      <c r="G587" t="s">
        <v>1224</v>
      </c>
    </row>
    <row r="588" spans="1:7" x14ac:dyDescent="0.25">
      <c r="A588">
        <f t="shared" si="18"/>
        <v>0</v>
      </c>
      <c r="B588" s="3">
        <f t="shared" si="19"/>
        <v>0</v>
      </c>
      <c r="C588" s="72"/>
      <c r="D588" s="72"/>
      <c r="E588" s="73"/>
      <c r="F588" s="73"/>
      <c r="G588" t="s">
        <v>1224</v>
      </c>
    </row>
    <row r="589" spans="1:7" x14ac:dyDescent="0.25">
      <c r="A589">
        <f t="shared" si="18"/>
        <v>0</v>
      </c>
      <c r="B589" s="3">
        <f t="shared" si="19"/>
        <v>0</v>
      </c>
      <c r="C589" s="72"/>
      <c r="D589" s="72"/>
      <c r="E589" s="73"/>
      <c r="F589" s="73"/>
      <c r="G589" t="s">
        <v>1224</v>
      </c>
    </row>
    <row r="590" spans="1:7" x14ac:dyDescent="0.25">
      <c r="A590">
        <f t="shared" si="18"/>
        <v>0</v>
      </c>
      <c r="B590" s="3">
        <f t="shared" si="19"/>
        <v>0</v>
      </c>
      <c r="C590" s="72"/>
      <c r="D590" s="72"/>
      <c r="E590" s="73"/>
      <c r="F590" s="73"/>
      <c r="G590" t="s">
        <v>1224</v>
      </c>
    </row>
    <row r="591" spans="1:7" x14ac:dyDescent="0.25">
      <c r="A591">
        <f t="shared" si="18"/>
        <v>0</v>
      </c>
      <c r="B591" s="3">
        <f t="shared" si="19"/>
        <v>0</v>
      </c>
      <c r="C591" s="72"/>
      <c r="D591" s="72"/>
      <c r="E591" s="73"/>
      <c r="F591" s="73"/>
      <c r="G591" t="s">
        <v>1224</v>
      </c>
    </row>
    <row r="592" spans="1:7" x14ac:dyDescent="0.25">
      <c r="A592">
        <f t="shared" si="18"/>
        <v>0</v>
      </c>
      <c r="B592" s="3">
        <f t="shared" si="19"/>
        <v>0</v>
      </c>
      <c r="C592" s="72"/>
      <c r="D592" s="72"/>
      <c r="E592" s="73"/>
      <c r="F592" s="73"/>
      <c r="G592" t="s">
        <v>1224</v>
      </c>
    </row>
    <row r="593" spans="1:7" x14ac:dyDescent="0.25">
      <c r="A593">
        <f t="shared" si="18"/>
        <v>0</v>
      </c>
      <c r="B593" s="3">
        <f t="shared" si="19"/>
        <v>0</v>
      </c>
      <c r="C593" s="72"/>
      <c r="D593" s="72"/>
      <c r="E593" s="73"/>
      <c r="F593" s="73"/>
      <c r="G593" t="s">
        <v>1224</v>
      </c>
    </row>
    <row r="594" spans="1:7" x14ac:dyDescent="0.25">
      <c r="A594">
        <f t="shared" si="18"/>
        <v>0</v>
      </c>
      <c r="B594" s="3">
        <f t="shared" si="19"/>
        <v>0</v>
      </c>
      <c r="C594" s="72"/>
      <c r="D594" s="72"/>
      <c r="E594" s="73"/>
      <c r="F594" s="73"/>
      <c r="G594" t="s">
        <v>1224</v>
      </c>
    </row>
    <row r="595" spans="1:7" x14ac:dyDescent="0.25">
      <c r="A595">
        <f t="shared" si="18"/>
        <v>0</v>
      </c>
      <c r="B595" s="3">
        <f t="shared" si="19"/>
        <v>0</v>
      </c>
      <c r="C595" s="72"/>
      <c r="D595" s="72"/>
      <c r="E595" s="73"/>
      <c r="F595" s="73"/>
      <c r="G595" t="s">
        <v>1224</v>
      </c>
    </row>
    <row r="596" spans="1:7" x14ac:dyDescent="0.25">
      <c r="A596">
        <f t="shared" si="18"/>
        <v>0</v>
      </c>
      <c r="B596" s="3">
        <f t="shared" si="19"/>
        <v>0</v>
      </c>
      <c r="C596" s="72"/>
      <c r="D596" s="72"/>
      <c r="E596" s="73"/>
      <c r="F596" s="73"/>
      <c r="G596" t="s">
        <v>1224</v>
      </c>
    </row>
    <row r="597" spans="1:7" x14ac:dyDescent="0.25">
      <c r="A597">
        <f t="shared" si="18"/>
        <v>0</v>
      </c>
      <c r="B597" s="3">
        <f t="shared" si="19"/>
        <v>0</v>
      </c>
      <c r="C597" s="72"/>
      <c r="D597" s="72"/>
      <c r="E597" s="73"/>
      <c r="F597" s="73"/>
      <c r="G597" t="s">
        <v>1224</v>
      </c>
    </row>
    <row r="598" spans="1:7" x14ac:dyDescent="0.25">
      <c r="A598">
        <f t="shared" si="18"/>
        <v>0</v>
      </c>
      <c r="B598" s="3">
        <f t="shared" si="19"/>
        <v>0</v>
      </c>
      <c r="C598" s="72"/>
      <c r="D598" s="72"/>
      <c r="E598" s="73"/>
      <c r="F598" s="73"/>
      <c r="G598" t="s">
        <v>1224</v>
      </c>
    </row>
    <row r="599" spans="1:7" x14ac:dyDescent="0.25">
      <c r="A599">
        <f t="shared" si="18"/>
        <v>0</v>
      </c>
      <c r="B599" s="3">
        <f t="shared" si="19"/>
        <v>0</v>
      </c>
      <c r="C599" s="72"/>
      <c r="D599" s="72"/>
      <c r="E599" s="73"/>
      <c r="F599" s="73"/>
      <c r="G599" t="s">
        <v>1224</v>
      </c>
    </row>
    <row r="600" spans="1:7" x14ac:dyDescent="0.25">
      <c r="A600">
        <f t="shared" si="18"/>
        <v>0</v>
      </c>
      <c r="B600" s="3">
        <f t="shared" si="19"/>
        <v>0</v>
      </c>
      <c r="C600" s="72"/>
      <c r="D600" s="72"/>
      <c r="E600" s="73"/>
      <c r="F600" s="73"/>
      <c r="G600" t="s">
        <v>1224</v>
      </c>
    </row>
    <row r="601" spans="1:7" x14ac:dyDescent="0.25">
      <c r="A601">
        <f t="shared" si="18"/>
        <v>0</v>
      </c>
      <c r="B601" s="3">
        <f t="shared" si="19"/>
        <v>0</v>
      </c>
      <c r="C601" s="72"/>
      <c r="D601" s="72"/>
      <c r="E601" s="73"/>
      <c r="F601" s="73"/>
      <c r="G601" t="s">
        <v>1224</v>
      </c>
    </row>
    <row r="602" spans="1:7" x14ac:dyDescent="0.25">
      <c r="A602">
        <f t="shared" si="18"/>
        <v>0</v>
      </c>
      <c r="B602" s="3">
        <f t="shared" si="19"/>
        <v>0</v>
      </c>
      <c r="C602" s="72"/>
      <c r="D602" s="72"/>
      <c r="E602" s="73"/>
      <c r="F602" s="73"/>
      <c r="G602" t="s">
        <v>1224</v>
      </c>
    </row>
    <row r="603" spans="1:7" x14ac:dyDescent="0.25">
      <c r="A603">
        <f t="shared" si="18"/>
        <v>0</v>
      </c>
      <c r="B603" s="3">
        <f t="shared" si="19"/>
        <v>0</v>
      </c>
      <c r="C603" s="72"/>
      <c r="D603" s="72"/>
      <c r="E603" s="73"/>
      <c r="F603" s="73"/>
      <c r="G603" t="s">
        <v>1224</v>
      </c>
    </row>
    <row r="604" spans="1:7" x14ac:dyDescent="0.25">
      <c r="A604">
        <f t="shared" si="18"/>
        <v>0</v>
      </c>
      <c r="B604" s="3">
        <f t="shared" si="19"/>
        <v>0</v>
      </c>
      <c r="C604" s="72"/>
      <c r="D604" s="72"/>
      <c r="E604" s="73"/>
      <c r="F604" s="73"/>
      <c r="G604" t="s">
        <v>1224</v>
      </c>
    </row>
    <row r="605" spans="1:7" x14ac:dyDescent="0.25">
      <c r="A605">
        <f t="shared" si="18"/>
        <v>0</v>
      </c>
      <c r="B605" s="3">
        <f t="shared" si="19"/>
        <v>0</v>
      </c>
      <c r="C605" s="72"/>
      <c r="D605" s="72"/>
      <c r="E605" s="73"/>
      <c r="F605" s="73"/>
      <c r="G605" t="s">
        <v>1224</v>
      </c>
    </row>
    <row r="606" spans="1:7" x14ac:dyDescent="0.25">
      <c r="A606">
        <f t="shared" si="18"/>
        <v>0</v>
      </c>
      <c r="B606" s="3">
        <f t="shared" si="19"/>
        <v>0</v>
      </c>
      <c r="C606" s="72"/>
      <c r="D606" s="72"/>
      <c r="E606" s="73"/>
      <c r="F606" s="73"/>
      <c r="G606" t="s">
        <v>1224</v>
      </c>
    </row>
    <row r="607" spans="1:7" x14ac:dyDescent="0.25">
      <c r="A607">
        <f t="shared" si="18"/>
        <v>0</v>
      </c>
      <c r="B607" s="3">
        <f t="shared" si="19"/>
        <v>0</v>
      </c>
      <c r="C607" s="72"/>
      <c r="D607" s="72"/>
      <c r="E607" s="73"/>
      <c r="F607" s="73"/>
      <c r="G607" t="s">
        <v>1224</v>
      </c>
    </row>
    <row r="608" spans="1:7" x14ac:dyDescent="0.25">
      <c r="A608">
        <f t="shared" si="18"/>
        <v>0</v>
      </c>
      <c r="B608" s="3">
        <f t="shared" si="19"/>
        <v>0</v>
      </c>
      <c r="C608" s="72"/>
      <c r="D608" s="72"/>
      <c r="E608" s="73"/>
      <c r="F608" s="73"/>
      <c r="G608" t="s">
        <v>1224</v>
      </c>
    </row>
    <row r="609" spans="1:7" x14ac:dyDescent="0.25">
      <c r="A609">
        <f t="shared" si="18"/>
        <v>0</v>
      </c>
      <c r="B609" s="3">
        <f t="shared" si="19"/>
        <v>0</v>
      </c>
      <c r="C609" s="72"/>
      <c r="D609" s="72"/>
      <c r="E609" s="73"/>
      <c r="F609" s="73"/>
      <c r="G609" t="s">
        <v>1224</v>
      </c>
    </row>
    <row r="610" spans="1:7" x14ac:dyDescent="0.25">
      <c r="A610">
        <f t="shared" si="18"/>
        <v>0</v>
      </c>
      <c r="B610" s="3">
        <f t="shared" si="19"/>
        <v>0</v>
      </c>
      <c r="C610" s="72"/>
      <c r="D610" s="72"/>
      <c r="E610" s="73"/>
      <c r="F610" s="73"/>
      <c r="G610" t="s">
        <v>1224</v>
      </c>
    </row>
    <row r="611" spans="1:7" x14ac:dyDescent="0.25">
      <c r="A611">
        <f t="shared" si="18"/>
        <v>0</v>
      </c>
      <c r="B611" s="3">
        <f t="shared" si="19"/>
        <v>0</v>
      </c>
      <c r="C611" s="72"/>
      <c r="D611" s="72"/>
      <c r="E611" s="73"/>
      <c r="F611" s="73"/>
      <c r="G611" t="s">
        <v>1224</v>
      </c>
    </row>
    <row r="612" spans="1:7" x14ac:dyDescent="0.25">
      <c r="A612">
        <f t="shared" si="18"/>
        <v>0</v>
      </c>
      <c r="B612" s="3">
        <f t="shared" si="19"/>
        <v>0</v>
      </c>
      <c r="C612" s="72"/>
      <c r="D612" s="72"/>
      <c r="E612" s="73"/>
      <c r="F612" s="73"/>
      <c r="G612" t="s">
        <v>1224</v>
      </c>
    </row>
    <row r="613" spans="1:7" x14ac:dyDescent="0.25">
      <c r="A613">
        <f t="shared" si="18"/>
        <v>0</v>
      </c>
      <c r="B613" s="3">
        <f t="shared" si="19"/>
        <v>0</v>
      </c>
      <c r="C613" s="72"/>
      <c r="D613" s="72"/>
      <c r="E613" s="73"/>
      <c r="F613" s="73"/>
      <c r="G613" t="s">
        <v>1224</v>
      </c>
    </row>
    <row r="614" spans="1:7" x14ac:dyDescent="0.25">
      <c r="A614">
        <f t="shared" si="18"/>
        <v>0</v>
      </c>
      <c r="B614" s="3">
        <f t="shared" si="19"/>
        <v>0</v>
      </c>
      <c r="C614" s="72"/>
      <c r="D614" s="72"/>
      <c r="E614" s="73"/>
      <c r="F614" s="73"/>
      <c r="G614" t="s">
        <v>1224</v>
      </c>
    </row>
    <row r="615" spans="1:7" x14ac:dyDescent="0.25">
      <c r="A615">
        <f t="shared" si="18"/>
        <v>0</v>
      </c>
      <c r="B615" s="3">
        <f t="shared" si="19"/>
        <v>0</v>
      </c>
      <c r="C615" s="72"/>
      <c r="D615" s="72"/>
      <c r="E615" s="73"/>
      <c r="F615" s="73"/>
      <c r="G615" t="s">
        <v>1224</v>
      </c>
    </row>
    <row r="616" spans="1:7" x14ac:dyDescent="0.25">
      <c r="A616">
        <f t="shared" si="18"/>
        <v>0</v>
      </c>
      <c r="B616" s="3">
        <f t="shared" si="19"/>
        <v>0</v>
      </c>
      <c r="C616" s="72"/>
      <c r="D616" s="72"/>
      <c r="E616" s="73"/>
      <c r="F616" s="73"/>
      <c r="G616" t="s">
        <v>1224</v>
      </c>
    </row>
    <row r="617" spans="1:7" x14ac:dyDescent="0.25">
      <c r="A617">
        <f t="shared" si="18"/>
        <v>0</v>
      </c>
      <c r="B617" s="3">
        <f t="shared" si="19"/>
        <v>0</v>
      </c>
      <c r="C617" s="72"/>
      <c r="D617" s="72"/>
      <c r="E617" s="73"/>
      <c r="F617" s="73"/>
      <c r="G617" t="s">
        <v>1224</v>
      </c>
    </row>
    <row r="618" spans="1:7" x14ac:dyDescent="0.25">
      <c r="A618">
        <f t="shared" si="18"/>
        <v>0</v>
      </c>
      <c r="B618" s="3">
        <f t="shared" si="19"/>
        <v>0</v>
      </c>
      <c r="C618" s="72"/>
      <c r="D618" s="72"/>
      <c r="E618" s="73"/>
      <c r="F618" s="73"/>
      <c r="G618" t="s">
        <v>1224</v>
      </c>
    </row>
    <row r="619" spans="1:7" x14ac:dyDescent="0.25">
      <c r="A619">
        <f t="shared" si="18"/>
        <v>0</v>
      </c>
      <c r="B619" s="3">
        <f t="shared" si="19"/>
        <v>0</v>
      </c>
      <c r="C619" s="72"/>
      <c r="D619" s="72"/>
      <c r="E619" s="73"/>
      <c r="F619" s="73"/>
      <c r="G619" t="s">
        <v>1224</v>
      </c>
    </row>
    <row r="620" spans="1:7" x14ac:dyDescent="0.25">
      <c r="A620">
        <f t="shared" si="18"/>
        <v>0</v>
      </c>
      <c r="B620" s="3">
        <f t="shared" si="19"/>
        <v>0</v>
      </c>
      <c r="C620" s="72"/>
      <c r="D620" s="72"/>
      <c r="E620" s="73"/>
      <c r="F620" s="73"/>
      <c r="G620" t="s">
        <v>1224</v>
      </c>
    </row>
    <row r="621" spans="1:7" x14ac:dyDescent="0.25">
      <c r="A621">
        <f t="shared" si="18"/>
        <v>0</v>
      </c>
      <c r="B621" s="3">
        <f t="shared" si="19"/>
        <v>0</v>
      </c>
      <c r="C621" s="72"/>
      <c r="D621" s="72"/>
      <c r="E621" s="73"/>
      <c r="F621" s="73"/>
      <c r="G621" t="s">
        <v>1224</v>
      </c>
    </row>
    <row r="622" spans="1:7" x14ac:dyDescent="0.25">
      <c r="A622">
        <f t="shared" si="18"/>
        <v>0</v>
      </c>
      <c r="B622" s="3">
        <f t="shared" si="19"/>
        <v>0</v>
      </c>
      <c r="C622" s="72"/>
      <c r="D622" s="72"/>
      <c r="E622" s="73"/>
      <c r="F622" s="73"/>
      <c r="G622" t="s">
        <v>1224</v>
      </c>
    </row>
    <row r="623" spans="1:7" x14ac:dyDescent="0.25">
      <c r="A623">
        <f t="shared" si="18"/>
        <v>0</v>
      </c>
      <c r="B623" s="3">
        <f t="shared" si="19"/>
        <v>0</v>
      </c>
      <c r="C623" s="72"/>
      <c r="D623" s="72"/>
      <c r="E623" s="73"/>
      <c r="F623" s="73"/>
      <c r="G623" t="s">
        <v>1224</v>
      </c>
    </row>
    <row r="624" spans="1:7" x14ac:dyDescent="0.25">
      <c r="A624">
        <f t="shared" si="18"/>
        <v>0</v>
      </c>
      <c r="B624" s="3">
        <f t="shared" si="19"/>
        <v>0</v>
      </c>
      <c r="C624" s="72"/>
      <c r="D624" s="72"/>
      <c r="E624" s="73"/>
      <c r="F624" s="73"/>
      <c r="G624" t="s">
        <v>1224</v>
      </c>
    </row>
    <row r="625" spans="1:7" x14ac:dyDescent="0.25">
      <c r="A625">
        <f t="shared" si="18"/>
        <v>0</v>
      </c>
      <c r="B625" s="3">
        <f t="shared" si="19"/>
        <v>0</v>
      </c>
      <c r="C625" s="72"/>
      <c r="D625" s="72"/>
      <c r="E625" s="73"/>
      <c r="F625" s="73"/>
      <c r="G625" t="s">
        <v>1224</v>
      </c>
    </row>
    <row r="626" spans="1:7" x14ac:dyDescent="0.25">
      <c r="A626">
        <f t="shared" si="18"/>
        <v>0</v>
      </c>
      <c r="B626" s="3">
        <f t="shared" si="19"/>
        <v>0</v>
      </c>
      <c r="C626" s="72"/>
      <c r="D626" s="72"/>
      <c r="E626" s="73"/>
      <c r="F626" s="73"/>
      <c r="G626" t="s">
        <v>1224</v>
      </c>
    </row>
    <row r="627" spans="1:7" x14ac:dyDescent="0.25">
      <c r="A627">
        <f t="shared" si="18"/>
        <v>0</v>
      </c>
      <c r="B627" s="3">
        <f t="shared" si="19"/>
        <v>0</v>
      </c>
      <c r="C627" s="72"/>
      <c r="D627" s="72"/>
      <c r="E627" s="73"/>
      <c r="F627" s="73"/>
      <c r="G627" t="s">
        <v>1224</v>
      </c>
    </row>
    <row r="628" spans="1:7" x14ac:dyDescent="0.25">
      <c r="A628">
        <f t="shared" si="18"/>
        <v>0</v>
      </c>
      <c r="B628" s="3">
        <f t="shared" si="19"/>
        <v>0</v>
      </c>
      <c r="C628" s="72"/>
      <c r="D628" s="72"/>
      <c r="E628" s="73"/>
      <c r="F628" s="73"/>
      <c r="G628" t="s">
        <v>1224</v>
      </c>
    </row>
    <row r="629" spans="1:7" x14ac:dyDescent="0.25">
      <c r="A629">
        <f t="shared" si="18"/>
        <v>0</v>
      </c>
      <c r="B629" s="3">
        <f t="shared" si="19"/>
        <v>0</v>
      </c>
      <c r="C629" s="72"/>
      <c r="D629" s="72"/>
      <c r="E629" s="73"/>
      <c r="F629" s="73"/>
      <c r="G629" t="s">
        <v>1224</v>
      </c>
    </row>
    <row r="630" spans="1:7" x14ac:dyDescent="0.25">
      <c r="A630">
        <f t="shared" si="18"/>
        <v>0</v>
      </c>
      <c r="B630" s="3">
        <f t="shared" si="19"/>
        <v>0</v>
      </c>
      <c r="C630" s="72"/>
      <c r="D630" s="72"/>
      <c r="E630" s="73"/>
      <c r="F630" s="73"/>
      <c r="G630" t="s">
        <v>1224</v>
      </c>
    </row>
    <row r="631" spans="1:7" x14ac:dyDescent="0.25">
      <c r="A631">
        <f t="shared" si="18"/>
        <v>0</v>
      </c>
      <c r="B631" s="3">
        <f t="shared" si="19"/>
        <v>0</v>
      </c>
      <c r="C631" s="72"/>
      <c r="D631" s="72"/>
      <c r="E631" s="73"/>
      <c r="F631" s="73"/>
      <c r="G631" t="s">
        <v>1224</v>
      </c>
    </row>
    <row r="632" spans="1:7" x14ac:dyDescent="0.25">
      <c r="A632">
        <f t="shared" si="18"/>
        <v>0</v>
      </c>
      <c r="B632" s="3">
        <f t="shared" si="19"/>
        <v>0</v>
      </c>
      <c r="C632" s="72"/>
      <c r="D632" s="72"/>
      <c r="E632" s="73"/>
      <c r="F632" s="73"/>
      <c r="G632" t="s">
        <v>1224</v>
      </c>
    </row>
    <row r="633" spans="1:7" x14ac:dyDescent="0.25">
      <c r="A633">
        <f t="shared" si="18"/>
        <v>0</v>
      </c>
      <c r="B633" s="3">
        <f t="shared" si="19"/>
        <v>0</v>
      </c>
      <c r="C633" s="72"/>
      <c r="D633" s="72"/>
      <c r="E633" s="73"/>
      <c r="F633" s="73"/>
      <c r="G633" t="s">
        <v>1224</v>
      </c>
    </row>
    <row r="634" spans="1:7" x14ac:dyDescent="0.25">
      <c r="A634">
        <f t="shared" si="18"/>
        <v>0</v>
      </c>
      <c r="B634" s="3">
        <f t="shared" si="19"/>
        <v>0</v>
      </c>
      <c r="C634" s="72"/>
      <c r="D634" s="72"/>
      <c r="E634" s="73"/>
      <c r="F634" s="73"/>
      <c r="G634" t="s">
        <v>1224</v>
      </c>
    </row>
    <row r="635" spans="1:7" x14ac:dyDescent="0.25">
      <c r="A635">
        <f t="shared" si="18"/>
        <v>0</v>
      </c>
      <c r="B635" s="3">
        <f t="shared" si="19"/>
        <v>0</v>
      </c>
      <c r="C635" s="72"/>
      <c r="D635" s="72"/>
      <c r="E635" s="73"/>
      <c r="F635" s="73"/>
      <c r="G635" t="s">
        <v>1224</v>
      </c>
    </row>
    <row r="636" spans="1:7" x14ac:dyDescent="0.25">
      <c r="A636">
        <f t="shared" si="18"/>
        <v>0</v>
      </c>
      <c r="B636" s="3">
        <f t="shared" si="19"/>
        <v>0</v>
      </c>
      <c r="C636" s="72"/>
      <c r="D636" s="72"/>
      <c r="E636" s="73"/>
      <c r="F636" s="73"/>
      <c r="G636" t="s">
        <v>1224</v>
      </c>
    </row>
    <row r="637" spans="1:7" x14ac:dyDescent="0.25">
      <c r="A637">
        <f t="shared" si="18"/>
        <v>0</v>
      </c>
      <c r="B637" s="3">
        <f t="shared" si="19"/>
        <v>0</v>
      </c>
      <c r="C637" s="72"/>
      <c r="D637" s="72"/>
      <c r="E637" s="73"/>
      <c r="F637" s="73"/>
      <c r="G637" t="s">
        <v>1224</v>
      </c>
    </row>
    <row r="638" spans="1:7" x14ac:dyDescent="0.25">
      <c r="A638">
        <f t="shared" si="18"/>
        <v>0</v>
      </c>
      <c r="B638" s="3">
        <f t="shared" si="19"/>
        <v>0</v>
      </c>
      <c r="C638" s="72"/>
      <c r="D638" s="72"/>
      <c r="E638" s="73"/>
      <c r="F638" s="73"/>
      <c r="G638" t="s">
        <v>1224</v>
      </c>
    </row>
    <row r="639" spans="1:7" x14ac:dyDescent="0.25">
      <c r="A639">
        <f t="shared" si="18"/>
        <v>0</v>
      </c>
      <c r="B639" s="3">
        <f t="shared" si="19"/>
        <v>0</v>
      </c>
      <c r="C639" s="72"/>
      <c r="D639" s="72"/>
      <c r="E639" s="73"/>
      <c r="F639" s="73"/>
      <c r="G639" t="s">
        <v>1224</v>
      </c>
    </row>
    <row r="640" spans="1:7" x14ac:dyDescent="0.25">
      <c r="A640">
        <f t="shared" si="18"/>
        <v>0</v>
      </c>
      <c r="B640" s="3">
        <f t="shared" si="19"/>
        <v>0</v>
      </c>
      <c r="C640" s="72"/>
      <c r="D640" s="72"/>
      <c r="E640" s="73"/>
      <c r="F640" s="73"/>
      <c r="G640" t="s">
        <v>1224</v>
      </c>
    </row>
    <row r="641" spans="1:7" x14ac:dyDescent="0.25">
      <c r="A641">
        <f t="shared" si="18"/>
        <v>0</v>
      </c>
      <c r="B641" s="3">
        <f t="shared" si="19"/>
        <v>0</v>
      </c>
      <c r="C641" s="72"/>
      <c r="D641" s="72"/>
      <c r="E641" s="73"/>
      <c r="F641" s="73"/>
      <c r="G641" t="s">
        <v>1224</v>
      </c>
    </row>
    <row r="642" spans="1:7" x14ac:dyDescent="0.25">
      <c r="A642">
        <f t="shared" si="18"/>
        <v>0</v>
      </c>
      <c r="B642" s="3">
        <f t="shared" si="19"/>
        <v>0</v>
      </c>
      <c r="C642" s="72"/>
      <c r="D642" s="72"/>
      <c r="E642" s="73"/>
      <c r="F642" s="73"/>
      <c r="G642" t="s">
        <v>1224</v>
      </c>
    </row>
    <row r="643" spans="1:7" x14ac:dyDescent="0.25">
      <c r="A643">
        <f t="shared" si="18"/>
        <v>0</v>
      </c>
      <c r="B643" s="3">
        <f t="shared" si="19"/>
        <v>0</v>
      </c>
      <c r="C643" s="72"/>
      <c r="D643" s="72"/>
      <c r="E643" s="73"/>
      <c r="F643" s="73"/>
      <c r="G643" t="s">
        <v>1224</v>
      </c>
    </row>
    <row r="644" spans="1:7" x14ac:dyDescent="0.25">
      <c r="A644">
        <f t="shared" si="18"/>
        <v>0</v>
      </c>
      <c r="B644" s="3">
        <f t="shared" si="19"/>
        <v>0</v>
      </c>
      <c r="C644" s="72"/>
      <c r="D644" s="72"/>
      <c r="E644" s="73"/>
      <c r="F644" s="73"/>
      <c r="G644" t="s">
        <v>1224</v>
      </c>
    </row>
    <row r="645" spans="1:7" x14ac:dyDescent="0.25">
      <c r="A645">
        <f t="shared" si="18"/>
        <v>0</v>
      </c>
      <c r="B645" s="3">
        <f t="shared" si="19"/>
        <v>0</v>
      </c>
      <c r="C645" s="72"/>
      <c r="D645" s="72"/>
      <c r="E645" s="73"/>
      <c r="F645" s="73"/>
      <c r="G645" t="s">
        <v>1224</v>
      </c>
    </row>
    <row r="646" spans="1:7" x14ac:dyDescent="0.25">
      <c r="A646">
        <f t="shared" si="18"/>
        <v>0</v>
      </c>
      <c r="B646" s="3">
        <f t="shared" si="19"/>
        <v>0</v>
      </c>
      <c r="C646" s="72"/>
      <c r="D646" s="72"/>
      <c r="E646" s="73"/>
      <c r="F646" s="73"/>
      <c r="G646" t="s">
        <v>1224</v>
      </c>
    </row>
    <row r="647" spans="1:7" x14ac:dyDescent="0.25">
      <c r="A647">
        <f t="shared" ref="A647:A710" si="20">IF(ISNUMBER(C647),C647*F647,)</f>
        <v>0</v>
      </c>
      <c r="B647" s="3">
        <f t="shared" ref="B647:B710" si="21">IF(C647&lt;&gt;"",1,0)</f>
        <v>0</v>
      </c>
      <c r="C647" s="72"/>
      <c r="D647" s="72"/>
      <c r="E647" s="73"/>
      <c r="F647" s="73"/>
      <c r="G647" t="s">
        <v>1224</v>
      </c>
    </row>
    <row r="648" spans="1:7" x14ac:dyDescent="0.25">
      <c r="A648">
        <f t="shared" si="20"/>
        <v>0</v>
      </c>
      <c r="B648" s="3">
        <f t="shared" si="21"/>
        <v>0</v>
      </c>
      <c r="C648" s="72"/>
      <c r="D648" s="72"/>
      <c r="E648" s="73"/>
      <c r="F648" s="73"/>
      <c r="G648" t="s">
        <v>1224</v>
      </c>
    </row>
    <row r="649" spans="1:7" x14ac:dyDescent="0.25">
      <c r="A649">
        <f t="shared" si="20"/>
        <v>0</v>
      </c>
      <c r="B649" s="3">
        <f t="shared" si="21"/>
        <v>0</v>
      </c>
      <c r="C649" s="72"/>
      <c r="D649" s="72"/>
      <c r="E649" s="73"/>
      <c r="F649" s="73"/>
      <c r="G649" t="s">
        <v>1224</v>
      </c>
    </row>
    <row r="650" spans="1:7" x14ac:dyDescent="0.25">
      <c r="A650">
        <f t="shared" si="20"/>
        <v>0</v>
      </c>
      <c r="B650" s="3">
        <f t="shared" si="21"/>
        <v>0</v>
      </c>
      <c r="C650" s="72"/>
      <c r="D650" s="72"/>
      <c r="E650" s="73"/>
      <c r="F650" s="73"/>
      <c r="G650" t="s">
        <v>1224</v>
      </c>
    </row>
    <row r="651" spans="1:7" x14ac:dyDescent="0.25">
      <c r="A651">
        <f t="shared" si="20"/>
        <v>0</v>
      </c>
      <c r="B651" s="3">
        <f t="shared" si="21"/>
        <v>0</v>
      </c>
      <c r="C651" s="72"/>
      <c r="D651" s="72"/>
      <c r="E651" s="73"/>
      <c r="F651" s="73"/>
      <c r="G651" t="s">
        <v>1224</v>
      </c>
    </row>
    <row r="652" spans="1:7" x14ac:dyDescent="0.25">
      <c r="A652">
        <f t="shared" si="20"/>
        <v>0</v>
      </c>
      <c r="B652" s="3">
        <f t="shared" si="21"/>
        <v>0</v>
      </c>
      <c r="C652" s="72"/>
      <c r="D652" s="72"/>
      <c r="E652" s="73"/>
      <c r="F652" s="73"/>
      <c r="G652" t="s">
        <v>1224</v>
      </c>
    </row>
    <row r="653" spans="1:7" x14ac:dyDescent="0.25">
      <c r="A653">
        <f t="shared" si="20"/>
        <v>0</v>
      </c>
      <c r="B653" s="3">
        <f t="shared" si="21"/>
        <v>0</v>
      </c>
      <c r="C653" s="72"/>
      <c r="D653" s="72"/>
      <c r="E653" s="73"/>
      <c r="F653" s="73"/>
      <c r="G653" t="s">
        <v>1224</v>
      </c>
    </row>
    <row r="654" spans="1:7" x14ac:dyDescent="0.25">
      <c r="A654">
        <f t="shared" si="20"/>
        <v>0</v>
      </c>
      <c r="B654" s="3">
        <f t="shared" si="21"/>
        <v>0</v>
      </c>
      <c r="C654" s="72"/>
      <c r="D654" s="72"/>
      <c r="E654" s="73"/>
      <c r="F654" s="73"/>
      <c r="G654" t="s">
        <v>1224</v>
      </c>
    </row>
    <row r="655" spans="1:7" x14ac:dyDescent="0.25">
      <c r="A655">
        <f t="shared" si="20"/>
        <v>0</v>
      </c>
      <c r="B655" s="3">
        <f t="shared" si="21"/>
        <v>0</v>
      </c>
      <c r="C655" s="72"/>
      <c r="D655" s="72"/>
      <c r="E655" s="73"/>
      <c r="F655" s="73"/>
      <c r="G655" t="s">
        <v>1224</v>
      </c>
    </row>
    <row r="656" spans="1:7" x14ac:dyDescent="0.25">
      <c r="A656">
        <f t="shared" si="20"/>
        <v>0</v>
      </c>
      <c r="B656" s="3">
        <f t="shared" si="21"/>
        <v>0</v>
      </c>
      <c r="C656" s="72"/>
      <c r="D656" s="72"/>
      <c r="E656" s="73"/>
      <c r="F656" s="73"/>
      <c r="G656" t="s">
        <v>1224</v>
      </c>
    </row>
    <row r="657" spans="1:7" x14ac:dyDescent="0.25">
      <c r="A657">
        <f t="shared" si="20"/>
        <v>0</v>
      </c>
      <c r="B657" s="3">
        <f t="shared" si="21"/>
        <v>0</v>
      </c>
      <c r="C657" s="72"/>
      <c r="D657" s="72"/>
      <c r="E657" s="73"/>
      <c r="F657" s="73"/>
      <c r="G657" t="s">
        <v>1224</v>
      </c>
    </row>
    <row r="658" spans="1:7" x14ac:dyDescent="0.25">
      <c r="A658">
        <f t="shared" si="20"/>
        <v>0</v>
      </c>
      <c r="B658" s="3">
        <f t="shared" si="21"/>
        <v>0</v>
      </c>
      <c r="C658" s="72"/>
      <c r="D658" s="72"/>
      <c r="E658" s="73"/>
      <c r="F658" s="73"/>
      <c r="G658" t="s">
        <v>1224</v>
      </c>
    </row>
    <row r="659" spans="1:7" x14ac:dyDescent="0.25">
      <c r="A659">
        <f t="shared" si="20"/>
        <v>0</v>
      </c>
      <c r="B659" s="3">
        <f t="shared" si="21"/>
        <v>0</v>
      </c>
      <c r="C659" s="72"/>
      <c r="D659" s="72"/>
      <c r="E659" s="73"/>
      <c r="F659" s="73"/>
      <c r="G659" t="s">
        <v>1224</v>
      </c>
    </row>
    <row r="660" spans="1:7" x14ac:dyDescent="0.25">
      <c r="A660">
        <f t="shared" si="20"/>
        <v>0</v>
      </c>
      <c r="B660" s="3">
        <f t="shared" si="21"/>
        <v>0</v>
      </c>
      <c r="C660" s="72"/>
      <c r="D660" s="72"/>
      <c r="E660" s="73"/>
      <c r="F660" s="73"/>
      <c r="G660" t="s">
        <v>1224</v>
      </c>
    </row>
    <row r="661" spans="1:7" x14ac:dyDescent="0.25">
      <c r="A661">
        <f t="shared" si="20"/>
        <v>0</v>
      </c>
      <c r="B661" s="3">
        <f t="shared" si="21"/>
        <v>0</v>
      </c>
      <c r="C661" s="72"/>
      <c r="D661" s="72"/>
      <c r="E661" s="73"/>
      <c r="F661" s="73"/>
      <c r="G661" t="s">
        <v>1224</v>
      </c>
    </row>
    <row r="662" spans="1:7" x14ac:dyDescent="0.25">
      <c r="A662">
        <f t="shared" si="20"/>
        <v>0</v>
      </c>
      <c r="B662" s="3">
        <f t="shared" si="21"/>
        <v>0</v>
      </c>
      <c r="C662" s="72"/>
      <c r="D662" s="72"/>
      <c r="E662" s="73"/>
      <c r="F662" s="73"/>
      <c r="G662" t="s">
        <v>1224</v>
      </c>
    </row>
    <row r="663" spans="1:7" x14ac:dyDescent="0.25">
      <c r="A663">
        <f t="shared" si="20"/>
        <v>0</v>
      </c>
      <c r="B663" s="3">
        <f t="shared" si="21"/>
        <v>0</v>
      </c>
      <c r="C663" s="72"/>
      <c r="D663" s="72"/>
      <c r="E663" s="73"/>
      <c r="F663" s="73"/>
      <c r="G663" t="s">
        <v>1224</v>
      </c>
    </row>
    <row r="664" spans="1:7" x14ac:dyDescent="0.25">
      <c r="A664">
        <f t="shared" si="20"/>
        <v>0</v>
      </c>
      <c r="B664" s="3">
        <f t="shared" si="21"/>
        <v>0</v>
      </c>
      <c r="C664" s="72"/>
      <c r="D664" s="72"/>
      <c r="E664" s="73"/>
      <c r="F664" s="73"/>
      <c r="G664" t="s">
        <v>1224</v>
      </c>
    </row>
    <row r="665" spans="1:7" x14ac:dyDescent="0.25">
      <c r="A665">
        <f t="shared" si="20"/>
        <v>0</v>
      </c>
      <c r="B665" s="3">
        <f t="shared" si="21"/>
        <v>0</v>
      </c>
      <c r="C665" s="72"/>
      <c r="D665" s="72"/>
      <c r="E665" s="73"/>
      <c r="F665" s="73"/>
      <c r="G665" t="s">
        <v>1224</v>
      </c>
    </row>
    <row r="666" spans="1:7" x14ac:dyDescent="0.25">
      <c r="A666">
        <f t="shared" si="20"/>
        <v>0</v>
      </c>
      <c r="B666" s="3">
        <f t="shared" si="21"/>
        <v>0</v>
      </c>
      <c r="C666" s="72"/>
      <c r="D666" s="72"/>
      <c r="E666" s="73"/>
      <c r="F666" s="73"/>
      <c r="G666" t="s">
        <v>1224</v>
      </c>
    </row>
    <row r="667" spans="1:7" x14ac:dyDescent="0.25">
      <c r="A667">
        <f t="shared" si="20"/>
        <v>0</v>
      </c>
      <c r="B667" s="3">
        <f t="shared" si="21"/>
        <v>0</v>
      </c>
      <c r="C667" s="72"/>
      <c r="D667" s="72"/>
      <c r="E667" s="73"/>
      <c r="F667" s="73"/>
      <c r="G667" t="s">
        <v>1224</v>
      </c>
    </row>
    <row r="668" spans="1:7" x14ac:dyDescent="0.25">
      <c r="A668">
        <f t="shared" si="20"/>
        <v>0</v>
      </c>
      <c r="B668" s="3">
        <f t="shared" si="21"/>
        <v>0</v>
      </c>
      <c r="C668" s="72"/>
      <c r="D668" s="72"/>
      <c r="E668" s="73"/>
      <c r="F668" s="73"/>
      <c r="G668" t="s">
        <v>1224</v>
      </c>
    </row>
    <row r="669" spans="1:7" x14ac:dyDescent="0.25">
      <c r="A669">
        <f t="shared" si="20"/>
        <v>0</v>
      </c>
      <c r="B669" s="3">
        <f t="shared" si="21"/>
        <v>0</v>
      </c>
      <c r="C669" s="72"/>
      <c r="D669" s="72"/>
      <c r="E669" s="73"/>
      <c r="F669" s="73"/>
      <c r="G669" t="s">
        <v>1224</v>
      </c>
    </row>
    <row r="670" spans="1:7" x14ac:dyDescent="0.25">
      <c r="A670">
        <f t="shared" si="20"/>
        <v>0</v>
      </c>
      <c r="B670" s="3">
        <f t="shared" si="21"/>
        <v>0</v>
      </c>
      <c r="C670" s="72"/>
      <c r="D670" s="72"/>
      <c r="E670" s="73"/>
      <c r="F670" s="73"/>
      <c r="G670" t="s">
        <v>1224</v>
      </c>
    </row>
    <row r="671" spans="1:7" x14ac:dyDescent="0.25">
      <c r="A671">
        <f t="shared" si="20"/>
        <v>0</v>
      </c>
      <c r="B671" s="3">
        <f t="shared" si="21"/>
        <v>0</v>
      </c>
      <c r="C671" s="72"/>
      <c r="D671" s="72"/>
      <c r="E671" s="73"/>
      <c r="F671" s="73"/>
      <c r="G671" t="s">
        <v>1224</v>
      </c>
    </row>
    <row r="672" spans="1:7" x14ac:dyDescent="0.25">
      <c r="A672">
        <f t="shared" si="20"/>
        <v>0</v>
      </c>
      <c r="B672" s="3">
        <f t="shared" si="21"/>
        <v>0</v>
      </c>
      <c r="C672" s="72"/>
      <c r="D672" s="72"/>
      <c r="E672" s="73"/>
      <c r="F672" s="73"/>
      <c r="G672" t="s">
        <v>1224</v>
      </c>
    </row>
    <row r="673" spans="1:7" x14ac:dyDescent="0.25">
      <c r="A673">
        <f t="shared" si="20"/>
        <v>0</v>
      </c>
      <c r="B673" s="3">
        <f t="shared" si="21"/>
        <v>0</v>
      </c>
      <c r="C673" s="72"/>
      <c r="D673" s="72"/>
      <c r="E673" s="73"/>
      <c r="F673" s="73"/>
      <c r="G673" t="s">
        <v>1224</v>
      </c>
    </row>
    <row r="674" spans="1:7" x14ac:dyDescent="0.25">
      <c r="A674">
        <f t="shared" si="20"/>
        <v>0</v>
      </c>
      <c r="B674" s="3">
        <f t="shared" si="21"/>
        <v>0</v>
      </c>
      <c r="C674" s="72"/>
      <c r="D674" s="72"/>
      <c r="E674" s="73"/>
      <c r="F674" s="73"/>
      <c r="G674" t="s">
        <v>1224</v>
      </c>
    </row>
    <row r="675" spans="1:7" x14ac:dyDescent="0.25">
      <c r="A675">
        <f t="shared" si="20"/>
        <v>0</v>
      </c>
      <c r="B675" s="3">
        <f t="shared" si="21"/>
        <v>0</v>
      </c>
      <c r="C675" s="72"/>
      <c r="D675" s="72"/>
      <c r="E675" s="73"/>
      <c r="F675" s="73"/>
      <c r="G675" t="s">
        <v>1224</v>
      </c>
    </row>
    <row r="676" spans="1:7" x14ac:dyDescent="0.25">
      <c r="A676">
        <f t="shared" si="20"/>
        <v>0</v>
      </c>
      <c r="B676" s="3">
        <f t="shared" si="21"/>
        <v>0</v>
      </c>
      <c r="C676" s="72"/>
      <c r="D676" s="72"/>
      <c r="E676" s="73"/>
      <c r="F676" s="73"/>
      <c r="G676" t="s">
        <v>1224</v>
      </c>
    </row>
    <row r="677" spans="1:7" x14ac:dyDescent="0.25">
      <c r="A677">
        <f t="shared" si="20"/>
        <v>0</v>
      </c>
      <c r="B677" s="3">
        <f t="shared" si="21"/>
        <v>0</v>
      </c>
      <c r="C677" s="72"/>
      <c r="D677" s="72"/>
      <c r="E677" s="73"/>
      <c r="F677" s="73"/>
      <c r="G677" t="s">
        <v>1224</v>
      </c>
    </row>
    <row r="678" spans="1:7" x14ac:dyDescent="0.25">
      <c r="A678">
        <f t="shared" si="20"/>
        <v>0</v>
      </c>
      <c r="B678" s="3">
        <f t="shared" si="21"/>
        <v>0</v>
      </c>
      <c r="C678" s="72"/>
      <c r="D678" s="72"/>
      <c r="E678" s="73"/>
      <c r="F678" s="73"/>
      <c r="G678" t="s">
        <v>1224</v>
      </c>
    </row>
    <row r="679" spans="1:7" x14ac:dyDescent="0.25">
      <c r="A679">
        <f t="shared" si="20"/>
        <v>0</v>
      </c>
      <c r="B679" s="3">
        <f t="shared" si="21"/>
        <v>0</v>
      </c>
      <c r="C679" s="72"/>
      <c r="D679" s="72"/>
      <c r="E679" s="73"/>
      <c r="F679" s="73"/>
      <c r="G679" t="s">
        <v>1224</v>
      </c>
    </row>
    <row r="680" spans="1:7" x14ac:dyDescent="0.25">
      <c r="A680">
        <f t="shared" si="20"/>
        <v>0</v>
      </c>
      <c r="B680" s="3">
        <f t="shared" si="21"/>
        <v>0</v>
      </c>
      <c r="C680" s="72"/>
      <c r="D680" s="72"/>
      <c r="E680" s="73"/>
      <c r="F680" s="73"/>
      <c r="G680" t="s">
        <v>1224</v>
      </c>
    </row>
    <row r="681" spans="1:7" x14ac:dyDescent="0.25">
      <c r="A681">
        <f t="shared" si="20"/>
        <v>0</v>
      </c>
      <c r="B681" s="3">
        <f t="shared" si="21"/>
        <v>0</v>
      </c>
      <c r="C681" s="72"/>
      <c r="D681" s="72"/>
      <c r="E681" s="73"/>
      <c r="F681" s="73"/>
      <c r="G681" t="s">
        <v>1224</v>
      </c>
    </row>
    <row r="682" spans="1:7" x14ac:dyDescent="0.25">
      <c r="A682">
        <f t="shared" si="20"/>
        <v>0</v>
      </c>
      <c r="B682" s="3">
        <f t="shared" si="21"/>
        <v>0</v>
      </c>
      <c r="C682" s="72"/>
      <c r="D682" s="72"/>
      <c r="E682" s="73"/>
      <c r="F682" s="73"/>
      <c r="G682" t="s">
        <v>1224</v>
      </c>
    </row>
    <row r="683" spans="1:7" x14ac:dyDescent="0.25">
      <c r="A683">
        <f t="shared" si="20"/>
        <v>0</v>
      </c>
      <c r="B683" s="3">
        <f t="shared" si="21"/>
        <v>0</v>
      </c>
      <c r="C683" s="72"/>
      <c r="D683" s="72"/>
      <c r="E683" s="73"/>
      <c r="F683" s="73"/>
      <c r="G683" t="s">
        <v>1224</v>
      </c>
    </row>
    <row r="684" spans="1:7" x14ac:dyDescent="0.25">
      <c r="A684">
        <f t="shared" si="20"/>
        <v>0</v>
      </c>
      <c r="B684" s="3">
        <f t="shared" si="21"/>
        <v>0</v>
      </c>
      <c r="C684" s="72"/>
      <c r="D684" s="72"/>
      <c r="E684" s="73"/>
      <c r="F684" s="73"/>
      <c r="G684" t="s">
        <v>1224</v>
      </c>
    </row>
    <row r="685" spans="1:7" x14ac:dyDescent="0.25">
      <c r="A685">
        <f t="shared" si="20"/>
        <v>0</v>
      </c>
      <c r="B685" s="3">
        <f t="shared" si="21"/>
        <v>0</v>
      </c>
      <c r="C685" s="72"/>
      <c r="D685" s="72"/>
      <c r="E685" s="73"/>
      <c r="F685" s="73"/>
      <c r="G685" t="s">
        <v>1224</v>
      </c>
    </row>
    <row r="686" spans="1:7" x14ac:dyDescent="0.25">
      <c r="A686">
        <f t="shared" si="20"/>
        <v>0</v>
      </c>
      <c r="B686" s="3">
        <f t="shared" si="21"/>
        <v>0</v>
      </c>
      <c r="C686" s="72"/>
      <c r="D686" s="72"/>
      <c r="E686" s="73"/>
      <c r="F686" s="73"/>
      <c r="G686" t="s">
        <v>1224</v>
      </c>
    </row>
    <row r="687" spans="1:7" x14ac:dyDescent="0.25">
      <c r="A687">
        <f t="shared" si="20"/>
        <v>0</v>
      </c>
      <c r="B687" s="3">
        <f t="shared" si="21"/>
        <v>0</v>
      </c>
      <c r="C687" s="72"/>
      <c r="D687" s="72"/>
      <c r="E687" s="73"/>
      <c r="F687" s="73"/>
      <c r="G687" t="s">
        <v>1224</v>
      </c>
    </row>
    <row r="688" spans="1:7" x14ac:dyDescent="0.25">
      <c r="A688">
        <f t="shared" si="20"/>
        <v>0</v>
      </c>
      <c r="B688" s="3">
        <f t="shared" si="21"/>
        <v>0</v>
      </c>
      <c r="C688" s="72"/>
      <c r="D688" s="72"/>
      <c r="E688" s="73"/>
      <c r="F688" s="73"/>
      <c r="G688" t="s">
        <v>1224</v>
      </c>
    </row>
    <row r="689" spans="1:7" x14ac:dyDescent="0.25">
      <c r="A689">
        <f t="shared" si="20"/>
        <v>0</v>
      </c>
      <c r="B689" s="3">
        <f t="shared" si="21"/>
        <v>0</v>
      </c>
      <c r="C689" s="72"/>
      <c r="D689" s="72"/>
      <c r="E689" s="73"/>
      <c r="F689" s="73"/>
      <c r="G689" t="s">
        <v>1224</v>
      </c>
    </row>
    <row r="690" spans="1:7" x14ac:dyDescent="0.25">
      <c r="A690">
        <f t="shared" si="20"/>
        <v>0</v>
      </c>
      <c r="B690" s="3">
        <f t="shared" si="21"/>
        <v>0</v>
      </c>
      <c r="C690" s="72"/>
      <c r="D690" s="72"/>
      <c r="E690" s="73"/>
      <c r="F690" s="73"/>
      <c r="G690" t="s">
        <v>1224</v>
      </c>
    </row>
    <row r="691" spans="1:7" x14ac:dyDescent="0.25">
      <c r="A691">
        <f t="shared" si="20"/>
        <v>0</v>
      </c>
      <c r="B691" s="3">
        <f t="shared" si="21"/>
        <v>0</v>
      </c>
      <c r="C691" s="72"/>
      <c r="D691" s="72"/>
      <c r="E691" s="73"/>
      <c r="F691" s="73"/>
      <c r="G691" t="s">
        <v>1224</v>
      </c>
    </row>
    <row r="692" spans="1:7" x14ac:dyDescent="0.25">
      <c r="A692">
        <f t="shared" si="20"/>
        <v>0</v>
      </c>
      <c r="B692" s="3">
        <f t="shared" si="21"/>
        <v>0</v>
      </c>
      <c r="C692" s="72"/>
      <c r="D692" s="72"/>
      <c r="E692" s="73"/>
      <c r="F692" s="73"/>
      <c r="G692" t="s">
        <v>1224</v>
      </c>
    </row>
    <row r="693" spans="1:7" x14ac:dyDescent="0.25">
      <c r="A693">
        <f t="shared" si="20"/>
        <v>0</v>
      </c>
      <c r="B693" s="3">
        <f t="shared" si="21"/>
        <v>0</v>
      </c>
      <c r="C693" s="72"/>
      <c r="D693" s="72"/>
      <c r="E693" s="73"/>
      <c r="F693" s="73"/>
      <c r="G693" t="s">
        <v>1224</v>
      </c>
    </row>
    <row r="694" spans="1:7" x14ac:dyDescent="0.25">
      <c r="A694">
        <f t="shared" si="20"/>
        <v>0</v>
      </c>
      <c r="B694" s="3">
        <f t="shared" si="21"/>
        <v>0</v>
      </c>
      <c r="C694" s="72"/>
      <c r="D694" s="72"/>
      <c r="E694" s="73"/>
      <c r="F694" s="73"/>
      <c r="G694" t="s">
        <v>1224</v>
      </c>
    </row>
    <row r="695" spans="1:7" x14ac:dyDescent="0.25">
      <c r="A695">
        <f t="shared" si="20"/>
        <v>0</v>
      </c>
      <c r="B695" s="3">
        <f t="shared" si="21"/>
        <v>0</v>
      </c>
      <c r="C695" s="72"/>
      <c r="D695" s="72"/>
      <c r="E695" s="73"/>
      <c r="F695" s="73"/>
      <c r="G695" t="s">
        <v>1224</v>
      </c>
    </row>
    <row r="696" spans="1:7" x14ac:dyDescent="0.25">
      <c r="A696">
        <f t="shared" si="20"/>
        <v>0</v>
      </c>
      <c r="B696" s="3">
        <f t="shared" si="21"/>
        <v>0</v>
      </c>
      <c r="C696" s="72"/>
      <c r="D696" s="72"/>
      <c r="E696" s="73"/>
      <c r="F696" s="73"/>
      <c r="G696" t="s">
        <v>1224</v>
      </c>
    </row>
    <row r="697" spans="1:7" x14ac:dyDescent="0.25">
      <c r="A697">
        <f t="shared" si="20"/>
        <v>0</v>
      </c>
      <c r="B697" s="3">
        <f t="shared" si="21"/>
        <v>0</v>
      </c>
      <c r="C697" s="72"/>
      <c r="D697" s="72"/>
      <c r="E697" s="73"/>
      <c r="F697" s="73"/>
      <c r="G697" t="s">
        <v>1224</v>
      </c>
    </row>
    <row r="698" spans="1:7" x14ac:dyDescent="0.25">
      <c r="A698">
        <f t="shared" si="20"/>
        <v>0</v>
      </c>
      <c r="B698" s="3">
        <f t="shared" si="21"/>
        <v>0</v>
      </c>
      <c r="C698" s="72"/>
      <c r="D698" s="72"/>
      <c r="E698" s="73"/>
      <c r="F698" s="73"/>
      <c r="G698" t="s">
        <v>1224</v>
      </c>
    </row>
    <row r="699" spans="1:7" x14ac:dyDescent="0.25">
      <c r="A699">
        <f t="shared" si="20"/>
        <v>0</v>
      </c>
      <c r="B699" s="3">
        <f t="shared" si="21"/>
        <v>0</v>
      </c>
      <c r="C699" s="72"/>
      <c r="D699" s="72"/>
      <c r="E699" s="73"/>
      <c r="F699" s="73"/>
      <c r="G699" t="s">
        <v>1224</v>
      </c>
    </row>
    <row r="700" spans="1:7" x14ac:dyDescent="0.25">
      <c r="A700">
        <f t="shared" si="20"/>
        <v>0</v>
      </c>
      <c r="B700" s="3">
        <f t="shared" si="21"/>
        <v>0</v>
      </c>
      <c r="C700" s="72"/>
      <c r="D700" s="72"/>
      <c r="E700" s="73"/>
      <c r="F700" s="73"/>
      <c r="G700" t="s">
        <v>1224</v>
      </c>
    </row>
    <row r="701" spans="1:7" x14ac:dyDescent="0.25">
      <c r="A701">
        <f t="shared" si="20"/>
        <v>0</v>
      </c>
      <c r="B701" s="3">
        <f t="shared" si="21"/>
        <v>0</v>
      </c>
      <c r="C701" s="72"/>
      <c r="D701" s="72"/>
      <c r="E701" s="73"/>
      <c r="F701" s="73"/>
      <c r="G701" t="s">
        <v>1224</v>
      </c>
    </row>
    <row r="702" spans="1:7" x14ac:dyDescent="0.25">
      <c r="A702">
        <f t="shared" si="20"/>
        <v>0</v>
      </c>
      <c r="B702" s="3">
        <f t="shared" si="21"/>
        <v>0</v>
      </c>
      <c r="C702" s="72"/>
      <c r="D702" s="72"/>
      <c r="E702" s="73"/>
      <c r="F702" s="73"/>
      <c r="G702" t="s">
        <v>1224</v>
      </c>
    </row>
    <row r="703" spans="1:7" x14ac:dyDescent="0.25">
      <c r="A703">
        <f t="shared" si="20"/>
        <v>0</v>
      </c>
      <c r="B703" s="3">
        <f t="shared" si="21"/>
        <v>0</v>
      </c>
      <c r="C703" s="72"/>
      <c r="D703" s="72"/>
      <c r="E703" s="73"/>
      <c r="F703" s="73"/>
      <c r="G703" t="s">
        <v>1224</v>
      </c>
    </row>
    <row r="704" spans="1:7" x14ac:dyDescent="0.25">
      <c r="A704">
        <f t="shared" si="20"/>
        <v>0</v>
      </c>
      <c r="B704" s="3">
        <f t="shared" si="21"/>
        <v>0</v>
      </c>
      <c r="C704" s="72"/>
      <c r="D704" s="72"/>
      <c r="E704" s="73"/>
      <c r="F704" s="73"/>
      <c r="G704" t="s">
        <v>1224</v>
      </c>
    </row>
    <row r="705" spans="1:7" x14ac:dyDescent="0.25">
      <c r="A705">
        <f t="shared" si="20"/>
        <v>0</v>
      </c>
      <c r="B705" s="3">
        <f t="shared" si="21"/>
        <v>0</v>
      </c>
      <c r="C705" s="72"/>
      <c r="D705" s="72"/>
      <c r="E705" s="73"/>
      <c r="F705" s="73"/>
      <c r="G705" t="s">
        <v>1224</v>
      </c>
    </row>
    <row r="706" spans="1:7" x14ac:dyDescent="0.25">
      <c r="A706">
        <f t="shared" si="20"/>
        <v>0</v>
      </c>
      <c r="B706" s="3">
        <f t="shared" si="21"/>
        <v>0</v>
      </c>
      <c r="C706" s="72"/>
      <c r="D706" s="72"/>
      <c r="E706" s="73"/>
      <c r="F706" s="73"/>
      <c r="G706" t="s">
        <v>1224</v>
      </c>
    </row>
    <row r="707" spans="1:7" x14ac:dyDescent="0.25">
      <c r="A707">
        <f t="shared" si="20"/>
        <v>0</v>
      </c>
      <c r="B707" s="3">
        <f t="shared" si="21"/>
        <v>0</v>
      </c>
      <c r="C707" s="72"/>
      <c r="D707" s="72"/>
      <c r="E707" s="73"/>
      <c r="F707" s="73"/>
      <c r="G707" t="s">
        <v>1224</v>
      </c>
    </row>
    <row r="708" spans="1:7" x14ac:dyDescent="0.25">
      <c r="A708">
        <f t="shared" si="20"/>
        <v>0</v>
      </c>
      <c r="B708" s="3">
        <f t="shared" si="21"/>
        <v>0</v>
      </c>
      <c r="C708" s="72"/>
      <c r="D708" s="72"/>
      <c r="E708" s="73"/>
      <c r="F708" s="73"/>
      <c r="G708" t="s">
        <v>1224</v>
      </c>
    </row>
    <row r="709" spans="1:7" x14ac:dyDescent="0.25">
      <c r="A709">
        <f t="shared" si="20"/>
        <v>0</v>
      </c>
      <c r="B709" s="3">
        <f t="shared" si="21"/>
        <v>0</v>
      </c>
      <c r="C709" s="72"/>
      <c r="D709" s="72"/>
      <c r="E709" s="73"/>
      <c r="F709" s="73"/>
      <c r="G709" t="s">
        <v>1224</v>
      </c>
    </row>
    <row r="710" spans="1:7" x14ac:dyDescent="0.25">
      <c r="A710">
        <f t="shared" si="20"/>
        <v>0</v>
      </c>
      <c r="B710" s="3">
        <f t="shared" si="21"/>
        <v>0</v>
      </c>
      <c r="C710" s="72"/>
      <c r="D710" s="72"/>
      <c r="E710" s="73"/>
      <c r="F710" s="73"/>
      <c r="G710" t="s">
        <v>1224</v>
      </c>
    </row>
    <row r="711" spans="1:7" x14ac:dyDescent="0.25">
      <c r="A711">
        <f t="shared" ref="A711:A774" si="22">IF(ISNUMBER(C711),C711*F711,)</f>
        <v>0</v>
      </c>
      <c r="B711" s="3">
        <f t="shared" ref="B711:B774" si="23">IF(C711&lt;&gt;"",1,0)</f>
        <v>0</v>
      </c>
      <c r="C711" s="72"/>
      <c r="D711" s="72"/>
      <c r="E711" s="73"/>
      <c r="F711" s="73"/>
      <c r="G711" t="s">
        <v>1224</v>
      </c>
    </row>
    <row r="712" spans="1:7" x14ac:dyDescent="0.25">
      <c r="A712">
        <f t="shared" si="22"/>
        <v>0</v>
      </c>
      <c r="B712" s="3">
        <f t="shared" si="23"/>
        <v>0</v>
      </c>
      <c r="C712" s="72"/>
      <c r="D712" s="72"/>
      <c r="E712" s="73"/>
      <c r="F712" s="73"/>
      <c r="G712" t="s">
        <v>1224</v>
      </c>
    </row>
    <row r="713" spans="1:7" x14ac:dyDescent="0.25">
      <c r="A713">
        <f t="shared" si="22"/>
        <v>0</v>
      </c>
      <c r="B713" s="3">
        <f t="shared" si="23"/>
        <v>0</v>
      </c>
      <c r="C713" s="72"/>
      <c r="D713" s="72"/>
      <c r="E713" s="73"/>
      <c r="F713" s="73"/>
      <c r="G713" t="s">
        <v>1224</v>
      </c>
    </row>
    <row r="714" spans="1:7" x14ac:dyDescent="0.25">
      <c r="A714">
        <f t="shared" si="22"/>
        <v>0</v>
      </c>
      <c r="B714" s="3">
        <f t="shared" si="23"/>
        <v>0</v>
      </c>
      <c r="C714" s="72"/>
      <c r="D714" s="72"/>
      <c r="E714" s="73"/>
      <c r="F714" s="73"/>
      <c r="G714" t="s">
        <v>1224</v>
      </c>
    </row>
    <row r="715" spans="1:7" x14ac:dyDescent="0.25">
      <c r="A715">
        <f t="shared" si="22"/>
        <v>0</v>
      </c>
      <c r="B715" s="3">
        <f t="shared" si="23"/>
        <v>0</v>
      </c>
      <c r="C715" s="72"/>
      <c r="D715" s="72"/>
      <c r="E715" s="73"/>
      <c r="F715" s="73"/>
      <c r="G715" t="s">
        <v>1224</v>
      </c>
    </row>
    <row r="716" spans="1:7" x14ac:dyDescent="0.25">
      <c r="A716">
        <f t="shared" si="22"/>
        <v>0</v>
      </c>
      <c r="B716" s="3">
        <f t="shared" si="23"/>
        <v>0</v>
      </c>
      <c r="C716" s="72"/>
      <c r="D716" s="72"/>
      <c r="E716" s="73"/>
      <c r="F716" s="73"/>
      <c r="G716" t="s">
        <v>1224</v>
      </c>
    </row>
    <row r="717" spans="1:7" x14ac:dyDescent="0.25">
      <c r="A717">
        <f t="shared" si="22"/>
        <v>0</v>
      </c>
      <c r="B717" s="3">
        <f t="shared" si="23"/>
        <v>0</v>
      </c>
      <c r="C717" s="72"/>
      <c r="D717" s="72"/>
      <c r="E717" s="73"/>
      <c r="F717" s="73"/>
      <c r="G717" t="s">
        <v>1224</v>
      </c>
    </row>
    <row r="718" spans="1:7" x14ac:dyDescent="0.25">
      <c r="A718">
        <f t="shared" si="22"/>
        <v>0</v>
      </c>
      <c r="B718" s="3">
        <f t="shared" si="23"/>
        <v>0</v>
      </c>
      <c r="C718" s="72"/>
      <c r="D718" s="72"/>
      <c r="E718" s="73"/>
      <c r="F718" s="73"/>
      <c r="G718" t="s">
        <v>1224</v>
      </c>
    </row>
    <row r="719" spans="1:7" x14ac:dyDescent="0.25">
      <c r="A719">
        <f t="shared" si="22"/>
        <v>0</v>
      </c>
      <c r="B719" s="3">
        <f t="shared" si="23"/>
        <v>0</v>
      </c>
      <c r="C719" s="72"/>
      <c r="D719" s="72"/>
      <c r="E719" s="73"/>
      <c r="F719" s="73"/>
      <c r="G719" t="s">
        <v>1224</v>
      </c>
    </row>
    <row r="720" spans="1:7" x14ac:dyDescent="0.25">
      <c r="A720">
        <f t="shared" si="22"/>
        <v>0</v>
      </c>
      <c r="B720" s="3">
        <f t="shared" si="23"/>
        <v>0</v>
      </c>
      <c r="C720" s="72"/>
      <c r="D720" s="72"/>
      <c r="E720" s="73"/>
      <c r="F720" s="73"/>
      <c r="G720" t="s">
        <v>1224</v>
      </c>
    </row>
    <row r="721" spans="1:7" x14ac:dyDescent="0.25">
      <c r="A721">
        <f t="shared" si="22"/>
        <v>0</v>
      </c>
      <c r="B721" s="3">
        <f t="shared" si="23"/>
        <v>0</v>
      </c>
      <c r="C721" s="72"/>
      <c r="D721" s="72"/>
      <c r="E721" s="73"/>
      <c r="F721" s="73"/>
      <c r="G721" t="s">
        <v>1224</v>
      </c>
    </row>
    <row r="722" spans="1:7" x14ac:dyDescent="0.25">
      <c r="A722">
        <f t="shared" si="22"/>
        <v>0</v>
      </c>
      <c r="B722" s="3">
        <f t="shared" si="23"/>
        <v>0</v>
      </c>
      <c r="C722" s="72"/>
      <c r="D722" s="72"/>
      <c r="E722" s="73"/>
      <c r="F722" s="73"/>
      <c r="G722" t="s">
        <v>1224</v>
      </c>
    </row>
    <row r="723" spans="1:7" x14ac:dyDescent="0.25">
      <c r="A723">
        <f t="shared" si="22"/>
        <v>0</v>
      </c>
      <c r="B723" s="3">
        <f t="shared" si="23"/>
        <v>0</v>
      </c>
      <c r="C723" s="72"/>
      <c r="D723" s="72"/>
      <c r="E723" s="73"/>
      <c r="F723" s="73"/>
      <c r="G723" t="s">
        <v>1224</v>
      </c>
    </row>
    <row r="724" spans="1:7" x14ac:dyDescent="0.25">
      <c r="A724">
        <f t="shared" si="22"/>
        <v>0</v>
      </c>
      <c r="B724" s="3">
        <f t="shared" si="23"/>
        <v>0</v>
      </c>
      <c r="C724" s="72"/>
      <c r="D724" s="72"/>
      <c r="E724" s="73"/>
      <c r="F724" s="73"/>
      <c r="G724" t="s">
        <v>1224</v>
      </c>
    </row>
    <row r="725" spans="1:7" x14ac:dyDescent="0.25">
      <c r="A725">
        <f t="shared" si="22"/>
        <v>0</v>
      </c>
      <c r="B725" s="3">
        <f t="shared" si="23"/>
        <v>0</v>
      </c>
      <c r="C725" s="72"/>
      <c r="D725" s="72"/>
      <c r="E725" s="73"/>
      <c r="F725" s="73"/>
      <c r="G725" t="s">
        <v>1224</v>
      </c>
    </row>
    <row r="726" spans="1:7" x14ac:dyDescent="0.25">
      <c r="A726">
        <f t="shared" si="22"/>
        <v>0</v>
      </c>
      <c r="B726" s="3">
        <f t="shared" si="23"/>
        <v>0</v>
      </c>
      <c r="C726" s="72"/>
      <c r="D726" s="72"/>
      <c r="E726" s="73"/>
      <c r="F726" s="73"/>
      <c r="G726" t="s">
        <v>1224</v>
      </c>
    </row>
    <row r="727" spans="1:7" x14ac:dyDescent="0.25">
      <c r="A727">
        <f t="shared" si="22"/>
        <v>0</v>
      </c>
      <c r="B727" s="3">
        <f t="shared" si="23"/>
        <v>0</v>
      </c>
      <c r="C727" s="72"/>
      <c r="D727" s="72"/>
      <c r="E727" s="73"/>
      <c r="F727" s="73"/>
      <c r="G727" t="s">
        <v>1224</v>
      </c>
    </row>
    <row r="728" spans="1:7" x14ac:dyDescent="0.25">
      <c r="A728">
        <f t="shared" si="22"/>
        <v>0</v>
      </c>
      <c r="B728" s="3">
        <f t="shared" si="23"/>
        <v>0</v>
      </c>
      <c r="C728" s="72"/>
      <c r="D728" s="72"/>
      <c r="E728" s="73"/>
      <c r="F728" s="73"/>
      <c r="G728" t="s">
        <v>1224</v>
      </c>
    </row>
    <row r="729" spans="1:7" x14ac:dyDescent="0.25">
      <c r="A729">
        <f t="shared" si="22"/>
        <v>0</v>
      </c>
      <c r="B729" s="3">
        <f t="shared" si="23"/>
        <v>0</v>
      </c>
      <c r="C729" s="72"/>
      <c r="D729" s="72"/>
      <c r="E729" s="73"/>
      <c r="F729" s="73"/>
      <c r="G729" t="s">
        <v>1224</v>
      </c>
    </row>
    <row r="730" spans="1:7" x14ac:dyDescent="0.25">
      <c r="A730">
        <f t="shared" si="22"/>
        <v>0</v>
      </c>
      <c r="B730" s="3">
        <f t="shared" si="23"/>
        <v>0</v>
      </c>
      <c r="C730" s="72"/>
      <c r="D730" s="72"/>
      <c r="E730" s="73"/>
      <c r="F730" s="73"/>
      <c r="G730" t="s">
        <v>1224</v>
      </c>
    </row>
    <row r="731" spans="1:7" x14ac:dyDescent="0.25">
      <c r="A731">
        <f t="shared" si="22"/>
        <v>0</v>
      </c>
      <c r="B731" s="3">
        <f t="shared" si="23"/>
        <v>0</v>
      </c>
      <c r="C731" s="72"/>
      <c r="D731" s="72"/>
      <c r="E731" s="73"/>
      <c r="F731" s="73"/>
      <c r="G731" t="s">
        <v>1224</v>
      </c>
    </row>
    <row r="732" spans="1:7" x14ac:dyDescent="0.25">
      <c r="A732">
        <f t="shared" si="22"/>
        <v>0</v>
      </c>
      <c r="B732" s="3">
        <f t="shared" si="23"/>
        <v>0</v>
      </c>
      <c r="C732" s="72"/>
      <c r="D732" s="72"/>
      <c r="E732" s="73"/>
      <c r="F732" s="73"/>
      <c r="G732" t="s">
        <v>1224</v>
      </c>
    </row>
    <row r="733" spans="1:7" x14ac:dyDescent="0.25">
      <c r="A733">
        <f t="shared" si="22"/>
        <v>0</v>
      </c>
      <c r="B733" s="3">
        <f t="shared" si="23"/>
        <v>0</v>
      </c>
      <c r="C733" s="72"/>
      <c r="D733" s="72"/>
      <c r="E733" s="73"/>
      <c r="F733" s="73"/>
      <c r="G733" t="s">
        <v>1224</v>
      </c>
    </row>
    <row r="734" spans="1:7" x14ac:dyDescent="0.25">
      <c r="A734">
        <f t="shared" si="22"/>
        <v>0</v>
      </c>
      <c r="B734" s="3">
        <f t="shared" si="23"/>
        <v>0</v>
      </c>
      <c r="C734" s="72"/>
      <c r="D734" s="72"/>
      <c r="E734" s="73"/>
      <c r="F734" s="73"/>
      <c r="G734" t="s">
        <v>1224</v>
      </c>
    </row>
    <row r="735" spans="1:7" x14ac:dyDescent="0.25">
      <c r="A735">
        <f t="shared" si="22"/>
        <v>0</v>
      </c>
      <c r="B735" s="3">
        <f t="shared" si="23"/>
        <v>0</v>
      </c>
      <c r="C735" s="72"/>
      <c r="D735" s="72"/>
      <c r="E735" s="73"/>
      <c r="F735" s="73"/>
      <c r="G735" t="s">
        <v>1224</v>
      </c>
    </row>
    <row r="736" spans="1:7" x14ac:dyDescent="0.25">
      <c r="A736">
        <f t="shared" si="22"/>
        <v>0</v>
      </c>
      <c r="B736" s="3">
        <f t="shared" si="23"/>
        <v>0</v>
      </c>
      <c r="C736" s="72"/>
      <c r="D736" s="72"/>
      <c r="E736" s="73"/>
      <c r="F736" s="73"/>
      <c r="G736" t="s">
        <v>1224</v>
      </c>
    </row>
    <row r="737" spans="1:7" x14ac:dyDescent="0.25">
      <c r="A737">
        <f t="shared" si="22"/>
        <v>0</v>
      </c>
      <c r="B737" s="3">
        <f t="shared" si="23"/>
        <v>0</v>
      </c>
      <c r="C737" s="72"/>
      <c r="D737" s="72"/>
      <c r="E737" s="73"/>
      <c r="F737" s="73"/>
      <c r="G737" t="s">
        <v>1224</v>
      </c>
    </row>
    <row r="738" spans="1:7" x14ac:dyDescent="0.25">
      <c r="A738">
        <f t="shared" si="22"/>
        <v>0</v>
      </c>
      <c r="B738" s="3">
        <f t="shared" si="23"/>
        <v>0</v>
      </c>
      <c r="C738" s="72"/>
      <c r="D738" s="72"/>
      <c r="E738" s="73"/>
      <c r="F738" s="73"/>
      <c r="G738" t="s">
        <v>1224</v>
      </c>
    </row>
    <row r="739" spans="1:7" x14ac:dyDescent="0.25">
      <c r="A739">
        <f t="shared" si="22"/>
        <v>0</v>
      </c>
      <c r="B739" s="3">
        <f t="shared" si="23"/>
        <v>0</v>
      </c>
      <c r="C739" s="72"/>
      <c r="D739" s="72"/>
      <c r="E739" s="73"/>
      <c r="F739" s="73"/>
      <c r="G739" t="s">
        <v>1224</v>
      </c>
    </row>
    <row r="740" spans="1:7" x14ac:dyDescent="0.25">
      <c r="A740">
        <f t="shared" si="22"/>
        <v>0</v>
      </c>
      <c r="B740" s="3">
        <f t="shared" si="23"/>
        <v>0</v>
      </c>
      <c r="C740" s="72"/>
      <c r="D740" s="72"/>
      <c r="E740" s="73"/>
      <c r="F740" s="73"/>
      <c r="G740" t="s">
        <v>1224</v>
      </c>
    </row>
    <row r="741" spans="1:7" x14ac:dyDescent="0.25">
      <c r="A741">
        <f t="shared" si="22"/>
        <v>0</v>
      </c>
      <c r="B741" s="3">
        <f t="shared" si="23"/>
        <v>0</v>
      </c>
      <c r="C741" s="72"/>
      <c r="D741" s="72"/>
      <c r="E741" s="73"/>
      <c r="F741" s="73"/>
      <c r="G741" t="s">
        <v>1224</v>
      </c>
    </row>
    <row r="742" spans="1:7" x14ac:dyDescent="0.25">
      <c r="A742">
        <f t="shared" si="22"/>
        <v>0</v>
      </c>
      <c r="B742" s="3">
        <f t="shared" si="23"/>
        <v>0</v>
      </c>
      <c r="C742" s="72"/>
      <c r="D742" s="72"/>
      <c r="E742" s="73"/>
      <c r="F742" s="73"/>
      <c r="G742" t="s">
        <v>1224</v>
      </c>
    </row>
    <row r="743" spans="1:7" x14ac:dyDescent="0.25">
      <c r="A743">
        <f t="shared" si="22"/>
        <v>0</v>
      </c>
      <c r="B743" s="3">
        <f t="shared" si="23"/>
        <v>0</v>
      </c>
      <c r="C743" s="72"/>
      <c r="D743" s="72"/>
      <c r="E743" s="73"/>
      <c r="F743" s="73"/>
      <c r="G743" t="s">
        <v>1224</v>
      </c>
    </row>
    <row r="744" spans="1:7" x14ac:dyDescent="0.25">
      <c r="A744">
        <f t="shared" si="22"/>
        <v>0</v>
      </c>
      <c r="B744" s="3">
        <f t="shared" si="23"/>
        <v>0</v>
      </c>
      <c r="C744" s="72"/>
      <c r="D744" s="72"/>
      <c r="E744" s="73"/>
      <c r="F744" s="73"/>
      <c r="G744" t="s">
        <v>1224</v>
      </c>
    </row>
    <row r="745" spans="1:7" x14ac:dyDescent="0.25">
      <c r="A745">
        <f t="shared" si="22"/>
        <v>0</v>
      </c>
      <c r="B745" s="3">
        <f t="shared" si="23"/>
        <v>0</v>
      </c>
      <c r="C745" s="72"/>
      <c r="D745" s="72"/>
      <c r="E745" s="73"/>
      <c r="F745" s="73"/>
      <c r="G745" t="s">
        <v>1224</v>
      </c>
    </row>
    <row r="746" spans="1:7" x14ac:dyDescent="0.25">
      <c r="A746">
        <f t="shared" si="22"/>
        <v>0</v>
      </c>
      <c r="B746" s="3">
        <f t="shared" si="23"/>
        <v>0</v>
      </c>
      <c r="C746" s="72"/>
      <c r="D746" s="72"/>
      <c r="E746" s="73"/>
      <c r="F746" s="73"/>
      <c r="G746" t="s">
        <v>1224</v>
      </c>
    </row>
    <row r="747" spans="1:7" x14ac:dyDescent="0.25">
      <c r="A747">
        <f t="shared" si="22"/>
        <v>0</v>
      </c>
      <c r="B747" s="3">
        <f t="shared" si="23"/>
        <v>0</v>
      </c>
      <c r="C747" s="72"/>
      <c r="D747" s="72"/>
      <c r="E747" s="73"/>
      <c r="F747" s="73"/>
      <c r="G747" t="s">
        <v>1224</v>
      </c>
    </row>
    <row r="748" spans="1:7" x14ac:dyDescent="0.25">
      <c r="A748">
        <f t="shared" si="22"/>
        <v>0</v>
      </c>
      <c r="B748" s="3">
        <f t="shared" si="23"/>
        <v>0</v>
      </c>
      <c r="C748" s="72"/>
      <c r="D748" s="72"/>
      <c r="E748" s="73"/>
      <c r="F748" s="73"/>
      <c r="G748" t="s">
        <v>1224</v>
      </c>
    </row>
    <row r="749" spans="1:7" x14ac:dyDescent="0.25">
      <c r="A749">
        <f t="shared" si="22"/>
        <v>0</v>
      </c>
      <c r="B749" s="3">
        <f t="shared" si="23"/>
        <v>0</v>
      </c>
      <c r="C749" s="72"/>
      <c r="D749" s="72"/>
      <c r="E749" s="73"/>
      <c r="F749" s="73"/>
      <c r="G749" t="s">
        <v>1224</v>
      </c>
    </row>
    <row r="750" spans="1:7" x14ac:dyDescent="0.25">
      <c r="A750">
        <f t="shared" si="22"/>
        <v>0</v>
      </c>
      <c r="B750" s="3">
        <f t="shared" si="23"/>
        <v>0</v>
      </c>
      <c r="C750" s="72"/>
      <c r="D750" s="72"/>
      <c r="E750" s="73"/>
      <c r="F750" s="73"/>
      <c r="G750" t="s">
        <v>1224</v>
      </c>
    </row>
    <row r="751" spans="1:7" x14ac:dyDescent="0.25">
      <c r="A751">
        <f t="shared" si="22"/>
        <v>0</v>
      </c>
      <c r="B751" s="3">
        <f t="shared" si="23"/>
        <v>0</v>
      </c>
      <c r="C751" s="72"/>
      <c r="D751" s="72"/>
      <c r="E751" s="73"/>
      <c r="F751" s="73"/>
      <c r="G751" t="s">
        <v>1224</v>
      </c>
    </row>
    <row r="752" spans="1:7" x14ac:dyDescent="0.25">
      <c r="A752">
        <f t="shared" si="22"/>
        <v>0</v>
      </c>
      <c r="B752" s="3">
        <f t="shared" si="23"/>
        <v>0</v>
      </c>
      <c r="C752" s="72"/>
      <c r="D752" s="72"/>
      <c r="E752" s="73"/>
      <c r="F752" s="73"/>
      <c r="G752" t="s">
        <v>1224</v>
      </c>
    </row>
    <row r="753" spans="1:7" x14ac:dyDescent="0.25">
      <c r="A753">
        <f t="shared" si="22"/>
        <v>0</v>
      </c>
      <c r="B753" s="3">
        <f t="shared" si="23"/>
        <v>0</v>
      </c>
      <c r="C753" s="72"/>
      <c r="D753" s="72"/>
      <c r="E753" s="73"/>
      <c r="F753" s="73"/>
      <c r="G753" t="s">
        <v>1224</v>
      </c>
    </row>
    <row r="754" spans="1:7" x14ac:dyDescent="0.25">
      <c r="A754">
        <f t="shared" si="22"/>
        <v>0</v>
      </c>
      <c r="B754" s="3">
        <f t="shared" si="23"/>
        <v>0</v>
      </c>
      <c r="C754" s="72"/>
      <c r="D754" s="72"/>
      <c r="E754" s="73"/>
      <c r="F754" s="73"/>
      <c r="G754" t="s">
        <v>1224</v>
      </c>
    </row>
    <row r="755" spans="1:7" x14ac:dyDescent="0.25">
      <c r="A755">
        <f t="shared" si="22"/>
        <v>0</v>
      </c>
      <c r="B755" s="3">
        <f t="shared" si="23"/>
        <v>0</v>
      </c>
      <c r="C755" s="72"/>
      <c r="D755" s="72"/>
      <c r="E755" s="73"/>
      <c r="F755" s="73"/>
      <c r="G755" t="s">
        <v>1224</v>
      </c>
    </row>
    <row r="756" spans="1:7" x14ac:dyDescent="0.25">
      <c r="A756">
        <f t="shared" si="22"/>
        <v>0</v>
      </c>
      <c r="B756" s="3">
        <f t="shared" si="23"/>
        <v>0</v>
      </c>
      <c r="C756" s="72"/>
      <c r="D756" s="72"/>
      <c r="E756" s="73"/>
      <c r="F756" s="73"/>
      <c r="G756" t="s">
        <v>1224</v>
      </c>
    </row>
    <row r="757" spans="1:7" x14ac:dyDescent="0.25">
      <c r="A757">
        <f t="shared" si="22"/>
        <v>0</v>
      </c>
      <c r="B757" s="3">
        <f t="shared" si="23"/>
        <v>0</v>
      </c>
      <c r="C757" s="72"/>
      <c r="D757" s="72"/>
      <c r="E757" s="73"/>
      <c r="F757" s="73"/>
      <c r="G757" t="s">
        <v>1224</v>
      </c>
    </row>
    <row r="758" spans="1:7" x14ac:dyDescent="0.25">
      <c r="A758">
        <f t="shared" si="22"/>
        <v>0</v>
      </c>
      <c r="B758" s="3">
        <f t="shared" si="23"/>
        <v>0</v>
      </c>
      <c r="C758" s="72"/>
      <c r="D758" s="72"/>
      <c r="E758" s="73"/>
      <c r="F758" s="73"/>
      <c r="G758" t="s">
        <v>1224</v>
      </c>
    </row>
    <row r="759" spans="1:7" x14ac:dyDescent="0.25">
      <c r="A759">
        <f t="shared" si="22"/>
        <v>0</v>
      </c>
      <c r="B759" s="3">
        <f t="shared" si="23"/>
        <v>0</v>
      </c>
      <c r="C759" s="72"/>
      <c r="D759" s="72"/>
      <c r="E759" s="73"/>
      <c r="F759" s="73"/>
      <c r="G759" t="s">
        <v>1224</v>
      </c>
    </row>
    <row r="760" spans="1:7" x14ac:dyDescent="0.25">
      <c r="A760">
        <f t="shared" si="22"/>
        <v>0</v>
      </c>
      <c r="B760" s="3">
        <f t="shared" si="23"/>
        <v>0</v>
      </c>
      <c r="C760" s="72"/>
      <c r="D760" s="72"/>
      <c r="E760" s="73"/>
      <c r="F760" s="73"/>
      <c r="G760" t="s">
        <v>1224</v>
      </c>
    </row>
    <row r="761" spans="1:7" x14ac:dyDescent="0.25">
      <c r="A761">
        <f t="shared" si="22"/>
        <v>0</v>
      </c>
      <c r="B761" s="3">
        <f t="shared" si="23"/>
        <v>0</v>
      </c>
      <c r="C761" s="72"/>
      <c r="D761" s="72"/>
      <c r="E761" s="73"/>
      <c r="F761" s="73"/>
      <c r="G761" t="s">
        <v>1224</v>
      </c>
    </row>
    <row r="762" spans="1:7" x14ac:dyDescent="0.25">
      <c r="A762">
        <f t="shared" si="22"/>
        <v>0</v>
      </c>
      <c r="B762" s="3">
        <f t="shared" si="23"/>
        <v>0</v>
      </c>
      <c r="C762" s="72"/>
      <c r="D762" s="72"/>
      <c r="E762" s="73"/>
      <c r="F762" s="73"/>
      <c r="G762" t="s">
        <v>1224</v>
      </c>
    </row>
    <row r="763" spans="1:7" x14ac:dyDescent="0.25">
      <c r="A763">
        <f t="shared" si="22"/>
        <v>0</v>
      </c>
      <c r="B763" s="3">
        <f t="shared" si="23"/>
        <v>0</v>
      </c>
      <c r="C763" s="72"/>
      <c r="D763" s="72"/>
      <c r="E763" s="73"/>
      <c r="F763" s="73"/>
      <c r="G763" t="s">
        <v>1224</v>
      </c>
    </row>
    <row r="764" spans="1:7" x14ac:dyDescent="0.25">
      <c r="A764">
        <f t="shared" si="22"/>
        <v>0</v>
      </c>
      <c r="B764" s="3">
        <f t="shared" si="23"/>
        <v>0</v>
      </c>
      <c r="C764" s="72"/>
      <c r="D764" s="72"/>
      <c r="E764" s="73"/>
      <c r="F764" s="73"/>
      <c r="G764" t="s">
        <v>1224</v>
      </c>
    </row>
    <row r="765" spans="1:7" x14ac:dyDescent="0.25">
      <c r="A765">
        <f t="shared" si="22"/>
        <v>0</v>
      </c>
      <c r="B765" s="3">
        <f t="shared" si="23"/>
        <v>0</v>
      </c>
      <c r="C765" s="72"/>
      <c r="D765" s="72"/>
      <c r="E765" s="73"/>
      <c r="F765" s="73"/>
      <c r="G765" t="s">
        <v>1224</v>
      </c>
    </row>
    <row r="766" spans="1:7" x14ac:dyDescent="0.25">
      <c r="A766">
        <f t="shared" si="22"/>
        <v>0</v>
      </c>
      <c r="B766" s="3">
        <f t="shared" si="23"/>
        <v>0</v>
      </c>
      <c r="C766" s="72"/>
      <c r="D766" s="72"/>
      <c r="E766" s="73"/>
      <c r="F766" s="73"/>
      <c r="G766" t="s">
        <v>1224</v>
      </c>
    </row>
    <row r="767" spans="1:7" x14ac:dyDescent="0.25">
      <c r="A767">
        <f t="shared" si="22"/>
        <v>0</v>
      </c>
      <c r="B767" s="3">
        <f t="shared" si="23"/>
        <v>0</v>
      </c>
      <c r="C767" s="72"/>
      <c r="D767" s="72"/>
      <c r="E767" s="73"/>
      <c r="F767" s="73"/>
      <c r="G767" t="s">
        <v>1224</v>
      </c>
    </row>
    <row r="768" spans="1:7" x14ac:dyDescent="0.25">
      <c r="A768">
        <f t="shared" si="22"/>
        <v>0</v>
      </c>
      <c r="B768" s="3">
        <f t="shared" si="23"/>
        <v>0</v>
      </c>
      <c r="C768" s="72"/>
      <c r="D768" s="72"/>
      <c r="E768" s="73"/>
      <c r="F768" s="73"/>
      <c r="G768" t="s">
        <v>1224</v>
      </c>
    </row>
    <row r="769" spans="1:7" x14ac:dyDescent="0.25">
      <c r="A769">
        <f t="shared" si="22"/>
        <v>0</v>
      </c>
      <c r="B769" s="3">
        <f t="shared" si="23"/>
        <v>0</v>
      </c>
      <c r="C769" s="72"/>
      <c r="D769" s="72"/>
      <c r="E769" s="73"/>
      <c r="F769" s="73"/>
      <c r="G769" t="s">
        <v>1224</v>
      </c>
    </row>
    <row r="770" spans="1:7" x14ac:dyDescent="0.25">
      <c r="A770">
        <f t="shared" si="22"/>
        <v>0</v>
      </c>
      <c r="B770" s="3">
        <f t="shared" si="23"/>
        <v>0</v>
      </c>
      <c r="C770" s="72"/>
      <c r="D770" s="72"/>
      <c r="E770" s="73"/>
      <c r="F770" s="73"/>
      <c r="G770" t="s">
        <v>1224</v>
      </c>
    </row>
    <row r="771" spans="1:7" x14ac:dyDescent="0.25">
      <c r="A771">
        <f t="shared" si="22"/>
        <v>0</v>
      </c>
      <c r="B771" s="3">
        <f t="shared" si="23"/>
        <v>0</v>
      </c>
      <c r="C771" s="72"/>
      <c r="D771" s="72"/>
      <c r="E771" s="73"/>
      <c r="F771" s="73"/>
      <c r="G771" t="s">
        <v>1224</v>
      </c>
    </row>
    <row r="772" spans="1:7" x14ac:dyDescent="0.25">
      <c r="A772">
        <f t="shared" si="22"/>
        <v>0</v>
      </c>
      <c r="B772" s="3">
        <f t="shared" si="23"/>
        <v>0</v>
      </c>
      <c r="C772" s="72"/>
      <c r="D772" s="72"/>
      <c r="E772" s="73"/>
      <c r="F772" s="73"/>
      <c r="G772" t="s">
        <v>1224</v>
      </c>
    </row>
    <row r="773" spans="1:7" x14ac:dyDescent="0.25">
      <c r="A773">
        <f t="shared" si="22"/>
        <v>0</v>
      </c>
      <c r="B773" s="3">
        <f t="shared" si="23"/>
        <v>0</v>
      </c>
      <c r="C773" s="72"/>
      <c r="D773" s="72"/>
      <c r="E773" s="73"/>
      <c r="F773" s="73"/>
      <c r="G773" t="s">
        <v>1224</v>
      </c>
    </row>
    <row r="774" spans="1:7" x14ac:dyDescent="0.25">
      <c r="A774">
        <f t="shared" si="22"/>
        <v>0</v>
      </c>
      <c r="B774" s="3">
        <f t="shared" si="23"/>
        <v>0</v>
      </c>
      <c r="C774" s="72"/>
      <c r="D774" s="72"/>
      <c r="E774" s="73"/>
      <c r="F774" s="73"/>
      <c r="G774" t="s">
        <v>1224</v>
      </c>
    </row>
    <row r="775" spans="1:7" x14ac:dyDescent="0.25">
      <c r="A775">
        <f t="shared" ref="A775:A838" si="24">IF(ISNUMBER(C775),C775*F775,)</f>
        <v>0</v>
      </c>
      <c r="B775" s="3">
        <f t="shared" ref="B775:B838" si="25">IF(C775&lt;&gt;"",1,0)</f>
        <v>0</v>
      </c>
      <c r="C775" s="72"/>
      <c r="D775" s="72"/>
      <c r="E775" s="73"/>
      <c r="F775" s="73"/>
      <c r="G775" t="s">
        <v>1224</v>
      </c>
    </row>
    <row r="776" spans="1:7" x14ac:dyDescent="0.25">
      <c r="A776">
        <f t="shared" si="24"/>
        <v>0</v>
      </c>
      <c r="B776" s="3">
        <f t="shared" si="25"/>
        <v>0</v>
      </c>
      <c r="C776" s="72"/>
      <c r="D776" s="72"/>
      <c r="E776" s="73"/>
      <c r="F776" s="73"/>
      <c r="G776" t="s">
        <v>1224</v>
      </c>
    </row>
    <row r="777" spans="1:7" x14ac:dyDescent="0.25">
      <c r="A777">
        <f t="shared" si="24"/>
        <v>0</v>
      </c>
      <c r="B777" s="3">
        <f t="shared" si="25"/>
        <v>0</v>
      </c>
      <c r="C777" s="72"/>
      <c r="D777" s="72"/>
      <c r="E777" s="73"/>
      <c r="F777" s="73"/>
      <c r="G777" t="s">
        <v>1224</v>
      </c>
    </row>
    <row r="778" spans="1:7" x14ac:dyDescent="0.25">
      <c r="A778">
        <f t="shared" si="24"/>
        <v>0</v>
      </c>
      <c r="B778" s="3">
        <f t="shared" si="25"/>
        <v>0</v>
      </c>
      <c r="C778" s="72"/>
      <c r="D778" s="72"/>
      <c r="E778" s="73"/>
      <c r="F778" s="73"/>
      <c r="G778" t="s">
        <v>1224</v>
      </c>
    </row>
    <row r="779" spans="1:7" x14ac:dyDescent="0.25">
      <c r="A779">
        <f t="shared" si="24"/>
        <v>0</v>
      </c>
      <c r="B779" s="3">
        <f t="shared" si="25"/>
        <v>0</v>
      </c>
      <c r="C779" s="72"/>
      <c r="D779" s="72"/>
      <c r="E779" s="73"/>
      <c r="F779" s="73"/>
      <c r="G779" t="s">
        <v>1224</v>
      </c>
    </row>
    <row r="780" spans="1:7" x14ac:dyDescent="0.25">
      <c r="A780">
        <f t="shared" si="24"/>
        <v>0</v>
      </c>
      <c r="B780" s="3">
        <f t="shared" si="25"/>
        <v>0</v>
      </c>
      <c r="C780" s="72"/>
      <c r="D780" s="72"/>
      <c r="E780" s="73"/>
      <c r="F780" s="73"/>
      <c r="G780" t="s">
        <v>1224</v>
      </c>
    </row>
    <row r="781" spans="1:7" x14ac:dyDescent="0.25">
      <c r="A781">
        <f t="shared" si="24"/>
        <v>0</v>
      </c>
      <c r="B781" s="3">
        <f t="shared" si="25"/>
        <v>0</v>
      </c>
      <c r="C781" s="72"/>
      <c r="D781" s="72"/>
      <c r="E781" s="73"/>
      <c r="F781" s="73"/>
      <c r="G781" t="s">
        <v>1224</v>
      </c>
    </row>
    <row r="782" spans="1:7" x14ac:dyDescent="0.25">
      <c r="A782">
        <f t="shared" si="24"/>
        <v>0</v>
      </c>
      <c r="B782" s="3">
        <f t="shared" si="25"/>
        <v>0</v>
      </c>
      <c r="C782" s="72"/>
      <c r="D782" s="72"/>
      <c r="E782" s="73"/>
      <c r="F782" s="73"/>
      <c r="G782" t="s">
        <v>1224</v>
      </c>
    </row>
    <row r="783" spans="1:7" x14ac:dyDescent="0.25">
      <c r="A783">
        <f t="shared" si="24"/>
        <v>0</v>
      </c>
      <c r="B783" s="3">
        <f t="shared" si="25"/>
        <v>0</v>
      </c>
      <c r="C783" s="72"/>
      <c r="D783" s="72"/>
      <c r="E783" s="73"/>
      <c r="F783" s="73"/>
      <c r="G783" t="s">
        <v>1224</v>
      </c>
    </row>
    <row r="784" spans="1:7" x14ac:dyDescent="0.25">
      <c r="A784">
        <f t="shared" si="24"/>
        <v>0</v>
      </c>
      <c r="B784" s="3">
        <f t="shared" si="25"/>
        <v>0</v>
      </c>
      <c r="C784" s="72"/>
      <c r="D784" s="72"/>
      <c r="E784" s="73"/>
      <c r="F784" s="73"/>
      <c r="G784" t="s">
        <v>1224</v>
      </c>
    </row>
    <row r="785" spans="1:7" x14ac:dyDescent="0.25">
      <c r="A785">
        <f t="shared" si="24"/>
        <v>0</v>
      </c>
      <c r="B785" s="3">
        <f t="shared" si="25"/>
        <v>0</v>
      </c>
      <c r="C785" s="72"/>
      <c r="D785" s="72"/>
      <c r="E785" s="73"/>
      <c r="F785" s="73"/>
      <c r="G785" t="s">
        <v>1224</v>
      </c>
    </row>
    <row r="786" spans="1:7" x14ac:dyDescent="0.25">
      <c r="A786">
        <f t="shared" si="24"/>
        <v>0</v>
      </c>
      <c r="B786" s="3">
        <f t="shared" si="25"/>
        <v>0</v>
      </c>
      <c r="C786" s="72"/>
      <c r="D786" s="72"/>
      <c r="E786" s="73"/>
      <c r="F786" s="73"/>
      <c r="G786" t="s">
        <v>1224</v>
      </c>
    </row>
    <row r="787" spans="1:7" x14ac:dyDescent="0.25">
      <c r="A787">
        <f t="shared" si="24"/>
        <v>0</v>
      </c>
      <c r="B787" s="3">
        <f t="shared" si="25"/>
        <v>0</v>
      </c>
      <c r="C787" s="72"/>
      <c r="D787" s="72"/>
      <c r="E787" s="73"/>
      <c r="F787" s="73"/>
      <c r="G787" t="s">
        <v>1224</v>
      </c>
    </row>
    <row r="788" spans="1:7" x14ac:dyDescent="0.25">
      <c r="A788">
        <f t="shared" si="24"/>
        <v>0</v>
      </c>
      <c r="B788" s="3">
        <f t="shared" si="25"/>
        <v>0</v>
      </c>
      <c r="C788" s="72"/>
      <c r="D788" s="72"/>
      <c r="E788" s="73"/>
      <c r="F788" s="73"/>
      <c r="G788" t="s">
        <v>1224</v>
      </c>
    </row>
    <row r="789" spans="1:7" x14ac:dyDescent="0.25">
      <c r="A789">
        <f t="shared" si="24"/>
        <v>0</v>
      </c>
      <c r="B789" s="3">
        <f t="shared" si="25"/>
        <v>0</v>
      </c>
      <c r="C789" s="72"/>
      <c r="D789" s="72"/>
      <c r="E789" s="73"/>
      <c r="F789" s="73"/>
      <c r="G789" t="s">
        <v>1224</v>
      </c>
    </row>
    <row r="790" spans="1:7" x14ac:dyDescent="0.25">
      <c r="A790">
        <f t="shared" si="24"/>
        <v>0</v>
      </c>
      <c r="B790" s="3">
        <f t="shared" si="25"/>
        <v>0</v>
      </c>
      <c r="C790" s="72"/>
      <c r="D790" s="72"/>
      <c r="E790" s="73"/>
      <c r="F790" s="73"/>
      <c r="G790" t="s">
        <v>1224</v>
      </c>
    </row>
    <row r="791" spans="1:7" x14ac:dyDescent="0.25">
      <c r="A791">
        <f t="shared" si="24"/>
        <v>0</v>
      </c>
      <c r="B791" s="3">
        <f t="shared" si="25"/>
        <v>0</v>
      </c>
      <c r="C791" s="72"/>
      <c r="D791" s="72"/>
      <c r="E791" s="73"/>
      <c r="F791" s="73"/>
      <c r="G791" t="s">
        <v>1224</v>
      </c>
    </row>
    <row r="792" spans="1:7" x14ac:dyDescent="0.25">
      <c r="A792">
        <f t="shared" si="24"/>
        <v>0</v>
      </c>
      <c r="B792" s="3">
        <f t="shared" si="25"/>
        <v>0</v>
      </c>
      <c r="C792" s="72"/>
      <c r="D792" s="72"/>
      <c r="E792" s="73"/>
      <c r="F792" s="73"/>
      <c r="G792" t="s">
        <v>1224</v>
      </c>
    </row>
    <row r="793" spans="1:7" x14ac:dyDescent="0.25">
      <c r="A793">
        <f t="shared" si="24"/>
        <v>0</v>
      </c>
      <c r="B793" s="3">
        <f t="shared" si="25"/>
        <v>0</v>
      </c>
      <c r="C793" s="72"/>
      <c r="D793" s="72"/>
      <c r="E793" s="73"/>
      <c r="F793" s="73"/>
      <c r="G793" t="s">
        <v>1224</v>
      </c>
    </row>
    <row r="794" spans="1:7" x14ac:dyDescent="0.25">
      <c r="A794">
        <f t="shared" si="24"/>
        <v>0</v>
      </c>
      <c r="B794" s="3">
        <f t="shared" si="25"/>
        <v>0</v>
      </c>
      <c r="C794" s="72"/>
      <c r="D794" s="72"/>
      <c r="E794" s="73"/>
      <c r="F794" s="73"/>
      <c r="G794" t="s">
        <v>1224</v>
      </c>
    </row>
    <row r="795" spans="1:7" x14ac:dyDescent="0.25">
      <c r="A795">
        <f t="shared" si="24"/>
        <v>0</v>
      </c>
      <c r="B795" s="3">
        <f t="shared" si="25"/>
        <v>0</v>
      </c>
      <c r="C795" s="72"/>
      <c r="D795" s="72"/>
      <c r="E795" s="73"/>
      <c r="F795" s="73"/>
      <c r="G795" t="s">
        <v>1224</v>
      </c>
    </row>
    <row r="796" spans="1:7" x14ac:dyDescent="0.25">
      <c r="A796">
        <f t="shared" si="24"/>
        <v>0</v>
      </c>
      <c r="B796" s="3">
        <f t="shared" si="25"/>
        <v>0</v>
      </c>
      <c r="C796" s="72"/>
      <c r="D796" s="72"/>
      <c r="E796" s="73"/>
      <c r="F796" s="73"/>
      <c r="G796" t="s">
        <v>1224</v>
      </c>
    </row>
    <row r="797" spans="1:7" x14ac:dyDescent="0.25">
      <c r="A797">
        <f t="shared" si="24"/>
        <v>0</v>
      </c>
      <c r="B797" s="3">
        <f t="shared" si="25"/>
        <v>0</v>
      </c>
      <c r="C797" s="72"/>
      <c r="D797" s="72"/>
      <c r="E797" s="73"/>
      <c r="F797" s="73"/>
      <c r="G797" t="s">
        <v>1224</v>
      </c>
    </row>
    <row r="798" spans="1:7" x14ac:dyDescent="0.25">
      <c r="A798">
        <f t="shared" si="24"/>
        <v>0</v>
      </c>
      <c r="B798" s="3">
        <f t="shared" si="25"/>
        <v>0</v>
      </c>
      <c r="C798" s="72"/>
      <c r="D798" s="72"/>
      <c r="E798" s="73"/>
      <c r="F798" s="73"/>
      <c r="G798" t="s">
        <v>1224</v>
      </c>
    </row>
    <row r="799" spans="1:7" x14ac:dyDescent="0.25">
      <c r="A799">
        <f t="shared" si="24"/>
        <v>0</v>
      </c>
      <c r="B799" s="3">
        <f t="shared" si="25"/>
        <v>0</v>
      </c>
      <c r="C799" s="72"/>
      <c r="D799" s="72"/>
      <c r="E799" s="73"/>
      <c r="F799" s="73"/>
      <c r="G799" t="s">
        <v>1224</v>
      </c>
    </row>
    <row r="800" spans="1:7" x14ac:dyDescent="0.25">
      <c r="A800">
        <f t="shared" si="24"/>
        <v>0</v>
      </c>
      <c r="B800" s="3">
        <f t="shared" si="25"/>
        <v>0</v>
      </c>
      <c r="C800" s="72"/>
      <c r="D800" s="72"/>
      <c r="E800" s="73"/>
      <c r="F800" s="73"/>
      <c r="G800" t="s">
        <v>1224</v>
      </c>
    </row>
    <row r="801" spans="1:7" x14ac:dyDescent="0.25">
      <c r="A801">
        <f t="shared" si="24"/>
        <v>0</v>
      </c>
      <c r="B801" s="3">
        <f t="shared" si="25"/>
        <v>0</v>
      </c>
      <c r="C801" s="72"/>
      <c r="D801" s="72"/>
      <c r="E801" s="73"/>
      <c r="F801" s="73"/>
      <c r="G801" t="s">
        <v>1224</v>
      </c>
    </row>
    <row r="802" spans="1:7" x14ac:dyDescent="0.25">
      <c r="A802">
        <f t="shared" si="24"/>
        <v>0</v>
      </c>
      <c r="B802" s="3">
        <f t="shared" si="25"/>
        <v>0</v>
      </c>
      <c r="C802" s="72"/>
      <c r="D802" s="72"/>
      <c r="E802" s="73"/>
      <c r="F802" s="73"/>
      <c r="G802" t="s">
        <v>1224</v>
      </c>
    </row>
    <row r="803" spans="1:7" x14ac:dyDescent="0.25">
      <c r="A803">
        <f t="shared" si="24"/>
        <v>0</v>
      </c>
      <c r="B803" s="3">
        <f t="shared" si="25"/>
        <v>0</v>
      </c>
      <c r="C803" s="72"/>
      <c r="D803" s="72"/>
      <c r="E803" s="73"/>
      <c r="F803" s="73"/>
      <c r="G803" t="s">
        <v>1224</v>
      </c>
    </row>
    <row r="804" spans="1:7" x14ac:dyDescent="0.25">
      <c r="A804">
        <f t="shared" si="24"/>
        <v>0</v>
      </c>
      <c r="B804" s="3">
        <f t="shared" si="25"/>
        <v>0</v>
      </c>
      <c r="C804" s="72"/>
      <c r="D804" s="72"/>
      <c r="E804" s="73"/>
      <c r="F804" s="73"/>
      <c r="G804" t="s">
        <v>1224</v>
      </c>
    </row>
    <row r="805" spans="1:7" x14ac:dyDescent="0.25">
      <c r="A805">
        <f t="shared" si="24"/>
        <v>0</v>
      </c>
      <c r="B805" s="3">
        <f t="shared" si="25"/>
        <v>0</v>
      </c>
      <c r="C805" s="72"/>
      <c r="D805" s="72"/>
      <c r="E805" s="73"/>
      <c r="F805" s="73"/>
      <c r="G805" t="s">
        <v>1224</v>
      </c>
    </row>
    <row r="806" spans="1:7" x14ac:dyDescent="0.25">
      <c r="A806">
        <f t="shared" si="24"/>
        <v>0</v>
      </c>
      <c r="B806" s="3">
        <f t="shared" si="25"/>
        <v>0</v>
      </c>
      <c r="C806" s="72"/>
      <c r="D806" s="72"/>
      <c r="E806" s="73"/>
      <c r="F806" s="73"/>
      <c r="G806" t="s">
        <v>1224</v>
      </c>
    </row>
    <row r="807" spans="1:7" x14ac:dyDescent="0.25">
      <c r="A807">
        <f t="shared" si="24"/>
        <v>0</v>
      </c>
      <c r="B807" s="3">
        <f t="shared" si="25"/>
        <v>0</v>
      </c>
      <c r="C807" s="72"/>
      <c r="D807" s="72"/>
      <c r="E807" s="73"/>
      <c r="F807" s="73"/>
      <c r="G807" t="s">
        <v>1224</v>
      </c>
    </row>
    <row r="808" spans="1:7" x14ac:dyDescent="0.25">
      <c r="A808">
        <f t="shared" si="24"/>
        <v>0</v>
      </c>
      <c r="B808" s="3">
        <f t="shared" si="25"/>
        <v>0</v>
      </c>
      <c r="C808" s="72"/>
      <c r="D808" s="72"/>
      <c r="E808" s="73"/>
      <c r="F808" s="73"/>
      <c r="G808" t="s">
        <v>1224</v>
      </c>
    </row>
    <row r="809" spans="1:7" x14ac:dyDescent="0.25">
      <c r="A809">
        <f t="shared" si="24"/>
        <v>0</v>
      </c>
      <c r="B809" s="3">
        <f t="shared" si="25"/>
        <v>0</v>
      </c>
      <c r="C809" s="72"/>
      <c r="D809" s="72"/>
      <c r="E809" s="73"/>
      <c r="F809" s="73"/>
      <c r="G809" t="s">
        <v>1224</v>
      </c>
    </row>
    <row r="810" spans="1:7" x14ac:dyDescent="0.25">
      <c r="A810">
        <f t="shared" si="24"/>
        <v>0</v>
      </c>
      <c r="B810" s="3">
        <f t="shared" si="25"/>
        <v>0</v>
      </c>
      <c r="C810" s="72"/>
      <c r="D810" s="72"/>
      <c r="E810" s="73"/>
      <c r="F810" s="73"/>
      <c r="G810" t="s">
        <v>1224</v>
      </c>
    </row>
    <row r="811" spans="1:7" x14ac:dyDescent="0.25">
      <c r="A811">
        <f t="shared" si="24"/>
        <v>0</v>
      </c>
      <c r="B811" s="3">
        <f t="shared" si="25"/>
        <v>0</v>
      </c>
      <c r="C811" s="72"/>
      <c r="D811" s="72"/>
      <c r="E811" s="73"/>
      <c r="F811" s="73"/>
      <c r="G811" t="s">
        <v>1224</v>
      </c>
    </row>
    <row r="812" spans="1:7" x14ac:dyDescent="0.25">
      <c r="A812">
        <f t="shared" si="24"/>
        <v>0</v>
      </c>
      <c r="B812" s="3">
        <f t="shared" si="25"/>
        <v>0</v>
      </c>
      <c r="C812" s="72"/>
      <c r="D812" s="72"/>
      <c r="E812" s="73"/>
      <c r="F812" s="73"/>
      <c r="G812" t="s">
        <v>1224</v>
      </c>
    </row>
    <row r="813" spans="1:7" x14ac:dyDescent="0.25">
      <c r="A813">
        <f t="shared" si="24"/>
        <v>0</v>
      </c>
      <c r="B813" s="3">
        <f t="shared" si="25"/>
        <v>0</v>
      </c>
      <c r="C813" s="72"/>
      <c r="D813" s="72"/>
      <c r="E813" s="73"/>
      <c r="F813" s="73"/>
      <c r="G813" t="s">
        <v>1224</v>
      </c>
    </row>
    <row r="814" spans="1:7" x14ac:dyDescent="0.25">
      <c r="A814">
        <f t="shared" si="24"/>
        <v>0</v>
      </c>
      <c r="B814" s="3">
        <f t="shared" si="25"/>
        <v>0</v>
      </c>
      <c r="C814" s="72"/>
      <c r="D814" s="72"/>
      <c r="E814" s="73"/>
      <c r="F814" s="73"/>
      <c r="G814" t="s">
        <v>1224</v>
      </c>
    </row>
    <row r="815" spans="1:7" x14ac:dyDescent="0.25">
      <c r="A815">
        <f t="shared" si="24"/>
        <v>0</v>
      </c>
      <c r="B815" s="3">
        <f t="shared" si="25"/>
        <v>0</v>
      </c>
      <c r="C815" s="72"/>
      <c r="D815" s="72"/>
      <c r="E815" s="73"/>
      <c r="F815" s="73"/>
      <c r="G815" t="s">
        <v>1224</v>
      </c>
    </row>
    <row r="816" spans="1:7" x14ac:dyDescent="0.25">
      <c r="A816">
        <f t="shared" si="24"/>
        <v>0</v>
      </c>
      <c r="B816" s="3">
        <f t="shared" si="25"/>
        <v>0</v>
      </c>
      <c r="C816" s="72"/>
      <c r="D816" s="72"/>
      <c r="E816" s="73"/>
      <c r="F816" s="73"/>
      <c r="G816" t="s">
        <v>1224</v>
      </c>
    </row>
    <row r="817" spans="1:7" x14ac:dyDescent="0.25">
      <c r="A817">
        <f t="shared" si="24"/>
        <v>0</v>
      </c>
      <c r="B817" s="3">
        <f t="shared" si="25"/>
        <v>0</v>
      </c>
      <c r="C817" s="72"/>
      <c r="D817" s="72"/>
      <c r="E817" s="73"/>
      <c r="F817" s="73"/>
      <c r="G817" t="s">
        <v>1224</v>
      </c>
    </row>
    <row r="818" spans="1:7" x14ac:dyDescent="0.25">
      <c r="A818">
        <f t="shared" si="24"/>
        <v>0</v>
      </c>
      <c r="B818" s="3">
        <f t="shared" si="25"/>
        <v>0</v>
      </c>
      <c r="C818" s="72"/>
      <c r="D818" s="72"/>
      <c r="E818" s="73"/>
      <c r="F818" s="73"/>
      <c r="G818" t="s">
        <v>1224</v>
      </c>
    </row>
    <row r="819" spans="1:7" x14ac:dyDescent="0.25">
      <c r="A819">
        <f t="shared" si="24"/>
        <v>0</v>
      </c>
      <c r="B819" s="3">
        <f t="shared" si="25"/>
        <v>0</v>
      </c>
      <c r="C819" s="72"/>
      <c r="D819" s="72"/>
      <c r="E819" s="73"/>
      <c r="F819" s="73"/>
      <c r="G819" t="s">
        <v>1224</v>
      </c>
    </row>
    <row r="820" spans="1:7" x14ac:dyDescent="0.25">
      <c r="A820">
        <f t="shared" si="24"/>
        <v>0</v>
      </c>
      <c r="B820" s="3">
        <f t="shared" si="25"/>
        <v>0</v>
      </c>
      <c r="C820" s="72"/>
      <c r="D820" s="72"/>
      <c r="E820" s="73"/>
      <c r="F820" s="73"/>
      <c r="G820" t="s">
        <v>1224</v>
      </c>
    </row>
    <row r="821" spans="1:7" x14ac:dyDescent="0.25">
      <c r="A821">
        <f t="shared" si="24"/>
        <v>0</v>
      </c>
      <c r="B821" s="3">
        <f t="shared" si="25"/>
        <v>0</v>
      </c>
      <c r="C821" s="72"/>
      <c r="D821" s="72"/>
      <c r="E821" s="73"/>
      <c r="F821" s="73"/>
      <c r="G821" t="s">
        <v>1224</v>
      </c>
    </row>
    <row r="822" spans="1:7" x14ac:dyDescent="0.25">
      <c r="A822">
        <f t="shared" si="24"/>
        <v>0</v>
      </c>
      <c r="B822" s="3">
        <f t="shared" si="25"/>
        <v>0</v>
      </c>
      <c r="C822" s="72"/>
      <c r="D822" s="72"/>
      <c r="E822" s="73"/>
      <c r="F822" s="73"/>
      <c r="G822" t="s">
        <v>1224</v>
      </c>
    </row>
    <row r="823" spans="1:7" x14ac:dyDescent="0.25">
      <c r="A823">
        <f t="shared" si="24"/>
        <v>0</v>
      </c>
      <c r="B823" s="3">
        <f t="shared" si="25"/>
        <v>0</v>
      </c>
      <c r="C823" s="72"/>
      <c r="D823" s="72"/>
      <c r="E823" s="73"/>
      <c r="F823" s="73"/>
      <c r="G823" t="s">
        <v>1224</v>
      </c>
    </row>
    <row r="824" spans="1:7" x14ac:dyDescent="0.25">
      <c r="A824">
        <f t="shared" si="24"/>
        <v>0</v>
      </c>
      <c r="B824" s="3">
        <f t="shared" si="25"/>
        <v>0</v>
      </c>
      <c r="C824" s="72"/>
      <c r="D824" s="72"/>
      <c r="E824" s="73"/>
      <c r="F824" s="73"/>
      <c r="G824" t="s">
        <v>1224</v>
      </c>
    </row>
    <row r="825" spans="1:7" x14ac:dyDescent="0.25">
      <c r="A825">
        <f t="shared" si="24"/>
        <v>0</v>
      </c>
      <c r="B825" s="3">
        <f t="shared" si="25"/>
        <v>0</v>
      </c>
      <c r="C825" s="72"/>
      <c r="D825" s="72"/>
      <c r="E825" s="73"/>
      <c r="F825" s="73"/>
      <c r="G825" t="s">
        <v>1224</v>
      </c>
    </row>
    <row r="826" spans="1:7" x14ac:dyDescent="0.25">
      <c r="A826">
        <f t="shared" si="24"/>
        <v>0</v>
      </c>
      <c r="B826" s="3">
        <f t="shared" si="25"/>
        <v>0</v>
      </c>
      <c r="C826" s="72"/>
      <c r="D826" s="72"/>
      <c r="E826" s="73"/>
      <c r="F826" s="73"/>
      <c r="G826" t="s">
        <v>1224</v>
      </c>
    </row>
    <row r="827" spans="1:7" x14ac:dyDescent="0.25">
      <c r="A827">
        <f t="shared" si="24"/>
        <v>0</v>
      </c>
      <c r="B827" s="3">
        <f t="shared" si="25"/>
        <v>0</v>
      </c>
      <c r="C827" s="72"/>
      <c r="D827" s="72"/>
      <c r="E827" s="73"/>
      <c r="F827" s="73"/>
      <c r="G827" t="s">
        <v>1224</v>
      </c>
    </row>
    <row r="828" spans="1:7" x14ac:dyDescent="0.25">
      <c r="A828">
        <f t="shared" si="24"/>
        <v>0</v>
      </c>
      <c r="B828" s="3">
        <f t="shared" si="25"/>
        <v>0</v>
      </c>
      <c r="C828" s="72"/>
      <c r="D828" s="72"/>
      <c r="E828" s="73"/>
      <c r="F828" s="73"/>
    </row>
    <row r="829" spans="1:7" x14ac:dyDescent="0.25">
      <c r="A829">
        <f t="shared" si="24"/>
        <v>0</v>
      </c>
      <c r="B829" s="3">
        <f t="shared" si="25"/>
        <v>0</v>
      </c>
      <c r="C829" s="72"/>
      <c r="D829" s="72"/>
      <c r="E829" s="73"/>
      <c r="F829" s="73"/>
    </row>
    <row r="830" spans="1:7" x14ac:dyDescent="0.25">
      <c r="A830">
        <f t="shared" si="24"/>
        <v>0</v>
      </c>
      <c r="B830" s="3">
        <f t="shared" si="25"/>
        <v>0</v>
      </c>
      <c r="C830" s="72"/>
      <c r="D830" s="72"/>
      <c r="E830" s="73"/>
      <c r="F830" s="73"/>
    </row>
    <row r="831" spans="1:7" x14ac:dyDescent="0.25">
      <c r="A831">
        <f t="shared" si="24"/>
        <v>0</v>
      </c>
      <c r="B831" s="3">
        <f t="shared" si="25"/>
        <v>0</v>
      </c>
      <c r="C831" s="72"/>
      <c r="D831" s="72"/>
      <c r="E831" s="73"/>
      <c r="F831" s="73"/>
    </row>
    <row r="832" spans="1:7" x14ac:dyDescent="0.25">
      <c r="A832">
        <f t="shared" si="24"/>
        <v>0</v>
      </c>
      <c r="B832" s="3">
        <f t="shared" si="25"/>
        <v>0</v>
      </c>
      <c r="C832" s="72"/>
      <c r="D832" s="72"/>
      <c r="E832" s="73"/>
      <c r="F832" s="73"/>
    </row>
    <row r="833" spans="1:6" x14ac:dyDescent="0.25">
      <c r="A833">
        <f t="shared" si="24"/>
        <v>0</v>
      </c>
      <c r="B833" s="3">
        <f t="shared" si="25"/>
        <v>0</v>
      </c>
      <c r="C833" s="72"/>
      <c r="D833" s="72"/>
      <c r="E833" s="73"/>
      <c r="F833" s="73"/>
    </row>
    <row r="834" spans="1:6" x14ac:dyDescent="0.25">
      <c r="A834">
        <f t="shared" si="24"/>
        <v>0</v>
      </c>
      <c r="B834" s="3">
        <f t="shared" si="25"/>
        <v>0</v>
      </c>
      <c r="C834" s="72"/>
      <c r="D834" s="72"/>
      <c r="E834" s="73"/>
      <c r="F834" s="73"/>
    </row>
    <row r="835" spans="1:6" x14ac:dyDescent="0.25">
      <c r="A835">
        <f t="shared" si="24"/>
        <v>0</v>
      </c>
      <c r="B835" s="3">
        <f t="shared" si="25"/>
        <v>0</v>
      </c>
      <c r="C835" s="72"/>
      <c r="D835" s="72"/>
      <c r="E835" s="73"/>
      <c r="F835" s="73"/>
    </row>
    <row r="836" spans="1:6" x14ac:dyDescent="0.25">
      <c r="A836">
        <f t="shared" si="24"/>
        <v>0</v>
      </c>
      <c r="B836" s="3">
        <f t="shared" si="25"/>
        <v>0</v>
      </c>
      <c r="C836" s="72"/>
      <c r="D836" s="72"/>
      <c r="E836" s="73"/>
      <c r="F836" s="73"/>
    </row>
    <row r="837" spans="1:6" x14ac:dyDescent="0.25">
      <c r="A837">
        <f t="shared" si="24"/>
        <v>0</v>
      </c>
      <c r="B837" s="3">
        <f t="shared" si="25"/>
        <v>0</v>
      </c>
      <c r="C837" s="72"/>
      <c r="D837" s="72"/>
      <c r="E837" s="73"/>
      <c r="F837" s="73"/>
    </row>
    <row r="838" spans="1:6" x14ac:dyDescent="0.25">
      <c r="A838">
        <f t="shared" si="24"/>
        <v>0</v>
      </c>
      <c r="B838" s="3">
        <f t="shared" si="25"/>
        <v>0</v>
      </c>
      <c r="C838" s="72"/>
      <c r="D838" s="72"/>
      <c r="E838" s="73"/>
      <c r="F838" s="73"/>
    </row>
    <row r="839" spans="1:6" x14ac:dyDescent="0.25">
      <c r="A839">
        <f t="shared" ref="A839:A902" si="26">IF(ISNUMBER(C839),C839*F839,)</f>
        <v>0</v>
      </c>
      <c r="B839" s="3">
        <f t="shared" ref="B839:B902" si="27">IF(C839&lt;&gt;"",1,0)</f>
        <v>0</v>
      </c>
      <c r="C839" s="72"/>
      <c r="D839" s="72"/>
      <c r="E839" s="73"/>
      <c r="F839" s="73"/>
    </row>
    <row r="840" spans="1:6" x14ac:dyDescent="0.25">
      <c r="A840">
        <f t="shared" si="26"/>
        <v>0</v>
      </c>
      <c r="B840" s="3">
        <f t="shared" si="27"/>
        <v>0</v>
      </c>
      <c r="C840" s="72"/>
      <c r="D840" s="72"/>
      <c r="E840" s="73"/>
      <c r="F840" s="73"/>
    </row>
    <row r="841" spans="1:6" x14ac:dyDescent="0.25">
      <c r="A841">
        <f t="shared" si="26"/>
        <v>0</v>
      </c>
      <c r="B841" s="3">
        <f t="shared" si="27"/>
        <v>0</v>
      </c>
      <c r="C841" s="72"/>
      <c r="D841" s="72"/>
      <c r="E841" s="73"/>
      <c r="F841" s="73"/>
    </row>
    <row r="842" spans="1:6" x14ac:dyDescent="0.25">
      <c r="A842">
        <f t="shared" si="26"/>
        <v>0</v>
      </c>
      <c r="B842" s="3">
        <f t="shared" si="27"/>
        <v>0</v>
      </c>
      <c r="C842" s="72"/>
      <c r="D842" s="72"/>
      <c r="E842" s="73"/>
      <c r="F842" s="73"/>
    </row>
    <row r="843" spans="1:6" x14ac:dyDescent="0.25">
      <c r="A843">
        <f t="shared" si="26"/>
        <v>0</v>
      </c>
      <c r="B843" s="3">
        <f t="shared" si="27"/>
        <v>0</v>
      </c>
      <c r="C843" s="72"/>
      <c r="D843" s="72"/>
      <c r="E843" s="73"/>
      <c r="F843" s="73"/>
    </row>
    <row r="844" spans="1:6" x14ac:dyDescent="0.25">
      <c r="A844">
        <f t="shared" si="26"/>
        <v>0</v>
      </c>
      <c r="B844" s="3">
        <f t="shared" si="27"/>
        <v>0</v>
      </c>
      <c r="C844" s="72"/>
      <c r="D844" s="72"/>
      <c r="E844" s="73"/>
      <c r="F844" s="73"/>
    </row>
    <row r="845" spans="1:6" x14ac:dyDescent="0.25">
      <c r="A845">
        <f t="shared" si="26"/>
        <v>0</v>
      </c>
      <c r="B845" s="3">
        <f t="shared" si="27"/>
        <v>0</v>
      </c>
      <c r="C845" s="72"/>
      <c r="D845" s="72"/>
      <c r="E845" s="73"/>
      <c r="F845" s="73"/>
    </row>
    <row r="846" spans="1:6" x14ac:dyDescent="0.25">
      <c r="A846">
        <f t="shared" si="26"/>
        <v>0</v>
      </c>
      <c r="B846" s="3">
        <f t="shared" si="27"/>
        <v>0</v>
      </c>
      <c r="C846" s="72"/>
      <c r="D846" s="72"/>
      <c r="E846" s="73"/>
      <c r="F846" s="73"/>
    </row>
    <row r="847" spans="1:6" x14ac:dyDescent="0.25">
      <c r="A847">
        <f t="shared" si="26"/>
        <v>0</v>
      </c>
      <c r="B847" s="3">
        <f t="shared" si="27"/>
        <v>0</v>
      </c>
      <c r="C847" s="72"/>
      <c r="D847" s="72"/>
      <c r="E847" s="73"/>
      <c r="F847" s="73"/>
    </row>
    <row r="848" spans="1:6" x14ac:dyDescent="0.25">
      <c r="A848">
        <f t="shared" si="26"/>
        <v>0</v>
      </c>
      <c r="B848" s="3">
        <f t="shared" si="27"/>
        <v>0</v>
      </c>
      <c r="C848" s="72"/>
      <c r="D848" s="72"/>
      <c r="E848" s="73"/>
      <c r="F848" s="73"/>
    </row>
    <row r="849" spans="1:6" x14ac:dyDescent="0.25">
      <c r="A849">
        <f t="shared" si="26"/>
        <v>0</v>
      </c>
      <c r="B849" s="3">
        <f t="shared" si="27"/>
        <v>0</v>
      </c>
      <c r="C849" s="72"/>
      <c r="D849" s="72"/>
      <c r="E849" s="73"/>
      <c r="F849" s="73"/>
    </row>
    <row r="850" spans="1:6" x14ac:dyDescent="0.25">
      <c r="A850">
        <f t="shared" si="26"/>
        <v>0</v>
      </c>
      <c r="B850" s="3">
        <f t="shared" si="27"/>
        <v>0</v>
      </c>
      <c r="C850" s="72"/>
      <c r="D850" s="72"/>
      <c r="E850" s="73"/>
      <c r="F850" s="73"/>
    </row>
    <row r="851" spans="1:6" x14ac:dyDescent="0.25">
      <c r="A851">
        <f t="shared" si="26"/>
        <v>0</v>
      </c>
      <c r="B851" s="3">
        <f t="shared" si="27"/>
        <v>0</v>
      </c>
      <c r="C851" s="72"/>
      <c r="D851" s="72"/>
      <c r="E851" s="73"/>
      <c r="F851" s="73"/>
    </row>
    <row r="852" spans="1:6" x14ac:dyDescent="0.25">
      <c r="A852">
        <f t="shared" si="26"/>
        <v>0</v>
      </c>
      <c r="B852" s="3">
        <f t="shared" si="27"/>
        <v>0</v>
      </c>
      <c r="C852" s="72"/>
      <c r="D852" s="72"/>
      <c r="E852" s="73"/>
      <c r="F852" s="73"/>
    </row>
    <row r="853" spans="1:6" x14ac:dyDescent="0.25">
      <c r="A853">
        <f t="shared" si="26"/>
        <v>0</v>
      </c>
      <c r="B853" s="3">
        <f t="shared" si="27"/>
        <v>0</v>
      </c>
      <c r="C853" s="72"/>
      <c r="D853" s="72"/>
      <c r="E853" s="73"/>
      <c r="F853" s="73"/>
    </row>
    <row r="854" spans="1:6" x14ac:dyDescent="0.25">
      <c r="A854">
        <f t="shared" si="26"/>
        <v>0</v>
      </c>
      <c r="B854" s="3">
        <f t="shared" si="27"/>
        <v>0</v>
      </c>
      <c r="C854" s="72"/>
      <c r="D854" s="72"/>
      <c r="E854" s="73"/>
      <c r="F854" s="73"/>
    </row>
    <row r="855" spans="1:6" x14ac:dyDescent="0.25">
      <c r="A855">
        <f t="shared" si="26"/>
        <v>0</v>
      </c>
      <c r="B855" s="3">
        <f t="shared" si="27"/>
        <v>0</v>
      </c>
      <c r="C855" s="72"/>
      <c r="D855" s="72"/>
      <c r="E855" s="73"/>
      <c r="F855" s="73"/>
    </row>
    <row r="856" spans="1:6" x14ac:dyDescent="0.25">
      <c r="A856">
        <f t="shared" si="26"/>
        <v>0</v>
      </c>
      <c r="B856" s="3">
        <f t="shared" si="27"/>
        <v>0</v>
      </c>
      <c r="C856" s="72"/>
      <c r="D856" s="72"/>
      <c r="E856" s="73"/>
      <c r="F856" s="73"/>
    </row>
    <row r="857" spans="1:6" x14ac:dyDescent="0.25">
      <c r="A857">
        <f t="shared" si="26"/>
        <v>0</v>
      </c>
      <c r="B857" s="3">
        <f t="shared" si="27"/>
        <v>0</v>
      </c>
      <c r="C857" s="72"/>
      <c r="D857" s="72"/>
      <c r="E857" s="73"/>
      <c r="F857" s="73"/>
    </row>
    <row r="858" spans="1:6" x14ac:dyDescent="0.25">
      <c r="A858">
        <f t="shared" si="26"/>
        <v>0</v>
      </c>
      <c r="B858" s="3">
        <f t="shared" si="27"/>
        <v>0</v>
      </c>
      <c r="C858" s="72"/>
      <c r="D858" s="72"/>
      <c r="E858" s="73"/>
      <c r="F858" s="73"/>
    </row>
    <row r="859" spans="1:6" x14ac:dyDescent="0.25">
      <c r="A859">
        <f t="shared" si="26"/>
        <v>0</v>
      </c>
      <c r="B859" s="3">
        <f t="shared" si="27"/>
        <v>0</v>
      </c>
      <c r="C859" s="72"/>
      <c r="D859" s="72"/>
      <c r="E859" s="73"/>
      <c r="F859" s="73"/>
    </row>
    <row r="860" spans="1:6" x14ac:dyDescent="0.25">
      <c r="A860">
        <f t="shared" si="26"/>
        <v>0</v>
      </c>
      <c r="B860" s="3">
        <f t="shared" si="27"/>
        <v>0</v>
      </c>
      <c r="C860" s="72"/>
      <c r="D860" s="72"/>
      <c r="E860" s="73"/>
      <c r="F860" s="73"/>
    </row>
    <row r="861" spans="1:6" x14ac:dyDescent="0.25">
      <c r="A861">
        <f t="shared" si="26"/>
        <v>0</v>
      </c>
      <c r="B861" s="3">
        <f t="shared" si="27"/>
        <v>0</v>
      </c>
      <c r="C861" s="72"/>
      <c r="D861" s="72"/>
      <c r="E861" s="73"/>
      <c r="F861" s="73"/>
    </row>
    <row r="862" spans="1:6" x14ac:dyDescent="0.25">
      <c r="A862">
        <f t="shared" si="26"/>
        <v>0</v>
      </c>
      <c r="B862" s="3">
        <f t="shared" si="27"/>
        <v>0</v>
      </c>
      <c r="C862" s="72"/>
      <c r="D862" s="72"/>
      <c r="E862" s="73"/>
      <c r="F862" s="73"/>
    </row>
    <row r="863" spans="1:6" x14ac:dyDescent="0.25">
      <c r="A863">
        <f t="shared" si="26"/>
        <v>0</v>
      </c>
      <c r="B863" s="3">
        <f t="shared" si="27"/>
        <v>0</v>
      </c>
      <c r="C863" s="72"/>
      <c r="D863" s="72"/>
      <c r="E863" s="73"/>
      <c r="F863" s="73"/>
    </row>
    <row r="864" spans="1:6" x14ac:dyDescent="0.25">
      <c r="A864">
        <f t="shared" si="26"/>
        <v>0</v>
      </c>
      <c r="B864" s="3">
        <f t="shared" si="27"/>
        <v>0</v>
      </c>
      <c r="C864" s="72"/>
      <c r="D864" s="72"/>
      <c r="E864" s="73"/>
      <c r="F864" s="73"/>
    </row>
    <row r="865" spans="1:6" x14ac:dyDescent="0.25">
      <c r="A865">
        <f t="shared" si="26"/>
        <v>0</v>
      </c>
      <c r="B865" s="3">
        <f t="shared" si="27"/>
        <v>0</v>
      </c>
      <c r="C865" s="72"/>
      <c r="D865" s="72"/>
      <c r="E865" s="73"/>
      <c r="F865" s="73"/>
    </row>
    <row r="866" spans="1:6" x14ac:dyDescent="0.25">
      <c r="A866">
        <f t="shared" si="26"/>
        <v>0</v>
      </c>
      <c r="B866" s="3">
        <f t="shared" si="27"/>
        <v>0</v>
      </c>
      <c r="C866" s="72"/>
      <c r="D866" s="72"/>
      <c r="E866" s="73"/>
      <c r="F866" s="73"/>
    </row>
    <row r="867" spans="1:6" x14ac:dyDescent="0.25">
      <c r="A867">
        <f t="shared" si="26"/>
        <v>0</v>
      </c>
      <c r="B867" s="3">
        <f t="shared" si="27"/>
        <v>0</v>
      </c>
      <c r="C867" s="72"/>
      <c r="D867" s="72"/>
      <c r="E867" s="73"/>
      <c r="F867" s="73"/>
    </row>
    <row r="868" spans="1:6" x14ac:dyDescent="0.25">
      <c r="A868">
        <f t="shared" si="26"/>
        <v>0</v>
      </c>
      <c r="B868" s="3">
        <f t="shared" si="27"/>
        <v>0</v>
      </c>
      <c r="C868" s="72"/>
      <c r="D868" s="72"/>
      <c r="E868" s="73"/>
      <c r="F868" s="73"/>
    </row>
    <row r="869" spans="1:6" x14ac:dyDescent="0.25">
      <c r="A869">
        <f t="shared" si="26"/>
        <v>0</v>
      </c>
      <c r="B869" s="3">
        <f t="shared" si="27"/>
        <v>0</v>
      </c>
      <c r="C869" s="72"/>
      <c r="D869" s="72"/>
      <c r="E869" s="73"/>
      <c r="F869" s="73"/>
    </row>
    <row r="870" spans="1:6" x14ac:dyDescent="0.25">
      <c r="A870">
        <f t="shared" si="26"/>
        <v>0</v>
      </c>
      <c r="B870" s="3">
        <f t="shared" si="27"/>
        <v>0</v>
      </c>
      <c r="C870" s="72"/>
      <c r="D870" s="72"/>
      <c r="E870" s="73"/>
      <c r="F870" s="73"/>
    </row>
    <row r="871" spans="1:6" x14ac:dyDescent="0.25">
      <c r="A871">
        <f t="shared" si="26"/>
        <v>0</v>
      </c>
      <c r="B871" s="3">
        <f t="shared" si="27"/>
        <v>0</v>
      </c>
      <c r="C871" s="72"/>
      <c r="D871" s="72"/>
      <c r="E871" s="73"/>
      <c r="F871" s="73"/>
    </row>
    <row r="872" spans="1:6" x14ac:dyDescent="0.25">
      <c r="A872">
        <f t="shared" si="26"/>
        <v>0</v>
      </c>
      <c r="B872" s="3">
        <f t="shared" si="27"/>
        <v>0</v>
      </c>
      <c r="C872" s="72"/>
      <c r="D872" s="72"/>
      <c r="E872" s="73"/>
      <c r="F872" s="73"/>
    </row>
    <row r="873" spans="1:6" x14ac:dyDescent="0.25">
      <c r="A873">
        <f t="shared" si="26"/>
        <v>0</v>
      </c>
      <c r="B873" s="3">
        <f t="shared" si="27"/>
        <v>0</v>
      </c>
      <c r="C873" s="72"/>
      <c r="D873" s="72"/>
      <c r="E873" s="73"/>
      <c r="F873" s="73"/>
    </row>
    <row r="874" spans="1:6" x14ac:dyDescent="0.25">
      <c r="A874">
        <f t="shared" si="26"/>
        <v>0</v>
      </c>
      <c r="B874" s="3">
        <f t="shared" si="27"/>
        <v>0</v>
      </c>
      <c r="C874" s="72"/>
      <c r="D874" s="72"/>
      <c r="E874" s="73"/>
      <c r="F874" s="73"/>
    </row>
    <row r="875" spans="1:6" x14ac:dyDescent="0.25">
      <c r="A875">
        <f t="shared" si="26"/>
        <v>0</v>
      </c>
      <c r="B875" s="3">
        <f t="shared" si="27"/>
        <v>0</v>
      </c>
      <c r="C875" s="72"/>
      <c r="D875" s="72"/>
      <c r="E875" s="73"/>
      <c r="F875" s="73"/>
    </row>
    <row r="876" spans="1:6" x14ac:dyDescent="0.25">
      <c r="A876">
        <f t="shared" si="26"/>
        <v>0</v>
      </c>
      <c r="B876" s="3">
        <f t="shared" si="27"/>
        <v>0</v>
      </c>
      <c r="C876" s="72"/>
      <c r="D876" s="72"/>
      <c r="E876" s="73"/>
      <c r="F876" s="73"/>
    </row>
    <row r="877" spans="1:6" x14ac:dyDescent="0.25">
      <c r="A877">
        <f t="shared" si="26"/>
        <v>0</v>
      </c>
      <c r="B877" s="3">
        <f t="shared" si="27"/>
        <v>0</v>
      </c>
      <c r="C877" s="72"/>
      <c r="D877" s="72"/>
      <c r="E877" s="73"/>
      <c r="F877" s="73"/>
    </row>
    <row r="878" spans="1:6" x14ac:dyDescent="0.25">
      <c r="A878">
        <f t="shared" si="26"/>
        <v>0</v>
      </c>
      <c r="B878" s="3">
        <f t="shared" si="27"/>
        <v>0</v>
      </c>
      <c r="C878" s="72"/>
      <c r="D878" s="72"/>
      <c r="E878" s="73"/>
      <c r="F878" s="73"/>
    </row>
    <row r="879" spans="1:6" x14ac:dyDescent="0.25">
      <c r="A879">
        <f t="shared" si="26"/>
        <v>0</v>
      </c>
      <c r="B879" s="3">
        <f t="shared" si="27"/>
        <v>0</v>
      </c>
      <c r="C879" s="72"/>
      <c r="D879" s="72"/>
      <c r="E879" s="73"/>
      <c r="F879" s="73"/>
    </row>
    <row r="880" spans="1:6" x14ac:dyDescent="0.25">
      <c r="A880">
        <f t="shared" si="26"/>
        <v>0</v>
      </c>
      <c r="B880" s="3">
        <f t="shared" si="27"/>
        <v>0</v>
      </c>
      <c r="C880" s="72"/>
      <c r="D880" s="72"/>
      <c r="E880" s="73"/>
      <c r="F880" s="73"/>
    </row>
    <row r="881" spans="1:6" x14ac:dyDescent="0.25">
      <c r="A881">
        <f t="shared" si="26"/>
        <v>0</v>
      </c>
      <c r="B881" s="3">
        <f t="shared" si="27"/>
        <v>0</v>
      </c>
      <c r="C881" s="72"/>
      <c r="D881" s="72"/>
      <c r="E881" s="73"/>
      <c r="F881" s="73"/>
    </row>
    <row r="882" spans="1:6" x14ac:dyDescent="0.25">
      <c r="A882">
        <f t="shared" si="26"/>
        <v>0</v>
      </c>
      <c r="B882" s="3">
        <f t="shared" si="27"/>
        <v>0</v>
      </c>
      <c r="C882" s="72"/>
      <c r="D882" s="72"/>
      <c r="E882" s="73"/>
      <c r="F882" s="73"/>
    </row>
    <row r="883" spans="1:6" x14ac:dyDescent="0.25">
      <c r="A883">
        <f t="shared" si="26"/>
        <v>0</v>
      </c>
      <c r="B883" s="3">
        <f t="shared" si="27"/>
        <v>0</v>
      </c>
      <c r="C883" s="72"/>
      <c r="D883" s="72"/>
      <c r="E883" s="73"/>
      <c r="F883" s="73"/>
    </row>
    <row r="884" spans="1:6" x14ac:dyDescent="0.25">
      <c r="A884">
        <f t="shared" si="26"/>
        <v>0</v>
      </c>
      <c r="B884" s="3">
        <f t="shared" si="27"/>
        <v>0</v>
      </c>
      <c r="C884" s="72"/>
      <c r="D884" s="72"/>
      <c r="E884" s="73"/>
      <c r="F884" s="73"/>
    </row>
    <row r="885" spans="1:6" x14ac:dyDescent="0.25">
      <c r="A885">
        <f t="shared" si="26"/>
        <v>0</v>
      </c>
      <c r="B885" s="3">
        <f t="shared" si="27"/>
        <v>0</v>
      </c>
      <c r="C885" s="72"/>
      <c r="D885" s="72"/>
      <c r="E885" s="73"/>
      <c r="F885" s="73"/>
    </row>
    <row r="886" spans="1:6" x14ac:dyDescent="0.25">
      <c r="A886">
        <f t="shared" si="26"/>
        <v>0</v>
      </c>
      <c r="B886" s="3">
        <f t="shared" si="27"/>
        <v>0</v>
      </c>
      <c r="C886" s="72"/>
      <c r="D886" s="72"/>
      <c r="E886" s="73"/>
      <c r="F886" s="73"/>
    </row>
    <row r="887" spans="1:6" x14ac:dyDescent="0.25">
      <c r="A887">
        <f t="shared" si="26"/>
        <v>0</v>
      </c>
      <c r="B887" s="3">
        <f t="shared" si="27"/>
        <v>0</v>
      </c>
      <c r="C887" s="72"/>
      <c r="D887" s="72"/>
      <c r="E887" s="73"/>
      <c r="F887" s="73"/>
    </row>
    <row r="888" spans="1:6" x14ac:dyDescent="0.25">
      <c r="A888">
        <f t="shared" si="26"/>
        <v>0</v>
      </c>
      <c r="B888" s="3">
        <f t="shared" si="27"/>
        <v>0</v>
      </c>
      <c r="C888" s="72"/>
      <c r="D888" s="72"/>
      <c r="E888" s="73"/>
      <c r="F888" s="73"/>
    </row>
    <row r="889" spans="1:6" x14ac:dyDescent="0.25">
      <c r="A889">
        <f t="shared" si="26"/>
        <v>0</v>
      </c>
      <c r="B889" s="3">
        <f t="shared" si="27"/>
        <v>0</v>
      </c>
      <c r="C889" s="72"/>
      <c r="D889" s="72"/>
      <c r="E889" s="73"/>
      <c r="F889" s="73"/>
    </row>
    <row r="890" spans="1:6" x14ac:dyDescent="0.25">
      <c r="A890">
        <f t="shared" si="26"/>
        <v>0</v>
      </c>
      <c r="B890" s="3">
        <f t="shared" si="27"/>
        <v>0</v>
      </c>
      <c r="C890" s="72"/>
      <c r="D890" s="72"/>
      <c r="E890" s="73"/>
      <c r="F890" s="73"/>
    </row>
    <row r="891" spans="1:6" x14ac:dyDescent="0.25">
      <c r="A891">
        <f t="shared" si="26"/>
        <v>0</v>
      </c>
      <c r="B891" s="3">
        <f t="shared" si="27"/>
        <v>0</v>
      </c>
      <c r="C891" s="72"/>
      <c r="D891" s="72"/>
      <c r="E891" s="73"/>
      <c r="F891" s="73"/>
    </row>
    <row r="892" spans="1:6" x14ac:dyDescent="0.25">
      <c r="A892">
        <f t="shared" si="26"/>
        <v>0</v>
      </c>
      <c r="B892" s="3">
        <f t="shared" si="27"/>
        <v>0</v>
      </c>
      <c r="C892" s="72"/>
      <c r="D892" s="72"/>
      <c r="E892" s="73"/>
      <c r="F892" s="73"/>
    </row>
    <row r="893" spans="1:6" x14ac:dyDescent="0.25">
      <c r="A893">
        <f t="shared" si="26"/>
        <v>0</v>
      </c>
      <c r="B893" s="3">
        <f t="shared" si="27"/>
        <v>0</v>
      </c>
      <c r="C893" s="72"/>
      <c r="D893" s="72"/>
      <c r="E893" s="73"/>
      <c r="F893" s="73"/>
    </row>
    <row r="894" spans="1:6" x14ac:dyDescent="0.25">
      <c r="A894">
        <f t="shared" si="26"/>
        <v>0</v>
      </c>
      <c r="B894" s="3">
        <f t="shared" si="27"/>
        <v>0</v>
      </c>
      <c r="C894" s="72"/>
      <c r="D894" s="72"/>
      <c r="E894" s="73"/>
      <c r="F894" s="73"/>
    </row>
    <row r="895" spans="1:6" x14ac:dyDescent="0.25">
      <c r="A895">
        <f t="shared" si="26"/>
        <v>0</v>
      </c>
      <c r="B895" s="3">
        <f t="shared" si="27"/>
        <v>0</v>
      </c>
      <c r="C895" s="72"/>
      <c r="D895" s="72"/>
      <c r="E895" s="73"/>
      <c r="F895" s="73"/>
    </row>
    <row r="896" spans="1:6" x14ac:dyDescent="0.25">
      <c r="A896">
        <f t="shared" si="26"/>
        <v>0</v>
      </c>
      <c r="B896" s="3">
        <f t="shared" si="27"/>
        <v>0</v>
      </c>
      <c r="C896" s="72"/>
      <c r="D896" s="72"/>
      <c r="E896" s="73"/>
      <c r="F896" s="73"/>
    </row>
    <row r="897" spans="1:6" x14ac:dyDescent="0.25">
      <c r="A897">
        <f t="shared" si="26"/>
        <v>0</v>
      </c>
      <c r="B897" s="3">
        <f t="shared" si="27"/>
        <v>0</v>
      </c>
      <c r="C897" s="72"/>
      <c r="D897" s="72"/>
      <c r="E897" s="73"/>
      <c r="F897" s="73"/>
    </row>
    <row r="898" spans="1:6" x14ac:dyDescent="0.25">
      <c r="A898">
        <f t="shared" si="26"/>
        <v>0</v>
      </c>
      <c r="B898" s="3">
        <f t="shared" si="27"/>
        <v>0</v>
      </c>
      <c r="C898" s="72"/>
      <c r="D898" s="72"/>
      <c r="E898" s="73"/>
      <c r="F898" s="73"/>
    </row>
    <row r="899" spans="1:6" x14ac:dyDescent="0.25">
      <c r="A899">
        <f t="shared" si="26"/>
        <v>0</v>
      </c>
      <c r="B899" s="3">
        <f t="shared" si="27"/>
        <v>0</v>
      </c>
      <c r="C899" s="72"/>
      <c r="D899" s="72"/>
      <c r="E899" s="73"/>
      <c r="F899" s="73"/>
    </row>
    <row r="900" spans="1:6" x14ac:dyDescent="0.25">
      <c r="A900">
        <f t="shared" si="26"/>
        <v>0</v>
      </c>
      <c r="B900" s="3">
        <f t="shared" si="27"/>
        <v>0</v>
      </c>
      <c r="C900" s="72"/>
      <c r="D900" s="72"/>
      <c r="E900" s="73"/>
      <c r="F900" s="73"/>
    </row>
    <row r="901" spans="1:6" x14ac:dyDescent="0.25">
      <c r="A901">
        <f t="shared" si="26"/>
        <v>0</v>
      </c>
      <c r="B901" s="3">
        <f t="shared" si="27"/>
        <v>0</v>
      </c>
      <c r="C901" s="72"/>
      <c r="D901" s="72"/>
      <c r="E901" s="73"/>
      <c r="F901" s="73"/>
    </row>
    <row r="902" spans="1:6" x14ac:dyDescent="0.25">
      <c r="A902">
        <f t="shared" si="26"/>
        <v>0</v>
      </c>
      <c r="B902" s="3">
        <f t="shared" si="27"/>
        <v>0</v>
      </c>
      <c r="C902" s="72"/>
      <c r="D902" s="72"/>
      <c r="E902" s="73"/>
      <c r="F902" s="73"/>
    </row>
    <row r="903" spans="1:6" x14ac:dyDescent="0.25">
      <c r="A903">
        <f t="shared" ref="A903:A966" si="28">IF(ISNUMBER(C903),C903*F903,)</f>
        <v>0</v>
      </c>
      <c r="B903" s="3">
        <f t="shared" ref="B903:B966" si="29">IF(C903&lt;&gt;"",1,0)</f>
        <v>0</v>
      </c>
      <c r="C903" s="72"/>
      <c r="D903" s="72"/>
      <c r="E903" s="73"/>
      <c r="F903" s="73"/>
    </row>
    <row r="904" spans="1:6" x14ac:dyDescent="0.25">
      <c r="A904">
        <f t="shared" si="28"/>
        <v>0</v>
      </c>
      <c r="B904" s="3">
        <f t="shared" si="29"/>
        <v>0</v>
      </c>
      <c r="C904" s="72"/>
      <c r="D904" s="72"/>
      <c r="E904" s="73"/>
      <c r="F904" s="73"/>
    </row>
    <row r="905" spans="1:6" x14ac:dyDescent="0.25">
      <c r="A905">
        <f t="shared" si="28"/>
        <v>0</v>
      </c>
      <c r="B905" s="3">
        <f t="shared" si="29"/>
        <v>0</v>
      </c>
      <c r="C905" s="72"/>
      <c r="D905" s="72"/>
      <c r="E905" s="73"/>
      <c r="F905" s="73"/>
    </row>
    <row r="906" spans="1:6" x14ac:dyDescent="0.25">
      <c r="A906">
        <f t="shared" si="28"/>
        <v>0</v>
      </c>
      <c r="B906" s="3">
        <f t="shared" si="29"/>
        <v>0</v>
      </c>
      <c r="C906" s="72"/>
      <c r="D906" s="72"/>
      <c r="E906" s="73"/>
      <c r="F906" s="73"/>
    </row>
    <row r="907" spans="1:6" x14ac:dyDescent="0.25">
      <c r="A907">
        <f t="shared" si="28"/>
        <v>0</v>
      </c>
      <c r="B907" s="3">
        <f t="shared" si="29"/>
        <v>0</v>
      </c>
      <c r="C907" s="72"/>
      <c r="D907" s="72"/>
      <c r="E907" s="73"/>
      <c r="F907" s="73"/>
    </row>
    <row r="908" spans="1:6" x14ac:dyDescent="0.25">
      <c r="A908">
        <f t="shared" si="28"/>
        <v>0</v>
      </c>
      <c r="B908" s="3">
        <f t="shared" si="29"/>
        <v>0</v>
      </c>
      <c r="C908" s="72"/>
      <c r="D908" s="72"/>
      <c r="E908" s="73"/>
      <c r="F908" s="73"/>
    </row>
    <row r="909" spans="1:6" x14ac:dyDescent="0.25">
      <c r="A909">
        <f t="shared" si="28"/>
        <v>0</v>
      </c>
      <c r="B909" s="3">
        <f t="shared" si="29"/>
        <v>0</v>
      </c>
      <c r="C909" s="72"/>
      <c r="D909" s="72"/>
      <c r="E909" s="73"/>
      <c r="F909" s="73"/>
    </row>
    <row r="910" spans="1:6" x14ac:dyDescent="0.25">
      <c r="A910">
        <f t="shared" si="28"/>
        <v>0</v>
      </c>
      <c r="B910" s="3">
        <f t="shared" si="29"/>
        <v>0</v>
      </c>
      <c r="C910" s="72"/>
      <c r="D910" s="72"/>
      <c r="E910" s="73"/>
      <c r="F910" s="73"/>
    </row>
    <row r="911" spans="1:6" x14ac:dyDescent="0.25">
      <c r="A911">
        <f t="shared" si="28"/>
        <v>0</v>
      </c>
      <c r="B911" s="3">
        <f t="shared" si="29"/>
        <v>0</v>
      </c>
      <c r="C911" s="72"/>
      <c r="D911" s="72"/>
      <c r="E911" s="73"/>
      <c r="F911" s="73"/>
    </row>
    <row r="912" spans="1:6" x14ac:dyDescent="0.25">
      <c r="A912">
        <f t="shared" si="28"/>
        <v>0</v>
      </c>
      <c r="B912" s="3">
        <f t="shared" si="29"/>
        <v>0</v>
      </c>
      <c r="C912" s="72"/>
      <c r="D912" s="72"/>
      <c r="E912" s="73"/>
      <c r="F912" s="73"/>
    </row>
    <row r="913" spans="1:6" x14ac:dyDescent="0.25">
      <c r="A913">
        <f t="shared" si="28"/>
        <v>0</v>
      </c>
      <c r="B913" s="3">
        <f t="shared" si="29"/>
        <v>0</v>
      </c>
      <c r="C913" s="72"/>
      <c r="D913" s="72"/>
      <c r="E913" s="73"/>
      <c r="F913" s="73"/>
    </row>
    <row r="914" spans="1:6" x14ac:dyDescent="0.25">
      <c r="A914">
        <f t="shared" si="28"/>
        <v>0</v>
      </c>
      <c r="B914" s="3">
        <f t="shared" si="29"/>
        <v>0</v>
      </c>
      <c r="C914" s="72"/>
      <c r="D914" s="72"/>
      <c r="E914" s="73"/>
      <c r="F914" s="73"/>
    </row>
    <row r="915" spans="1:6" x14ac:dyDescent="0.25">
      <c r="A915">
        <f t="shared" si="28"/>
        <v>0</v>
      </c>
      <c r="B915" s="3">
        <f t="shared" si="29"/>
        <v>0</v>
      </c>
      <c r="C915" s="72"/>
      <c r="D915" s="72"/>
      <c r="E915" s="73"/>
      <c r="F915" s="73"/>
    </row>
    <row r="916" spans="1:6" x14ac:dyDescent="0.25">
      <c r="A916">
        <f t="shared" si="28"/>
        <v>0</v>
      </c>
      <c r="B916" s="3">
        <f t="shared" si="29"/>
        <v>0</v>
      </c>
      <c r="C916" s="72"/>
      <c r="D916" s="72"/>
      <c r="E916" s="73"/>
      <c r="F916" s="73"/>
    </row>
    <row r="917" spans="1:6" x14ac:dyDescent="0.25">
      <c r="A917">
        <f t="shared" si="28"/>
        <v>0</v>
      </c>
      <c r="B917" s="3">
        <f t="shared" si="29"/>
        <v>0</v>
      </c>
      <c r="C917" s="72"/>
      <c r="D917" s="72"/>
      <c r="E917" s="73"/>
      <c r="F917" s="73"/>
    </row>
    <row r="918" spans="1:6" x14ac:dyDescent="0.25">
      <c r="A918">
        <f t="shared" si="28"/>
        <v>0</v>
      </c>
      <c r="B918" s="3">
        <f t="shared" si="29"/>
        <v>0</v>
      </c>
      <c r="C918" s="72"/>
      <c r="D918" s="72"/>
      <c r="E918" s="73"/>
      <c r="F918" s="73"/>
    </row>
    <row r="919" spans="1:6" x14ac:dyDescent="0.25">
      <c r="A919">
        <f t="shared" si="28"/>
        <v>0</v>
      </c>
      <c r="B919" s="3">
        <f t="shared" si="29"/>
        <v>0</v>
      </c>
      <c r="C919" s="72"/>
      <c r="D919" s="72"/>
      <c r="E919" s="73"/>
      <c r="F919" s="73"/>
    </row>
    <row r="920" spans="1:6" x14ac:dyDescent="0.25">
      <c r="A920">
        <f t="shared" si="28"/>
        <v>0</v>
      </c>
      <c r="B920" s="3">
        <f t="shared" si="29"/>
        <v>0</v>
      </c>
      <c r="C920" s="72"/>
      <c r="D920" s="72"/>
      <c r="E920" s="73"/>
      <c r="F920" s="73"/>
    </row>
    <row r="921" spans="1:6" x14ac:dyDescent="0.25">
      <c r="A921">
        <f t="shared" si="28"/>
        <v>0</v>
      </c>
      <c r="B921" s="3">
        <f t="shared" si="29"/>
        <v>0</v>
      </c>
      <c r="C921" s="72"/>
      <c r="D921" s="72"/>
      <c r="E921" s="73"/>
      <c r="F921" s="73"/>
    </row>
    <row r="922" spans="1:6" x14ac:dyDescent="0.25">
      <c r="A922">
        <f t="shared" si="28"/>
        <v>0</v>
      </c>
      <c r="B922" s="3">
        <f t="shared" si="29"/>
        <v>0</v>
      </c>
      <c r="C922" s="72"/>
      <c r="D922" s="72"/>
      <c r="E922" s="73"/>
      <c r="F922" s="73"/>
    </row>
    <row r="923" spans="1:6" x14ac:dyDescent="0.25">
      <c r="A923">
        <f t="shared" si="28"/>
        <v>0</v>
      </c>
      <c r="B923" s="3">
        <f t="shared" si="29"/>
        <v>0</v>
      </c>
      <c r="C923" s="72"/>
      <c r="D923" s="72"/>
      <c r="E923" s="73"/>
      <c r="F923" s="73"/>
    </row>
    <row r="924" spans="1:6" x14ac:dyDescent="0.25">
      <c r="A924">
        <f t="shared" si="28"/>
        <v>0</v>
      </c>
      <c r="B924" s="3">
        <f t="shared" si="29"/>
        <v>0</v>
      </c>
      <c r="C924" s="72"/>
      <c r="D924" s="72"/>
      <c r="E924" s="73"/>
      <c r="F924" s="73"/>
    </row>
    <row r="925" spans="1:6" x14ac:dyDescent="0.25">
      <c r="A925">
        <f t="shared" si="28"/>
        <v>0</v>
      </c>
      <c r="B925" s="3">
        <f t="shared" si="29"/>
        <v>0</v>
      </c>
      <c r="C925" s="72"/>
      <c r="D925" s="72"/>
      <c r="E925" s="73"/>
      <c r="F925" s="73"/>
    </row>
    <row r="926" spans="1:6" x14ac:dyDescent="0.25">
      <c r="A926">
        <f t="shared" si="28"/>
        <v>0</v>
      </c>
      <c r="B926" s="3">
        <f t="shared" si="29"/>
        <v>0</v>
      </c>
      <c r="C926" s="72"/>
      <c r="D926" s="72"/>
      <c r="E926" s="73"/>
      <c r="F926" s="73"/>
    </row>
    <row r="927" spans="1:6" x14ac:dyDescent="0.25">
      <c r="A927">
        <f t="shared" si="28"/>
        <v>0</v>
      </c>
      <c r="B927" s="3">
        <f t="shared" si="29"/>
        <v>0</v>
      </c>
      <c r="C927" s="72"/>
      <c r="D927" s="72"/>
      <c r="E927" s="73"/>
      <c r="F927" s="73"/>
    </row>
    <row r="928" spans="1:6" x14ac:dyDescent="0.25">
      <c r="A928">
        <f t="shared" si="28"/>
        <v>0</v>
      </c>
      <c r="B928" s="3">
        <f t="shared" si="29"/>
        <v>0</v>
      </c>
      <c r="C928" s="72"/>
      <c r="D928" s="72"/>
      <c r="E928" s="73"/>
      <c r="F928" s="73"/>
    </row>
    <row r="929" spans="1:6" x14ac:dyDescent="0.25">
      <c r="A929">
        <f t="shared" si="28"/>
        <v>0</v>
      </c>
      <c r="B929" s="3">
        <f t="shared" si="29"/>
        <v>0</v>
      </c>
      <c r="C929" s="72"/>
      <c r="D929" s="72"/>
      <c r="E929" s="73"/>
      <c r="F929" s="73"/>
    </row>
    <row r="930" spans="1:6" x14ac:dyDescent="0.25">
      <c r="A930">
        <f t="shared" si="28"/>
        <v>0</v>
      </c>
      <c r="B930" s="3">
        <f t="shared" si="29"/>
        <v>0</v>
      </c>
      <c r="C930" s="72"/>
      <c r="D930" s="72"/>
      <c r="E930" s="73"/>
      <c r="F930" s="73"/>
    </row>
    <row r="931" spans="1:6" x14ac:dyDescent="0.25">
      <c r="A931">
        <f t="shared" si="28"/>
        <v>0</v>
      </c>
      <c r="B931" s="3">
        <f t="shared" si="29"/>
        <v>0</v>
      </c>
      <c r="C931" s="72"/>
      <c r="D931" s="72"/>
      <c r="E931" s="73"/>
      <c r="F931" s="73"/>
    </row>
    <row r="932" spans="1:6" x14ac:dyDescent="0.25">
      <c r="A932">
        <f t="shared" si="28"/>
        <v>0</v>
      </c>
      <c r="B932" s="3">
        <f t="shared" si="29"/>
        <v>0</v>
      </c>
      <c r="C932" s="72"/>
      <c r="D932" s="72"/>
      <c r="E932" s="73"/>
      <c r="F932" s="73"/>
    </row>
    <row r="933" spans="1:6" x14ac:dyDescent="0.25">
      <c r="A933">
        <f t="shared" si="28"/>
        <v>0</v>
      </c>
      <c r="B933" s="3">
        <f t="shared" si="29"/>
        <v>0</v>
      </c>
      <c r="C933" s="72"/>
      <c r="D933" s="72"/>
      <c r="E933" s="73"/>
      <c r="F933" s="73"/>
    </row>
    <row r="934" spans="1:6" x14ac:dyDescent="0.25">
      <c r="A934">
        <f t="shared" si="28"/>
        <v>0</v>
      </c>
      <c r="B934" s="3">
        <f t="shared" si="29"/>
        <v>0</v>
      </c>
      <c r="C934" s="72"/>
      <c r="D934" s="72"/>
      <c r="E934" s="73"/>
      <c r="F934" s="73"/>
    </row>
    <row r="935" spans="1:6" x14ac:dyDescent="0.25">
      <c r="A935">
        <f t="shared" si="28"/>
        <v>0</v>
      </c>
      <c r="B935" s="3">
        <f t="shared" si="29"/>
        <v>0</v>
      </c>
      <c r="C935" s="72"/>
      <c r="D935" s="72"/>
      <c r="E935" s="73"/>
      <c r="F935" s="73"/>
    </row>
    <row r="936" spans="1:6" x14ac:dyDescent="0.25">
      <c r="A936">
        <f t="shared" si="28"/>
        <v>0</v>
      </c>
      <c r="B936" s="3">
        <f t="shared" si="29"/>
        <v>0</v>
      </c>
      <c r="C936" s="72"/>
      <c r="D936" s="72"/>
      <c r="E936" s="73"/>
      <c r="F936" s="73"/>
    </row>
    <row r="937" spans="1:6" x14ac:dyDescent="0.25">
      <c r="A937">
        <f t="shared" si="28"/>
        <v>0</v>
      </c>
      <c r="B937" s="3">
        <f t="shared" si="29"/>
        <v>0</v>
      </c>
      <c r="C937" s="72"/>
      <c r="D937" s="72"/>
      <c r="E937" s="73"/>
      <c r="F937" s="73"/>
    </row>
    <row r="938" spans="1:6" x14ac:dyDescent="0.25">
      <c r="A938">
        <f t="shared" si="28"/>
        <v>0</v>
      </c>
      <c r="B938" s="3">
        <f t="shared" si="29"/>
        <v>0</v>
      </c>
      <c r="C938" s="72"/>
      <c r="D938" s="72"/>
      <c r="E938" s="73"/>
      <c r="F938" s="73"/>
    </row>
    <row r="939" spans="1:6" x14ac:dyDescent="0.25">
      <c r="A939">
        <f t="shared" si="28"/>
        <v>0</v>
      </c>
      <c r="B939" s="3">
        <f t="shared" si="29"/>
        <v>0</v>
      </c>
      <c r="C939" s="72"/>
      <c r="D939" s="72"/>
      <c r="E939" s="73"/>
      <c r="F939" s="73"/>
    </row>
    <row r="940" spans="1:6" x14ac:dyDescent="0.25">
      <c r="A940">
        <f t="shared" si="28"/>
        <v>0</v>
      </c>
      <c r="B940" s="3">
        <f t="shared" si="29"/>
        <v>0</v>
      </c>
      <c r="C940" s="72"/>
      <c r="D940" s="72"/>
      <c r="E940" s="73"/>
      <c r="F940" s="73"/>
    </row>
    <row r="941" spans="1:6" x14ac:dyDescent="0.25">
      <c r="A941">
        <f t="shared" si="28"/>
        <v>0</v>
      </c>
      <c r="B941" s="3">
        <f t="shared" si="29"/>
        <v>0</v>
      </c>
      <c r="C941" s="72"/>
      <c r="D941" s="72"/>
      <c r="E941" s="73"/>
      <c r="F941" s="73"/>
    </row>
    <row r="942" spans="1:6" x14ac:dyDescent="0.25">
      <c r="A942">
        <f t="shared" si="28"/>
        <v>0</v>
      </c>
      <c r="B942" s="3">
        <f t="shared" si="29"/>
        <v>0</v>
      </c>
      <c r="C942" s="72"/>
      <c r="D942" s="72"/>
      <c r="E942" s="73"/>
      <c r="F942" s="73"/>
    </row>
    <row r="943" spans="1:6" x14ac:dyDescent="0.25">
      <c r="A943">
        <f t="shared" si="28"/>
        <v>0</v>
      </c>
      <c r="B943" s="3">
        <f t="shared" si="29"/>
        <v>0</v>
      </c>
      <c r="C943" s="72"/>
      <c r="D943" s="72"/>
      <c r="E943" s="73"/>
      <c r="F943" s="73"/>
    </row>
    <row r="944" spans="1:6" x14ac:dyDescent="0.25">
      <c r="A944">
        <f t="shared" si="28"/>
        <v>0</v>
      </c>
      <c r="B944" s="3">
        <f t="shared" si="29"/>
        <v>0</v>
      </c>
      <c r="C944" s="72"/>
      <c r="D944" s="72"/>
      <c r="E944" s="73"/>
      <c r="F944" s="73"/>
    </row>
    <row r="945" spans="1:6" x14ac:dyDescent="0.25">
      <c r="A945">
        <f t="shared" si="28"/>
        <v>0</v>
      </c>
      <c r="B945" s="3">
        <f t="shared" si="29"/>
        <v>0</v>
      </c>
      <c r="C945" s="72"/>
      <c r="D945" s="72"/>
      <c r="E945" s="73"/>
      <c r="F945" s="73"/>
    </row>
    <row r="946" spans="1:6" x14ac:dyDescent="0.25">
      <c r="A946">
        <f t="shared" si="28"/>
        <v>0</v>
      </c>
      <c r="B946" s="3">
        <f t="shared" si="29"/>
        <v>0</v>
      </c>
      <c r="C946" s="72"/>
      <c r="D946" s="72"/>
      <c r="E946" s="73"/>
      <c r="F946" s="73"/>
    </row>
    <row r="947" spans="1:6" x14ac:dyDescent="0.25">
      <c r="A947">
        <f t="shared" si="28"/>
        <v>0</v>
      </c>
      <c r="B947" s="3">
        <f t="shared" si="29"/>
        <v>0</v>
      </c>
      <c r="C947" s="72"/>
      <c r="D947" s="72"/>
      <c r="E947" s="73"/>
      <c r="F947" s="73"/>
    </row>
    <row r="948" spans="1:6" x14ac:dyDescent="0.25">
      <c r="A948">
        <f t="shared" si="28"/>
        <v>0</v>
      </c>
      <c r="B948" s="3">
        <f t="shared" si="29"/>
        <v>0</v>
      </c>
      <c r="C948" s="72"/>
      <c r="D948" s="72"/>
      <c r="E948" s="73"/>
      <c r="F948" s="73"/>
    </row>
    <row r="949" spans="1:6" x14ac:dyDescent="0.25">
      <c r="A949">
        <f t="shared" si="28"/>
        <v>0</v>
      </c>
      <c r="B949" s="3">
        <f t="shared" si="29"/>
        <v>0</v>
      </c>
      <c r="C949" s="72"/>
      <c r="D949" s="72"/>
      <c r="E949" s="73"/>
      <c r="F949" s="73"/>
    </row>
    <row r="950" spans="1:6" x14ac:dyDescent="0.25">
      <c r="A950">
        <f t="shared" si="28"/>
        <v>0</v>
      </c>
      <c r="B950" s="3">
        <f t="shared" si="29"/>
        <v>0</v>
      </c>
      <c r="C950" s="72"/>
      <c r="D950" s="72"/>
      <c r="E950" s="73"/>
      <c r="F950" s="73"/>
    </row>
    <row r="951" spans="1:6" x14ac:dyDescent="0.25">
      <c r="A951">
        <f t="shared" si="28"/>
        <v>0</v>
      </c>
      <c r="B951" s="3">
        <f t="shared" si="29"/>
        <v>0</v>
      </c>
      <c r="C951" s="72"/>
      <c r="D951" s="72"/>
      <c r="E951" s="73"/>
      <c r="F951" s="73"/>
    </row>
    <row r="952" spans="1:6" x14ac:dyDescent="0.25">
      <c r="A952">
        <f t="shared" si="28"/>
        <v>0</v>
      </c>
      <c r="B952" s="3">
        <f t="shared" si="29"/>
        <v>0</v>
      </c>
      <c r="C952" s="72"/>
      <c r="D952" s="72"/>
      <c r="E952" s="73"/>
      <c r="F952" s="73"/>
    </row>
    <row r="953" spans="1:6" x14ac:dyDescent="0.25">
      <c r="A953">
        <f t="shared" si="28"/>
        <v>0</v>
      </c>
      <c r="B953" s="3">
        <f t="shared" si="29"/>
        <v>0</v>
      </c>
      <c r="C953" s="72"/>
      <c r="D953" s="72"/>
      <c r="E953" s="73"/>
      <c r="F953" s="73"/>
    </row>
    <row r="954" spans="1:6" x14ac:dyDescent="0.25">
      <c r="A954">
        <f t="shared" si="28"/>
        <v>0</v>
      </c>
      <c r="B954" s="3">
        <f t="shared" si="29"/>
        <v>0</v>
      </c>
      <c r="C954" s="72"/>
      <c r="D954" s="72"/>
      <c r="E954" s="73"/>
      <c r="F954" s="73"/>
    </row>
    <row r="955" spans="1:6" x14ac:dyDescent="0.25">
      <c r="A955">
        <f t="shared" si="28"/>
        <v>0</v>
      </c>
      <c r="B955" s="3">
        <f t="shared" si="29"/>
        <v>0</v>
      </c>
      <c r="C955" s="72"/>
      <c r="D955" s="72"/>
      <c r="E955" s="73"/>
      <c r="F955" s="73"/>
    </row>
    <row r="956" spans="1:6" x14ac:dyDescent="0.25">
      <c r="A956">
        <f t="shared" si="28"/>
        <v>0</v>
      </c>
      <c r="B956" s="3">
        <f t="shared" si="29"/>
        <v>0</v>
      </c>
      <c r="C956" s="72"/>
      <c r="D956" s="72"/>
      <c r="E956" s="73"/>
      <c r="F956" s="73"/>
    </row>
    <row r="957" spans="1:6" x14ac:dyDescent="0.25">
      <c r="A957">
        <f t="shared" si="28"/>
        <v>0</v>
      </c>
      <c r="B957" s="3">
        <f t="shared" si="29"/>
        <v>0</v>
      </c>
      <c r="C957" s="72"/>
      <c r="D957" s="72"/>
      <c r="E957" s="73"/>
      <c r="F957" s="73"/>
    </row>
    <row r="958" spans="1:6" x14ac:dyDescent="0.25">
      <c r="A958">
        <f t="shared" si="28"/>
        <v>0</v>
      </c>
      <c r="B958" s="3">
        <f t="shared" si="29"/>
        <v>0</v>
      </c>
      <c r="C958" s="72"/>
      <c r="D958" s="72"/>
      <c r="E958" s="73"/>
      <c r="F958" s="73"/>
    </row>
    <row r="959" spans="1:6" x14ac:dyDescent="0.25">
      <c r="A959">
        <f t="shared" si="28"/>
        <v>0</v>
      </c>
      <c r="B959" s="3">
        <f t="shared" si="29"/>
        <v>0</v>
      </c>
      <c r="C959" s="72"/>
      <c r="D959" s="72"/>
      <c r="E959" s="73"/>
      <c r="F959" s="73"/>
    </row>
    <row r="960" spans="1:6" x14ac:dyDescent="0.25">
      <c r="A960">
        <f t="shared" si="28"/>
        <v>0</v>
      </c>
      <c r="B960" s="3">
        <f t="shared" si="29"/>
        <v>0</v>
      </c>
      <c r="C960" s="72"/>
      <c r="D960" s="72"/>
      <c r="E960" s="73"/>
      <c r="F960" s="73"/>
    </row>
    <row r="961" spans="1:6" x14ac:dyDescent="0.25">
      <c r="A961">
        <f t="shared" si="28"/>
        <v>0</v>
      </c>
      <c r="B961" s="3">
        <f t="shared" si="29"/>
        <v>0</v>
      </c>
      <c r="C961" s="72"/>
      <c r="D961" s="72"/>
      <c r="E961" s="73"/>
      <c r="F961" s="73"/>
    </row>
    <row r="962" spans="1:6" x14ac:dyDescent="0.25">
      <c r="A962">
        <f t="shared" si="28"/>
        <v>0</v>
      </c>
      <c r="B962" s="3">
        <f t="shared" si="29"/>
        <v>0</v>
      </c>
      <c r="C962" s="72"/>
      <c r="D962" s="72"/>
      <c r="E962" s="73"/>
      <c r="F962" s="73"/>
    </row>
    <row r="963" spans="1:6" x14ac:dyDescent="0.25">
      <c r="A963">
        <f t="shared" si="28"/>
        <v>0</v>
      </c>
      <c r="B963" s="3">
        <f t="shared" si="29"/>
        <v>0</v>
      </c>
      <c r="C963" s="72"/>
      <c r="D963" s="72"/>
      <c r="E963" s="73"/>
      <c r="F963" s="73"/>
    </row>
    <row r="964" spans="1:6" x14ac:dyDescent="0.25">
      <c r="A964">
        <f t="shared" si="28"/>
        <v>0</v>
      </c>
      <c r="B964" s="3">
        <f t="shared" si="29"/>
        <v>0</v>
      </c>
      <c r="C964" s="72"/>
      <c r="D964" s="72"/>
      <c r="E964" s="73"/>
      <c r="F964" s="73"/>
    </row>
    <row r="965" spans="1:6" x14ac:dyDescent="0.25">
      <c r="A965">
        <f t="shared" si="28"/>
        <v>0</v>
      </c>
      <c r="B965" s="3">
        <f t="shared" si="29"/>
        <v>0</v>
      </c>
      <c r="C965" s="72"/>
      <c r="D965" s="72"/>
      <c r="E965" s="73"/>
      <c r="F965" s="73"/>
    </row>
    <row r="966" spans="1:6" x14ac:dyDescent="0.25">
      <c r="A966">
        <f t="shared" si="28"/>
        <v>0</v>
      </c>
      <c r="B966" s="3">
        <f t="shared" si="29"/>
        <v>0</v>
      </c>
      <c r="C966" s="72"/>
      <c r="D966" s="72"/>
      <c r="E966" s="73"/>
      <c r="F966" s="73"/>
    </row>
    <row r="967" spans="1:6" x14ac:dyDescent="0.25">
      <c r="A967">
        <f t="shared" ref="A967:A1030" si="30">IF(ISNUMBER(C967),C967*F967,)</f>
        <v>0</v>
      </c>
      <c r="B967" s="3">
        <f t="shared" ref="B967:B1030" si="31">IF(C967&lt;&gt;"",1,0)</f>
        <v>0</v>
      </c>
      <c r="C967" s="72"/>
      <c r="D967" s="72"/>
      <c r="E967" s="73"/>
      <c r="F967" s="73"/>
    </row>
    <row r="968" spans="1:6" x14ac:dyDescent="0.25">
      <c r="A968">
        <f t="shared" si="30"/>
        <v>0</v>
      </c>
      <c r="B968" s="3">
        <f t="shared" si="31"/>
        <v>0</v>
      </c>
      <c r="C968" s="72"/>
      <c r="D968" s="72"/>
      <c r="E968" s="73"/>
      <c r="F968" s="73"/>
    </row>
    <row r="969" spans="1:6" x14ac:dyDescent="0.25">
      <c r="A969">
        <f t="shared" si="30"/>
        <v>0</v>
      </c>
      <c r="B969" s="3">
        <f t="shared" si="31"/>
        <v>0</v>
      </c>
      <c r="C969" s="72"/>
      <c r="D969" s="72"/>
      <c r="E969" s="73"/>
      <c r="F969" s="73"/>
    </row>
    <row r="970" spans="1:6" x14ac:dyDescent="0.25">
      <c r="A970">
        <f t="shared" si="30"/>
        <v>0</v>
      </c>
      <c r="B970" s="3">
        <f t="shared" si="31"/>
        <v>0</v>
      </c>
      <c r="C970" s="72"/>
      <c r="D970" s="72"/>
      <c r="E970" s="73"/>
      <c r="F970" s="73"/>
    </row>
    <row r="971" spans="1:6" x14ac:dyDescent="0.25">
      <c r="A971">
        <f t="shared" si="30"/>
        <v>0</v>
      </c>
      <c r="B971" s="3">
        <f t="shared" si="31"/>
        <v>0</v>
      </c>
      <c r="C971" s="72"/>
      <c r="D971" s="72"/>
      <c r="E971" s="73"/>
      <c r="F971" s="73"/>
    </row>
    <row r="972" spans="1:6" x14ac:dyDescent="0.25">
      <c r="A972">
        <f t="shared" si="30"/>
        <v>0</v>
      </c>
      <c r="B972" s="3">
        <f t="shared" si="31"/>
        <v>0</v>
      </c>
      <c r="C972" s="72"/>
      <c r="D972" s="72"/>
      <c r="E972" s="73"/>
      <c r="F972" s="73"/>
    </row>
    <row r="973" spans="1:6" x14ac:dyDescent="0.25">
      <c r="A973">
        <f t="shared" si="30"/>
        <v>0</v>
      </c>
      <c r="B973" s="3">
        <f t="shared" si="31"/>
        <v>0</v>
      </c>
      <c r="C973" s="72"/>
      <c r="D973" s="72"/>
      <c r="E973" s="73"/>
      <c r="F973" s="73"/>
    </row>
    <row r="974" spans="1:6" x14ac:dyDescent="0.25">
      <c r="A974">
        <f t="shared" si="30"/>
        <v>0</v>
      </c>
      <c r="B974" s="3">
        <f t="shared" si="31"/>
        <v>0</v>
      </c>
      <c r="C974" s="72"/>
      <c r="D974" s="72"/>
      <c r="E974" s="73"/>
      <c r="F974" s="73"/>
    </row>
    <row r="975" spans="1:6" x14ac:dyDescent="0.25">
      <c r="A975">
        <f t="shared" si="30"/>
        <v>0</v>
      </c>
      <c r="B975" s="3">
        <f t="shared" si="31"/>
        <v>0</v>
      </c>
      <c r="C975" s="72"/>
      <c r="D975" s="72"/>
      <c r="E975" s="73"/>
      <c r="F975" s="73"/>
    </row>
    <row r="976" spans="1:6" x14ac:dyDescent="0.25">
      <c r="A976">
        <f t="shared" si="30"/>
        <v>0</v>
      </c>
      <c r="B976" s="3">
        <f t="shared" si="31"/>
        <v>0</v>
      </c>
      <c r="C976" s="72"/>
      <c r="D976" s="72"/>
      <c r="E976" s="73"/>
      <c r="F976" s="73"/>
    </row>
    <row r="977" spans="1:6" x14ac:dyDescent="0.25">
      <c r="A977">
        <f t="shared" si="30"/>
        <v>0</v>
      </c>
      <c r="B977" s="3">
        <f t="shared" si="31"/>
        <v>0</v>
      </c>
      <c r="C977" s="72"/>
      <c r="D977" s="72"/>
      <c r="E977" s="73"/>
      <c r="F977" s="73"/>
    </row>
    <row r="978" spans="1:6" x14ac:dyDescent="0.25">
      <c r="A978">
        <f t="shared" si="30"/>
        <v>0</v>
      </c>
      <c r="B978" s="3">
        <f t="shared" si="31"/>
        <v>0</v>
      </c>
      <c r="C978" s="72"/>
      <c r="D978" s="72"/>
      <c r="E978" s="73"/>
      <c r="F978" s="73"/>
    </row>
    <row r="979" spans="1:6" x14ac:dyDescent="0.25">
      <c r="A979">
        <f t="shared" si="30"/>
        <v>0</v>
      </c>
      <c r="B979" s="3">
        <f t="shared" si="31"/>
        <v>0</v>
      </c>
      <c r="C979" s="72"/>
      <c r="D979" s="72"/>
      <c r="E979" s="73"/>
      <c r="F979" s="73"/>
    </row>
    <row r="980" spans="1:6" x14ac:dyDescent="0.25">
      <c r="A980">
        <f t="shared" si="30"/>
        <v>0</v>
      </c>
      <c r="B980" s="3">
        <f t="shared" si="31"/>
        <v>0</v>
      </c>
      <c r="C980" s="72"/>
      <c r="D980" s="72"/>
      <c r="E980" s="73"/>
      <c r="F980" s="73"/>
    </row>
    <row r="981" spans="1:6" x14ac:dyDescent="0.25">
      <c r="A981">
        <f t="shared" si="30"/>
        <v>0</v>
      </c>
      <c r="B981" s="3">
        <f t="shared" si="31"/>
        <v>0</v>
      </c>
      <c r="C981" s="72"/>
      <c r="D981" s="72"/>
      <c r="E981" s="73"/>
      <c r="F981" s="73"/>
    </row>
    <row r="982" spans="1:6" x14ac:dyDescent="0.25">
      <c r="A982">
        <f t="shared" si="30"/>
        <v>0</v>
      </c>
      <c r="B982" s="3">
        <f t="shared" si="31"/>
        <v>0</v>
      </c>
      <c r="C982" s="72"/>
      <c r="D982" s="72"/>
      <c r="E982" s="73"/>
      <c r="F982" s="73"/>
    </row>
    <row r="983" spans="1:6" x14ac:dyDescent="0.25">
      <c r="A983">
        <f t="shared" si="30"/>
        <v>0</v>
      </c>
      <c r="B983" s="3">
        <f t="shared" si="31"/>
        <v>0</v>
      </c>
      <c r="C983" s="72"/>
      <c r="D983" s="72"/>
      <c r="E983" s="73"/>
      <c r="F983" s="73"/>
    </row>
    <row r="984" spans="1:6" x14ac:dyDescent="0.25">
      <c r="A984">
        <f t="shared" si="30"/>
        <v>0</v>
      </c>
      <c r="B984" s="3">
        <f t="shared" si="31"/>
        <v>0</v>
      </c>
      <c r="C984" s="72"/>
      <c r="D984" s="72"/>
      <c r="E984" s="73"/>
      <c r="F984" s="73"/>
    </row>
    <row r="985" spans="1:6" x14ac:dyDescent="0.25">
      <c r="A985">
        <f t="shared" si="30"/>
        <v>0</v>
      </c>
      <c r="B985" s="3">
        <f t="shared" si="31"/>
        <v>0</v>
      </c>
      <c r="C985" s="72"/>
      <c r="D985" s="72"/>
      <c r="E985" s="73"/>
      <c r="F985" s="73"/>
    </row>
    <row r="986" spans="1:6" x14ac:dyDescent="0.25">
      <c r="A986">
        <f t="shared" si="30"/>
        <v>0</v>
      </c>
      <c r="B986" s="3">
        <f t="shared" si="31"/>
        <v>0</v>
      </c>
      <c r="C986" s="72"/>
      <c r="D986" s="72"/>
      <c r="E986" s="73"/>
      <c r="F986" s="73"/>
    </row>
    <row r="987" spans="1:6" x14ac:dyDescent="0.25">
      <c r="A987">
        <f t="shared" si="30"/>
        <v>0</v>
      </c>
      <c r="B987" s="3">
        <f t="shared" si="31"/>
        <v>0</v>
      </c>
      <c r="C987" s="72"/>
      <c r="D987" s="72"/>
      <c r="E987" s="73"/>
      <c r="F987" s="73"/>
    </row>
    <row r="988" spans="1:6" x14ac:dyDescent="0.25">
      <c r="A988">
        <f t="shared" si="30"/>
        <v>0</v>
      </c>
      <c r="B988" s="3">
        <f t="shared" si="31"/>
        <v>0</v>
      </c>
      <c r="C988" s="72"/>
      <c r="D988" s="72"/>
      <c r="E988" s="73"/>
      <c r="F988" s="73"/>
    </row>
    <row r="989" spans="1:6" x14ac:dyDescent="0.25">
      <c r="A989">
        <f t="shared" si="30"/>
        <v>0</v>
      </c>
      <c r="B989" s="3">
        <f t="shared" si="31"/>
        <v>0</v>
      </c>
      <c r="C989" s="72"/>
      <c r="D989" s="72"/>
      <c r="E989" s="73"/>
      <c r="F989" s="73"/>
    </row>
    <row r="990" spans="1:6" x14ac:dyDescent="0.25">
      <c r="A990">
        <f t="shared" si="30"/>
        <v>0</v>
      </c>
      <c r="B990" s="3">
        <f t="shared" si="31"/>
        <v>0</v>
      </c>
      <c r="C990" s="72"/>
      <c r="D990" s="72"/>
      <c r="E990" s="73"/>
      <c r="F990" s="73"/>
    </row>
    <row r="991" spans="1:6" x14ac:dyDescent="0.25">
      <c r="A991">
        <f t="shared" si="30"/>
        <v>0</v>
      </c>
      <c r="B991" s="3">
        <f t="shared" si="31"/>
        <v>0</v>
      </c>
      <c r="C991" s="72"/>
      <c r="D991" s="72"/>
      <c r="E991" s="73"/>
      <c r="F991" s="73"/>
    </row>
    <row r="992" spans="1:6" x14ac:dyDescent="0.25">
      <c r="A992">
        <f t="shared" si="30"/>
        <v>0</v>
      </c>
      <c r="B992" s="3">
        <f t="shared" si="31"/>
        <v>0</v>
      </c>
      <c r="C992" s="72"/>
      <c r="D992" s="72"/>
      <c r="E992" s="73"/>
      <c r="F992" s="73"/>
    </row>
    <row r="993" spans="1:6" x14ac:dyDescent="0.25">
      <c r="A993">
        <f t="shared" si="30"/>
        <v>0</v>
      </c>
      <c r="B993" s="3">
        <f t="shared" si="31"/>
        <v>0</v>
      </c>
      <c r="C993" s="72"/>
      <c r="D993" s="72"/>
      <c r="E993" s="73"/>
      <c r="F993" s="73"/>
    </row>
    <row r="994" spans="1:6" x14ac:dyDescent="0.25">
      <c r="A994">
        <f t="shared" si="30"/>
        <v>0</v>
      </c>
      <c r="B994" s="3">
        <f t="shared" si="31"/>
        <v>0</v>
      </c>
      <c r="C994" s="72"/>
      <c r="D994" s="72"/>
      <c r="E994" s="73"/>
      <c r="F994" s="73"/>
    </row>
    <row r="995" spans="1:6" x14ac:dyDescent="0.25">
      <c r="A995">
        <f t="shared" si="30"/>
        <v>0</v>
      </c>
      <c r="B995" s="3">
        <f t="shared" si="31"/>
        <v>0</v>
      </c>
      <c r="C995" s="72"/>
      <c r="D995" s="72"/>
      <c r="E995" s="73"/>
      <c r="F995" s="73"/>
    </row>
    <row r="996" spans="1:6" x14ac:dyDescent="0.25">
      <c r="A996">
        <f t="shared" si="30"/>
        <v>0</v>
      </c>
      <c r="B996" s="3">
        <f t="shared" si="31"/>
        <v>0</v>
      </c>
      <c r="C996" s="72"/>
      <c r="D996" s="72"/>
      <c r="E996" s="73"/>
      <c r="F996" s="73"/>
    </row>
    <row r="997" spans="1:6" x14ac:dyDescent="0.25">
      <c r="A997">
        <f t="shared" si="30"/>
        <v>0</v>
      </c>
      <c r="B997" s="3">
        <f t="shared" si="31"/>
        <v>0</v>
      </c>
      <c r="C997" s="72"/>
      <c r="D997" s="72"/>
      <c r="E997" s="73"/>
      <c r="F997" s="73"/>
    </row>
    <row r="998" spans="1:6" x14ac:dyDescent="0.25">
      <c r="A998">
        <f t="shared" si="30"/>
        <v>0</v>
      </c>
      <c r="B998" s="3">
        <f t="shared" si="31"/>
        <v>0</v>
      </c>
      <c r="C998" s="72"/>
      <c r="D998" s="72"/>
      <c r="E998" s="73"/>
      <c r="F998" s="73"/>
    </row>
    <row r="999" spans="1:6" x14ac:dyDescent="0.25">
      <c r="A999">
        <f t="shared" si="30"/>
        <v>0</v>
      </c>
      <c r="B999" s="3">
        <f t="shared" si="31"/>
        <v>0</v>
      </c>
      <c r="C999" s="72"/>
      <c r="D999" s="72"/>
      <c r="E999" s="73"/>
      <c r="F999" s="73"/>
    </row>
    <row r="1000" spans="1:6" x14ac:dyDescent="0.25">
      <c r="A1000">
        <f t="shared" si="30"/>
        <v>0</v>
      </c>
      <c r="B1000" s="3">
        <f t="shared" si="31"/>
        <v>0</v>
      </c>
      <c r="C1000" s="72"/>
      <c r="D1000" s="72"/>
      <c r="E1000" s="73"/>
      <c r="F1000" s="73"/>
    </row>
    <row r="1001" spans="1:6" x14ac:dyDescent="0.25">
      <c r="A1001">
        <f t="shared" si="30"/>
        <v>0</v>
      </c>
      <c r="B1001" s="3">
        <f t="shared" si="31"/>
        <v>0</v>
      </c>
      <c r="C1001" s="72"/>
      <c r="D1001" s="72"/>
      <c r="E1001" s="73"/>
      <c r="F1001" s="73"/>
    </row>
    <row r="1002" spans="1:6" x14ac:dyDescent="0.25">
      <c r="A1002">
        <f t="shared" si="30"/>
        <v>0</v>
      </c>
      <c r="B1002" s="3">
        <f t="shared" si="31"/>
        <v>0</v>
      </c>
      <c r="C1002" s="72"/>
      <c r="D1002" s="72"/>
      <c r="E1002" s="73"/>
      <c r="F1002" s="73"/>
    </row>
    <row r="1003" spans="1:6" x14ac:dyDescent="0.25">
      <c r="A1003">
        <f t="shared" si="30"/>
        <v>0</v>
      </c>
      <c r="B1003" s="3">
        <f t="shared" si="31"/>
        <v>0</v>
      </c>
      <c r="C1003" s="72"/>
      <c r="D1003" s="72"/>
      <c r="E1003" s="73"/>
      <c r="F1003" s="73"/>
    </row>
    <row r="1004" spans="1:6" x14ac:dyDescent="0.25">
      <c r="A1004">
        <f t="shared" si="30"/>
        <v>0</v>
      </c>
      <c r="B1004" s="3">
        <f t="shared" si="31"/>
        <v>0</v>
      </c>
      <c r="C1004" s="72"/>
      <c r="D1004" s="72"/>
      <c r="E1004" s="73"/>
      <c r="F1004" s="73"/>
    </row>
    <row r="1005" spans="1:6" x14ac:dyDescent="0.25">
      <c r="A1005">
        <f t="shared" si="30"/>
        <v>0</v>
      </c>
      <c r="B1005" s="3">
        <f t="shared" si="31"/>
        <v>0</v>
      </c>
      <c r="C1005" s="72"/>
      <c r="D1005" s="72"/>
      <c r="E1005" s="73"/>
      <c r="F1005" s="73"/>
    </row>
    <row r="1006" spans="1:6" x14ac:dyDescent="0.25">
      <c r="A1006">
        <f t="shared" si="30"/>
        <v>0</v>
      </c>
      <c r="B1006" s="3">
        <f t="shared" si="31"/>
        <v>0</v>
      </c>
      <c r="C1006" s="72"/>
      <c r="D1006" s="72"/>
      <c r="E1006" s="73"/>
      <c r="F1006" s="73"/>
    </row>
    <row r="1007" spans="1:6" x14ac:dyDescent="0.25">
      <c r="A1007">
        <f t="shared" si="30"/>
        <v>0</v>
      </c>
      <c r="B1007" s="3">
        <f t="shared" si="31"/>
        <v>0</v>
      </c>
      <c r="C1007" s="72"/>
      <c r="D1007" s="72"/>
      <c r="E1007" s="73"/>
      <c r="F1007" s="73"/>
    </row>
    <row r="1008" spans="1:6" x14ac:dyDescent="0.25">
      <c r="A1008">
        <f t="shared" si="30"/>
        <v>0</v>
      </c>
      <c r="B1008" s="3">
        <f t="shared" si="31"/>
        <v>0</v>
      </c>
      <c r="C1008" s="72"/>
      <c r="D1008" s="72"/>
      <c r="E1008" s="73"/>
      <c r="F1008" s="73"/>
    </row>
    <row r="1009" spans="1:6" x14ac:dyDescent="0.25">
      <c r="A1009">
        <f t="shared" si="30"/>
        <v>0</v>
      </c>
      <c r="B1009" s="3">
        <f t="shared" si="31"/>
        <v>0</v>
      </c>
      <c r="C1009" s="72"/>
      <c r="D1009" s="72"/>
      <c r="E1009" s="73"/>
      <c r="F1009" s="73"/>
    </row>
    <row r="1010" spans="1:6" x14ac:dyDescent="0.25">
      <c r="A1010">
        <f t="shared" si="30"/>
        <v>0</v>
      </c>
      <c r="B1010" s="3">
        <f t="shared" si="31"/>
        <v>0</v>
      </c>
      <c r="C1010" s="72"/>
      <c r="D1010" s="72"/>
      <c r="E1010" s="73"/>
      <c r="F1010" s="73"/>
    </row>
    <row r="1011" spans="1:6" x14ac:dyDescent="0.25">
      <c r="A1011">
        <f t="shared" si="30"/>
        <v>0</v>
      </c>
      <c r="B1011" s="3">
        <f t="shared" si="31"/>
        <v>0</v>
      </c>
      <c r="C1011" s="72"/>
      <c r="D1011" s="72"/>
      <c r="E1011" s="73"/>
      <c r="F1011" s="73"/>
    </row>
    <row r="1012" spans="1:6" x14ac:dyDescent="0.25">
      <c r="A1012">
        <f t="shared" si="30"/>
        <v>0</v>
      </c>
      <c r="B1012" s="3">
        <f t="shared" si="31"/>
        <v>0</v>
      </c>
      <c r="C1012" s="72"/>
      <c r="D1012" s="72"/>
      <c r="E1012" s="73"/>
      <c r="F1012" s="73"/>
    </row>
    <row r="1013" spans="1:6" x14ac:dyDescent="0.25">
      <c r="A1013">
        <f t="shared" si="30"/>
        <v>0</v>
      </c>
      <c r="B1013" s="3">
        <f t="shared" si="31"/>
        <v>0</v>
      </c>
      <c r="C1013" s="72"/>
      <c r="D1013" s="72"/>
      <c r="E1013" s="73"/>
      <c r="F1013" s="73"/>
    </row>
    <row r="1014" spans="1:6" x14ac:dyDescent="0.25">
      <c r="A1014">
        <f t="shared" si="30"/>
        <v>0</v>
      </c>
      <c r="B1014" s="3">
        <f t="shared" si="31"/>
        <v>0</v>
      </c>
      <c r="C1014" s="72"/>
      <c r="D1014" s="72"/>
      <c r="E1014" s="73"/>
      <c r="F1014" s="73"/>
    </row>
    <row r="1015" spans="1:6" x14ac:dyDescent="0.25">
      <c r="A1015">
        <f t="shared" si="30"/>
        <v>0</v>
      </c>
      <c r="B1015" s="3">
        <f t="shared" si="31"/>
        <v>0</v>
      </c>
      <c r="C1015" s="72"/>
      <c r="D1015" s="72"/>
      <c r="E1015" s="73"/>
      <c r="F1015" s="73"/>
    </row>
    <row r="1016" spans="1:6" x14ac:dyDescent="0.25">
      <c r="A1016">
        <f t="shared" si="30"/>
        <v>0</v>
      </c>
      <c r="B1016" s="3">
        <f t="shared" si="31"/>
        <v>0</v>
      </c>
      <c r="C1016" s="72"/>
      <c r="D1016" s="72"/>
      <c r="E1016" s="73"/>
      <c r="F1016" s="73"/>
    </row>
    <row r="1017" spans="1:6" x14ac:dyDescent="0.25">
      <c r="A1017">
        <f t="shared" si="30"/>
        <v>0</v>
      </c>
      <c r="B1017" s="3">
        <f t="shared" si="31"/>
        <v>0</v>
      </c>
      <c r="C1017" s="72"/>
      <c r="D1017" s="72"/>
      <c r="E1017" s="73"/>
      <c r="F1017" s="73"/>
    </row>
    <row r="1018" spans="1:6" x14ac:dyDescent="0.25">
      <c r="A1018">
        <f t="shared" si="30"/>
        <v>0</v>
      </c>
      <c r="B1018" s="3">
        <f t="shared" si="31"/>
        <v>0</v>
      </c>
      <c r="C1018" s="72"/>
      <c r="D1018" s="72"/>
      <c r="E1018" s="73"/>
      <c r="F1018" s="73"/>
    </row>
    <row r="1019" spans="1:6" x14ac:dyDescent="0.25">
      <c r="A1019">
        <f t="shared" si="30"/>
        <v>0</v>
      </c>
      <c r="B1019" s="3">
        <f t="shared" si="31"/>
        <v>0</v>
      </c>
      <c r="C1019" s="72"/>
      <c r="D1019" s="72"/>
      <c r="E1019" s="73"/>
      <c r="F1019" s="73"/>
    </row>
    <row r="1020" spans="1:6" x14ac:dyDescent="0.25">
      <c r="A1020">
        <f t="shared" si="30"/>
        <v>0</v>
      </c>
      <c r="B1020" s="3">
        <f t="shared" si="31"/>
        <v>0</v>
      </c>
      <c r="C1020" s="72"/>
      <c r="D1020" s="72"/>
      <c r="E1020" s="73"/>
      <c r="F1020" s="73"/>
    </row>
    <row r="1021" spans="1:6" x14ac:dyDescent="0.25">
      <c r="A1021">
        <f t="shared" si="30"/>
        <v>0</v>
      </c>
      <c r="B1021" s="3">
        <f t="shared" si="31"/>
        <v>0</v>
      </c>
      <c r="C1021" s="72"/>
      <c r="D1021" s="72"/>
      <c r="E1021" s="73"/>
      <c r="F1021" s="73"/>
    </row>
    <row r="1022" spans="1:6" x14ac:dyDescent="0.25">
      <c r="A1022">
        <f t="shared" si="30"/>
        <v>0</v>
      </c>
      <c r="B1022" s="3">
        <f t="shared" si="31"/>
        <v>0</v>
      </c>
      <c r="C1022" s="72"/>
      <c r="D1022" s="72"/>
      <c r="E1022" s="73"/>
      <c r="F1022" s="73"/>
    </row>
    <row r="1023" spans="1:6" x14ac:dyDescent="0.25">
      <c r="A1023">
        <f t="shared" si="30"/>
        <v>0</v>
      </c>
      <c r="B1023" s="3">
        <f t="shared" si="31"/>
        <v>0</v>
      </c>
      <c r="C1023" s="72"/>
      <c r="D1023" s="72"/>
      <c r="E1023" s="73"/>
      <c r="F1023" s="73"/>
    </row>
    <row r="1024" spans="1:6" x14ac:dyDescent="0.25">
      <c r="A1024">
        <f t="shared" si="30"/>
        <v>0</v>
      </c>
      <c r="B1024" s="3">
        <f t="shared" si="31"/>
        <v>0</v>
      </c>
      <c r="C1024" s="72"/>
      <c r="D1024" s="72"/>
      <c r="E1024" s="73"/>
      <c r="F1024" s="73"/>
    </row>
    <row r="1025" spans="1:6" x14ac:dyDescent="0.25">
      <c r="A1025">
        <f t="shared" si="30"/>
        <v>0</v>
      </c>
      <c r="B1025" s="3">
        <f t="shared" si="31"/>
        <v>0</v>
      </c>
      <c r="C1025" s="72"/>
      <c r="D1025" s="72"/>
      <c r="E1025" s="73"/>
      <c r="F1025" s="73"/>
    </row>
    <row r="1026" spans="1:6" x14ac:dyDescent="0.25">
      <c r="A1026">
        <f t="shared" si="30"/>
        <v>0</v>
      </c>
      <c r="B1026" s="3">
        <f t="shared" si="31"/>
        <v>0</v>
      </c>
      <c r="C1026" s="72"/>
      <c r="D1026" s="72"/>
      <c r="E1026" s="73"/>
      <c r="F1026" s="73"/>
    </row>
    <row r="1027" spans="1:6" x14ac:dyDescent="0.25">
      <c r="A1027">
        <f t="shared" si="30"/>
        <v>0</v>
      </c>
      <c r="B1027" s="3">
        <f t="shared" si="31"/>
        <v>0</v>
      </c>
      <c r="C1027" s="72"/>
      <c r="D1027" s="72"/>
      <c r="E1027" s="73"/>
      <c r="F1027" s="73"/>
    </row>
    <row r="1028" spans="1:6" x14ac:dyDescent="0.25">
      <c r="A1028">
        <f t="shared" si="30"/>
        <v>0</v>
      </c>
      <c r="B1028" s="3">
        <f t="shared" si="31"/>
        <v>0</v>
      </c>
      <c r="C1028" s="72"/>
      <c r="D1028" s="72"/>
      <c r="E1028" s="73"/>
      <c r="F1028" s="73"/>
    </row>
    <row r="1029" spans="1:6" x14ac:dyDescent="0.25">
      <c r="A1029">
        <f t="shared" si="30"/>
        <v>0</v>
      </c>
      <c r="B1029" s="3">
        <f t="shared" si="31"/>
        <v>0</v>
      </c>
      <c r="C1029" s="72"/>
      <c r="D1029" s="72"/>
      <c r="E1029" s="73"/>
      <c r="F1029" s="73"/>
    </row>
    <row r="1030" spans="1:6" x14ac:dyDescent="0.25">
      <c r="A1030">
        <f t="shared" si="30"/>
        <v>0</v>
      </c>
      <c r="B1030" s="3">
        <f t="shared" si="31"/>
        <v>0</v>
      </c>
      <c r="C1030" s="72"/>
      <c r="D1030" s="72"/>
      <c r="E1030" s="73"/>
      <c r="F1030" s="73"/>
    </row>
    <row r="1031" spans="1:6" x14ac:dyDescent="0.25">
      <c r="A1031">
        <f t="shared" ref="A1031:A1094" si="32">IF(ISNUMBER(C1031),C1031*F1031,)</f>
        <v>0</v>
      </c>
      <c r="B1031" s="3">
        <f t="shared" ref="B1031:B1094" si="33">IF(C1031&lt;&gt;"",1,0)</f>
        <v>0</v>
      </c>
      <c r="C1031" s="72"/>
      <c r="D1031" s="72"/>
      <c r="E1031" s="73"/>
      <c r="F1031" s="73"/>
    </row>
    <row r="1032" spans="1:6" x14ac:dyDescent="0.25">
      <c r="A1032">
        <f t="shared" si="32"/>
        <v>0</v>
      </c>
      <c r="B1032" s="3">
        <f t="shared" si="33"/>
        <v>0</v>
      </c>
      <c r="C1032" s="72"/>
      <c r="D1032" s="72"/>
      <c r="E1032" s="73"/>
      <c r="F1032" s="73"/>
    </row>
    <row r="1033" spans="1:6" x14ac:dyDescent="0.25">
      <c r="A1033">
        <f t="shared" si="32"/>
        <v>0</v>
      </c>
      <c r="B1033" s="3">
        <f t="shared" si="33"/>
        <v>0</v>
      </c>
      <c r="C1033" s="72"/>
      <c r="D1033" s="72"/>
      <c r="E1033" s="73"/>
      <c r="F1033" s="73"/>
    </row>
    <row r="1034" spans="1:6" x14ac:dyDescent="0.25">
      <c r="A1034">
        <f t="shared" si="32"/>
        <v>0</v>
      </c>
      <c r="B1034" s="3">
        <f t="shared" si="33"/>
        <v>0</v>
      </c>
      <c r="C1034" s="72"/>
      <c r="D1034" s="72"/>
      <c r="E1034" s="73"/>
      <c r="F1034" s="73"/>
    </row>
    <row r="1035" spans="1:6" x14ac:dyDescent="0.25">
      <c r="A1035">
        <f t="shared" si="32"/>
        <v>0</v>
      </c>
      <c r="B1035" s="3">
        <f t="shared" si="33"/>
        <v>0</v>
      </c>
      <c r="C1035" s="72"/>
      <c r="D1035" s="72"/>
      <c r="E1035" s="73"/>
      <c r="F1035" s="73"/>
    </row>
    <row r="1036" spans="1:6" x14ac:dyDescent="0.25">
      <c r="A1036">
        <f t="shared" si="32"/>
        <v>0</v>
      </c>
      <c r="B1036" s="3">
        <f t="shared" si="33"/>
        <v>0</v>
      </c>
      <c r="C1036" s="72"/>
      <c r="D1036" s="72"/>
      <c r="E1036" s="73"/>
      <c r="F1036" s="73"/>
    </row>
    <row r="1037" spans="1:6" x14ac:dyDescent="0.25">
      <c r="A1037">
        <f t="shared" si="32"/>
        <v>0</v>
      </c>
      <c r="B1037" s="3">
        <f t="shared" si="33"/>
        <v>0</v>
      </c>
      <c r="C1037" s="72"/>
      <c r="D1037" s="72"/>
      <c r="E1037" s="73"/>
      <c r="F1037" s="73"/>
    </row>
    <row r="1038" spans="1:6" x14ac:dyDescent="0.25">
      <c r="A1038">
        <f t="shared" si="32"/>
        <v>0</v>
      </c>
      <c r="B1038" s="3">
        <f t="shared" si="33"/>
        <v>0</v>
      </c>
      <c r="C1038" s="72"/>
      <c r="D1038" s="72"/>
      <c r="E1038" s="73"/>
      <c r="F1038" s="73"/>
    </row>
    <row r="1039" spans="1:6" x14ac:dyDescent="0.25">
      <c r="A1039">
        <f t="shared" si="32"/>
        <v>0</v>
      </c>
      <c r="B1039" s="3">
        <f t="shared" si="33"/>
        <v>0</v>
      </c>
      <c r="C1039" s="72"/>
      <c r="D1039" s="72"/>
      <c r="E1039" s="73"/>
      <c r="F1039" s="73"/>
    </row>
    <row r="1040" spans="1:6" x14ac:dyDescent="0.25">
      <c r="A1040">
        <f t="shared" si="32"/>
        <v>0</v>
      </c>
      <c r="B1040" s="3">
        <f t="shared" si="33"/>
        <v>0</v>
      </c>
      <c r="C1040" s="72"/>
      <c r="D1040" s="72"/>
      <c r="E1040" s="73"/>
      <c r="F1040" s="73"/>
    </row>
    <row r="1041" spans="1:6" x14ac:dyDescent="0.25">
      <c r="A1041">
        <f t="shared" si="32"/>
        <v>0</v>
      </c>
      <c r="B1041" s="3">
        <f t="shared" si="33"/>
        <v>0</v>
      </c>
      <c r="C1041" s="72"/>
      <c r="D1041" s="72"/>
      <c r="E1041" s="73"/>
      <c r="F1041" s="73"/>
    </row>
    <row r="1042" spans="1:6" x14ac:dyDescent="0.25">
      <c r="A1042">
        <f t="shared" si="32"/>
        <v>0</v>
      </c>
      <c r="B1042" s="3">
        <f t="shared" si="33"/>
        <v>0</v>
      </c>
      <c r="C1042" s="72"/>
      <c r="D1042" s="72"/>
      <c r="E1042" s="73"/>
      <c r="F1042" s="73"/>
    </row>
    <row r="1043" spans="1:6" x14ac:dyDescent="0.25">
      <c r="A1043">
        <f t="shared" si="32"/>
        <v>0</v>
      </c>
      <c r="B1043" s="3">
        <f t="shared" si="33"/>
        <v>0</v>
      </c>
      <c r="C1043" s="72"/>
      <c r="D1043" s="72"/>
      <c r="E1043" s="73"/>
      <c r="F1043" s="73"/>
    </row>
    <row r="1044" spans="1:6" x14ac:dyDescent="0.25">
      <c r="A1044">
        <f t="shared" si="32"/>
        <v>0</v>
      </c>
      <c r="B1044" s="3">
        <f t="shared" si="33"/>
        <v>0</v>
      </c>
      <c r="C1044" s="72"/>
      <c r="D1044" s="72"/>
      <c r="E1044" s="73"/>
      <c r="F1044" s="73"/>
    </row>
    <row r="1045" spans="1:6" x14ac:dyDescent="0.25">
      <c r="A1045">
        <f t="shared" si="32"/>
        <v>0</v>
      </c>
      <c r="B1045" s="3">
        <f t="shared" si="33"/>
        <v>0</v>
      </c>
      <c r="C1045" s="72"/>
      <c r="D1045" s="72"/>
      <c r="E1045" s="73"/>
      <c r="F1045" s="73"/>
    </row>
    <row r="1046" spans="1:6" x14ac:dyDescent="0.25">
      <c r="A1046">
        <f t="shared" si="32"/>
        <v>0</v>
      </c>
      <c r="B1046" s="3">
        <f t="shared" si="33"/>
        <v>0</v>
      </c>
      <c r="C1046" s="72"/>
      <c r="D1046" s="72"/>
      <c r="E1046" s="73"/>
      <c r="F1046" s="73"/>
    </row>
    <row r="1047" spans="1:6" x14ac:dyDescent="0.25">
      <c r="A1047">
        <f t="shared" si="32"/>
        <v>0</v>
      </c>
      <c r="B1047" s="3">
        <f t="shared" si="33"/>
        <v>0</v>
      </c>
      <c r="C1047" s="72"/>
      <c r="D1047" s="72"/>
      <c r="E1047" s="73"/>
      <c r="F1047" s="73"/>
    </row>
    <row r="1048" spans="1:6" x14ac:dyDescent="0.25">
      <c r="A1048">
        <f t="shared" si="32"/>
        <v>0</v>
      </c>
      <c r="B1048" s="3">
        <f t="shared" si="33"/>
        <v>0</v>
      </c>
      <c r="C1048" s="72"/>
      <c r="D1048" s="72"/>
      <c r="E1048" s="73"/>
      <c r="F1048" s="73"/>
    </row>
    <row r="1049" spans="1:6" x14ac:dyDescent="0.25">
      <c r="A1049">
        <f t="shared" si="32"/>
        <v>0</v>
      </c>
      <c r="B1049" s="3">
        <f t="shared" si="33"/>
        <v>0</v>
      </c>
      <c r="C1049" s="72"/>
      <c r="D1049" s="72"/>
      <c r="E1049" s="73"/>
      <c r="F1049" s="73"/>
    </row>
    <row r="1050" spans="1:6" x14ac:dyDescent="0.25">
      <c r="A1050">
        <f t="shared" si="32"/>
        <v>0</v>
      </c>
      <c r="B1050" s="3">
        <f t="shared" si="33"/>
        <v>0</v>
      </c>
      <c r="C1050" s="72"/>
      <c r="D1050" s="72"/>
      <c r="E1050" s="73"/>
      <c r="F1050" s="73"/>
    </row>
    <row r="1051" spans="1:6" x14ac:dyDescent="0.25">
      <c r="A1051">
        <f t="shared" si="32"/>
        <v>0</v>
      </c>
      <c r="B1051" s="3">
        <f t="shared" si="33"/>
        <v>0</v>
      </c>
      <c r="C1051" s="72"/>
      <c r="D1051" s="72"/>
      <c r="E1051" s="73"/>
      <c r="F1051" s="73"/>
    </row>
    <row r="1052" spans="1:6" x14ac:dyDescent="0.25">
      <c r="A1052">
        <f t="shared" si="32"/>
        <v>0</v>
      </c>
      <c r="B1052" s="3">
        <f t="shared" si="33"/>
        <v>0</v>
      </c>
      <c r="C1052" s="72"/>
      <c r="D1052" s="72"/>
      <c r="E1052" s="73"/>
      <c r="F1052" s="73"/>
    </row>
    <row r="1053" spans="1:6" x14ac:dyDescent="0.25">
      <c r="A1053">
        <f t="shared" si="32"/>
        <v>0</v>
      </c>
      <c r="B1053" s="3">
        <f t="shared" si="33"/>
        <v>0</v>
      </c>
      <c r="C1053" s="72"/>
      <c r="D1053" s="72"/>
      <c r="E1053" s="73"/>
      <c r="F1053" s="73"/>
    </row>
    <row r="1054" spans="1:6" x14ac:dyDescent="0.25">
      <c r="A1054">
        <f t="shared" si="32"/>
        <v>0</v>
      </c>
      <c r="B1054" s="3">
        <f t="shared" si="33"/>
        <v>0</v>
      </c>
      <c r="C1054" s="72"/>
      <c r="D1054" s="72"/>
      <c r="E1054" s="73"/>
      <c r="F1054" s="73"/>
    </row>
    <row r="1055" spans="1:6" x14ac:dyDescent="0.25">
      <c r="A1055">
        <f t="shared" si="32"/>
        <v>0</v>
      </c>
      <c r="B1055" s="3">
        <f t="shared" si="33"/>
        <v>0</v>
      </c>
      <c r="C1055" s="72"/>
      <c r="D1055" s="72"/>
      <c r="E1055" s="73"/>
      <c r="F1055" s="73"/>
    </row>
    <row r="1056" spans="1:6" x14ac:dyDescent="0.25">
      <c r="A1056">
        <f t="shared" si="32"/>
        <v>0</v>
      </c>
      <c r="B1056" s="3">
        <f t="shared" si="33"/>
        <v>0</v>
      </c>
      <c r="C1056" s="72"/>
      <c r="D1056" s="72"/>
      <c r="E1056" s="73"/>
      <c r="F1056" s="73"/>
    </row>
    <row r="1057" spans="1:6" x14ac:dyDescent="0.25">
      <c r="A1057">
        <f t="shared" si="32"/>
        <v>0</v>
      </c>
      <c r="B1057" s="3">
        <f t="shared" si="33"/>
        <v>0</v>
      </c>
      <c r="C1057" s="72"/>
      <c r="D1057" s="72"/>
      <c r="E1057" s="73"/>
      <c r="F1057" s="73"/>
    </row>
    <row r="1058" spans="1:6" x14ac:dyDescent="0.25">
      <c r="A1058">
        <f t="shared" si="32"/>
        <v>0</v>
      </c>
      <c r="B1058" s="3">
        <f t="shared" si="33"/>
        <v>0</v>
      </c>
      <c r="C1058" s="72"/>
      <c r="D1058" s="72"/>
      <c r="E1058" s="73"/>
      <c r="F1058" s="73"/>
    </row>
    <row r="1059" spans="1:6" x14ac:dyDescent="0.25">
      <c r="A1059">
        <f t="shared" si="32"/>
        <v>0</v>
      </c>
      <c r="B1059" s="3">
        <f t="shared" si="33"/>
        <v>0</v>
      </c>
      <c r="C1059" s="72"/>
      <c r="D1059" s="72"/>
      <c r="E1059" s="73"/>
      <c r="F1059" s="73"/>
    </row>
    <row r="1060" spans="1:6" x14ac:dyDescent="0.25">
      <c r="A1060">
        <f t="shared" si="32"/>
        <v>0</v>
      </c>
      <c r="B1060" s="3">
        <f t="shared" si="33"/>
        <v>0</v>
      </c>
      <c r="C1060" s="72"/>
      <c r="D1060" s="72"/>
      <c r="E1060" s="73"/>
      <c r="F1060" s="73"/>
    </row>
    <row r="1061" spans="1:6" x14ac:dyDescent="0.25">
      <c r="A1061">
        <f t="shared" si="32"/>
        <v>0</v>
      </c>
      <c r="B1061" s="3">
        <f t="shared" si="33"/>
        <v>0</v>
      </c>
      <c r="C1061" s="72"/>
      <c r="D1061" s="72"/>
      <c r="E1061" s="73"/>
      <c r="F1061" s="73"/>
    </row>
    <row r="1062" spans="1:6" x14ac:dyDescent="0.25">
      <c r="A1062">
        <f t="shared" si="32"/>
        <v>0</v>
      </c>
      <c r="B1062" s="3">
        <f t="shared" si="33"/>
        <v>0</v>
      </c>
      <c r="C1062" s="72"/>
      <c r="D1062" s="72"/>
      <c r="E1062" s="73"/>
      <c r="F1062" s="73"/>
    </row>
    <row r="1063" spans="1:6" x14ac:dyDescent="0.25">
      <c r="A1063">
        <f t="shared" si="32"/>
        <v>0</v>
      </c>
      <c r="B1063" s="3">
        <f t="shared" si="33"/>
        <v>0</v>
      </c>
      <c r="C1063" s="72"/>
      <c r="D1063" s="72"/>
      <c r="E1063" s="73"/>
      <c r="F1063" s="73"/>
    </row>
    <row r="1064" spans="1:6" x14ac:dyDescent="0.25">
      <c r="A1064">
        <f t="shared" si="32"/>
        <v>0</v>
      </c>
      <c r="B1064" s="3">
        <f t="shared" si="33"/>
        <v>0</v>
      </c>
      <c r="C1064" s="72"/>
      <c r="D1064" s="72"/>
      <c r="E1064" s="73"/>
      <c r="F1064" s="73"/>
    </row>
    <row r="1065" spans="1:6" x14ac:dyDescent="0.25">
      <c r="A1065">
        <f t="shared" si="32"/>
        <v>0</v>
      </c>
      <c r="B1065" s="3">
        <f t="shared" si="33"/>
        <v>0</v>
      </c>
      <c r="C1065" s="72"/>
      <c r="D1065" s="72"/>
      <c r="E1065" s="73"/>
      <c r="F1065" s="73"/>
    </row>
    <row r="1066" spans="1:6" x14ac:dyDescent="0.25">
      <c r="A1066">
        <f t="shared" si="32"/>
        <v>0</v>
      </c>
      <c r="B1066" s="3">
        <f t="shared" si="33"/>
        <v>0</v>
      </c>
      <c r="C1066" s="72"/>
      <c r="D1066" s="72"/>
      <c r="E1066" s="73"/>
      <c r="F1066" s="73"/>
    </row>
    <row r="1067" spans="1:6" x14ac:dyDescent="0.25">
      <c r="A1067">
        <f t="shared" si="32"/>
        <v>0</v>
      </c>
      <c r="B1067" s="3">
        <f t="shared" si="33"/>
        <v>0</v>
      </c>
      <c r="C1067" s="72"/>
      <c r="D1067" s="72"/>
      <c r="E1067" s="73"/>
      <c r="F1067" s="73"/>
    </row>
    <row r="1068" spans="1:6" x14ac:dyDescent="0.25">
      <c r="A1068">
        <f t="shared" si="32"/>
        <v>0</v>
      </c>
      <c r="B1068" s="3">
        <f t="shared" si="33"/>
        <v>0</v>
      </c>
      <c r="C1068" s="72"/>
      <c r="D1068" s="72"/>
      <c r="E1068" s="73"/>
      <c r="F1068" s="73"/>
    </row>
    <row r="1069" spans="1:6" x14ac:dyDescent="0.25">
      <c r="A1069">
        <f t="shared" si="32"/>
        <v>0</v>
      </c>
      <c r="B1069" s="3">
        <f t="shared" si="33"/>
        <v>0</v>
      </c>
      <c r="C1069" s="72"/>
      <c r="D1069" s="72"/>
      <c r="E1069" s="73"/>
      <c r="F1069" s="73"/>
    </row>
    <row r="1070" spans="1:6" x14ac:dyDescent="0.25">
      <c r="A1070">
        <f t="shared" si="32"/>
        <v>0</v>
      </c>
      <c r="B1070" s="3">
        <f t="shared" si="33"/>
        <v>0</v>
      </c>
      <c r="C1070" s="72"/>
      <c r="D1070" s="72"/>
      <c r="E1070" s="73"/>
      <c r="F1070" s="73"/>
    </row>
    <row r="1071" spans="1:6" x14ac:dyDescent="0.25">
      <c r="A1071">
        <f t="shared" si="32"/>
        <v>0</v>
      </c>
      <c r="B1071" s="3">
        <f t="shared" si="33"/>
        <v>0</v>
      </c>
      <c r="C1071" s="72"/>
      <c r="D1071" s="72"/>
      <c r="E1071" s="73"/>
      <c r="F1071" s="73"/>
    </row>
    <row r="1072" spans="1:6" x14ac:dyDescent="0.25">
      <c r="A1072">
        <f t="shared" si="32"/>
        <v>0</v>
      </c>
      <c r="B1072" s="3">
        <f t="shared" si="33"/>
        <v>0</v>
      </c>
      <c r="C1072" s="72"/>
      <c r="D1072" s="72"/>
      <c r="E1072" s="73"/>
      <c r="F1072" s="73"/>
    </row>
    <row r="1073" spans="1:6" x14ac:dyDescent="0.25">
      <c r="A1073">
        <f t="shared" si="32"/>
        <v>0</v>
      </c>
      <c r="B1073" s="3">
        <f t="shared" si="33"/>
        <v>0</v>
      </c>
      <c r="C1073" s="72"/>
      <c r="D1073" s="72"/>
      <c r="E1073" s="73"/>
      <c r="F1073" s="73"/>
    </row>
    <row r="1074" spans="1:6" x14ac:dyDescent="0.25">
      <c r="A1074">
        <f t="shared" si="32"/>
        <v>0</v>
      </c>
      <c r="B1074" s="3">
        <f t="shared" si="33"/>
        <v>0</v>
      </c>
      <c r="C1074" s="72"/>
      <c r="D1074" s="72"/>
      <c r="E1074" s="73"/>
      <c r="F1074" s="73"/>
    </row>
    <row r="1075" spans="1:6" x14ac:dyDescent="0.25">
      <c r="A1075">
        <f t="shared" si="32"/>
        <v>0</v>
      </c>
      <c r="B1075" s="3">
        <f t="shared" si="33"/>
        <v>0</v>
      </c>
      <c r="C1075" s="72"/>
      <c r="D1075" s="72"/>
      <c r="E1075" s="73"/>
      <c r="F1075" s="73"/>
    </row>
    <row r="1076" spans="1:6" x14ac:dyDescent="0.25">
      <c r="A1076">
        <f t="shared" si="32"/>
        <v>0</v>
      </c>
      <c r="B1076" s="3">
        <f t="shared" si="33"/>
        <v>0</v>
      </c>
      <c r="C1076" s="72"/>
      <c r="D1076" s="72"/>
      <c r="E1076" s="73"/>
      <c r="F1076" s="73"/>
    </row>
    <row r="1077" spans="1:6" x14ac:dyDescent="0.25">
      <c r="A1077">
        <f t="shared" si="32"/>
        <v>0</v>
      </c>
      <c r="B1077" s="3">
        <f t="shared" si="33"/>
        <v>0</v>
      </c>
      <c r="C1077" s="72"/>
      <c r="D1077" s="72"/>
      <c r="E1077" s="73"/>
      <c r="F1077" s="73"/>
    </row>
    <row r="1078" spans="1:6" x14ac:dyDescent="0.25">
      <c r="A1078">
        <f t="shared" si="32"/>
        <v>0</v>
      </c>
      <c r="B1078" s="3">
        <f t="shared" si="33"/>
        <v>0</v>
      </c>
      <c r="C1078" s="72"/>
      <c r="D1078" s="72"/>
      <c r="E1078" s="73"/>
      <c r="F1078" s="73"/>
    </row>
    <row r="1079" spans="1:6" x14ac:dyDescent="0.25">
      <c r="A1079">
        <f t="shared" si="32"/>
        <v>0</v>
      </c>
      <c r="B1079" s="3">
        <f t="shared" si="33"/>
        <v>0</v>
      </c>
      <c r="C1079" s="72"/>
      <c r="D1079" s="72"/>
      <c r="E1079" s="73"/>
      <c r="F1079" s="73"/>
    </row>
    <row r="1080" spans="1:6" x14ac:dyDescent="0.25">
      <c r="A1080">
        <f t="shared" si="32"/>
        <v>0</v>
      </c>
      <c r="B1080" s="3">
        <f t="shared" si="33"/>
        <v>0</v>
      </c>
      <c r="C1080" s="72"/>
      <c r="D1080" s="72"/>
      <c r="E1080" s="73"/>
      <c r="F1080" s="73"/>
    </row>
    <row r="1081" spans="1:6" x14ac:dyDescent="0.25">
      <c r="A1081">
        <f t="shared" si="32"/>
        <v>0</v>
      </c>
      <c r="B1081" s="3">
        <f t="shared" si="33"/>
        <v>0</v>
      </c>
      <c r="C1081" s="72"/>
      <c r="D1081" s="72"/>
      <c r="E1081" s="73"/>
      <c r="F1081" s="73"/>
    </row>
    <row r="1082" spans="1:6" x14ac:dyDescent="0.25">
      <c r="A1082">
        <f t="shared" si="32"/>
        <v>0</v>
      </c>
      <c r="B1082" s="3">
        <f t="shared" si="33"/>
        <v>0</v>
      </c>
      <c r="C1082" s="72"/>
      <c r="D1082" s="72"/>
      <c r="E1082" s="73"/>
      <c r="F1082" s="73"/>
    </row>
    <row r="1083" spans="1:6" x14ac:dyDescent="0.25">
      <c r="A1083">
        <f t="shared" si="32"/>
        <v>0</v>
      </c>
      <c r="B1083" s="3">
        <f t="shared" si="33"/>
        <v>0</v>
      </c>
      <c r="C1083" s="72"/>
      <c r="D1083" s="72"/>
      <c r="E1083" s="73"/>
      <c r="F1083" s="73"/>
    </row>
    <row r="1084" spans="1:6" x14ac:dyDescent="0.25">
      <c r="A1084">
        <f t="shared" si="32"/>
        <v>0</v>
      </c>
      <c r="B1084" s="3">
        <f t="shared" si="33"/>
        <v>0</v>
      </c>
      <c r="C1084" s="72"/>
      <c r="D1084" s="72"/>
      <c r="E1084" s="73"/>
      <c r="F1084" s="73"/>
    </row>
    <row r="1085" spans="1:6" x14ac:dyDescent="0.25">
      <c r="A1085">
        <f t="shared" si="32"/>
        <v>0</v>
      </c>
      <c r="B1085" s="3">
        <f t="shared" si="33"/>
        <v>0</v>
      </c>
      <c r="C1085" s="72"/>
      <c r="D1085" s="72"/>
      <c r="E1085" s="73"/>
      <c r="F1085" s="73"/>
    </row>
    <row r="1086" spans="1:6" x14ac:dyDescent="0.25">
      <c r="A1086">
        <f t="shared" si="32"/>
        <v>0</v>
      </c>
      <c r="B1086" s="3">
        <f t="shared" si="33"/>
        <v>0</v>
      </c>
      <c r="C1086" s="72"/>
      <c r="D1086" s="72"/>
      <c r="E1086" s="73"/>
      <c r="F1086" s="73"/>
    </row>
    <row r="1087" spans="1:6" x14ac:dyDescent="0.25">
      <c r="A1087">
        <f t="shared" si="32"/>
        <v>0</v>
      </c>
      <c r="B1087" s="3">
        <f t="shared" si="33"/>
        <v>0</v>
      </c>
      <c r="C1087" s="72"/>
      <c r="D1087" s="72"/>
      <c r="E1087" s="73"/>
      <c r="F1087" s="73"/>
    </row>
    <row r="1088" spans="1:6" x14ac:dyDescent="0.25">
      <c r="A1088">
        <f t="shared" si="32"/>
        <v>0</v>
      </c>
      <c r="B1088" s="3">
        <f t="shared" si="33"/>
        <v>0</v>
      </c>
      <c r="C1088" s="72"/>
      <c r="D1088" s="72"/>
      <c r="E1088" s="73"/>
      <c r="F1088" s="73"/>
    </row>
    <row r="1089" spans="1:6" x14ac:dyDescent="0.25">
      <c r="A1089">
        <f t="shared" si="32"/>
        <v>0</v>
      </c>
      <c r="B1089" s="3">
        <f t="shared" si="33"/>
        <v>0</v>
      </c>
      <c r="C1089" s="72"/>
      <c r="D1089" s="72"/>
      <c r="E1089" s="73"/>
      <c r="F1089" s="73"/>
    </row>
    <row r="1090" spans="1:6" x14ac:dyDescent="0.25">
      <c r="A1090">
        <f t="shared" si="32"/>
        <v>0</v>
      </c>
      <c r="B1090" s="3">
        <f t="shared" si="33"/>
        <v>0</v>
      </c>
      <c r="C1090" s="72"/>
      <c r="D1090" s="72"/>
      <c r="E1090" s="73"/>
      <c r="F1090" s="73"/>
    </row>
    <row r="1091" spans="1:6" x14ac:dyDescent="0.25">
      <c r="A1091">
        <f t="shared" si="32"/>
        <v>0</v>
      </c>
      <c r="B1091" s="3">
        <f t="shared" si="33"/>
        <v>0</v>
      </c>
      <c r="C1091" s="72"/>
      <c r="D1091" s="72"/>
      <c r="E1091" s="73"/>
      <c r="F1091" s="73"/>
    </row>
    <row r="1092" spans="1:6" x14ac:dyDescent="0.25">
      <c r="A1092">
        <f t="shared" si="32"/>
        <v>0</v>
      </c>
      <c r="B1092" s="3">
        <f t="shared" si="33"/>
        <v>0</v>
      </c>
      <c r="C1092" s="72"/>
      <c r="D1092" s="72"/>
      <c r="E1092" s="73"/>
      <c r="F1092" s="73"/>
    </row>
    <row r="1093" spans="1:6" x14ac:dyDescent="0.25">
      <c r="A1093">
        <f t="shared" si="32"/>
        <v>0</v>
      </c>
      <c r="B1093" s="3">
        <f t="shared" si="33"/>
        <v>0</v>
      </c>
      <c r="C1093" s="72"/>
      <c r="D1093" s="72"/>
      <c r="E1093" s="73"/>
      <c r="F1093" s="73"/>
    </row>
    <row r="1094" spans="1:6" x14ac:dyDescent="0.25">
      <c r="A1094">
        <f t="shared" si="32"/>
        <v>0</v>
      </c>
      <c r="B1094" s="3">
        <f t="shared" si="33"/>
        <v>0</v>
      </c>
      <c r="C1094" s="72"/>
      <c r="D1094" s="72"/>
      <c r="E1094" s="73"/>
      <c r="F1094" s="73"/>
    </row>
    <row r="1095" spans="1:6" x14ac:dyDescent="0.25">
      <c r="A1095">
        <f t="shared" ref="A1095:A1158" si="34">IF(ISNUMBER(C1095),C1095*F1095,)</f>
        <v>0</v>
      </c>
      <c r="B1095" s="3">
        <f t="shared" ref="B1095:B1158" si="35">IF(C1095&lt;&gt;"",1,0)</f>
        <v>0</v>
      </c>
      <c r="C1095" s="72"/>
      <c r="D1095" s="72"/>
      <c r="E1095" s="73"/>
      <c r="F1095" s="73"/>
    </row>
    <row r="1096" spans="1:6" x14ac:dyDescent="0.25">
      <c r="A1096">
        <f t="shared" si="34"/>
        <v>0</v>
      </c>
      <c r="B1096" s="3">
        <f t="shared" si="35"/>
        <v>0</v>
      </c>
      <c r="C1096" s="72"/>
      <c r="D1096" s="72"/>
      <c r="E1096" s="73"/>
      <c r="F1096" s="73"/>
    </row>
    <row r="1097" spans="1:6" x14ac:dyDescent="0.25">
      <c r="A1097">
        <f t="shared" si="34"/>
        <v>0</v>
      </c>
      <c r="B1097" s="3">
        <f t="shared" si="35"/>
        <v>0</v>
      </c>
      <c r="C1097" s="72"/>
      <c r="D1097" s="72"/>
      <c r="E1097" s="73"/>
      <c r="F1097" s="73"/>
    </row>
    <row r="1098" spans="1:6" x14ac:dyDescent="0.25">
      <c r="A1098">
        <f t="shared" si="34"/>
        <v>0</v>
      </c>
      <c r="B1098" s="3">
        <f t="shared" si="35"/>
        <v>0</v>
      </c>
      <c r="C1098" s="72"/>
      <c r="D1098" s="72"/>
      <c r="E1098" s="73"/>
      <c r="F1098" s="73"/>
    </row>
    <row r="1099" spans="1:6" x14ac:dyDescent="0.25">
      <c r="A1099">
        <f t="shared" si="34"/>
        <v>0</v>
      </c>
      <c r="B1099" s="3">
        <f t="shared" si="35"/>
        <v>0</v>
      </c>
      <c r="C1099" s="72"/>
      <c r="D1099" s="72"/>
      <c r="E1099" s="73"/>
      <c r="F1099" s="73"/>
    </row>
    <row r="1100" spans="1:6" x14ac:dyDescent="0.25">
      <c r="A1100">
        <f t="shared" si="34"/>
        <v>0</v>
      </c>
      <c r="B1100" s="3">
        <f t="shared" si="35"/>
        <v>0</v>
      </c>
      <c r="C1100" s="72"/>
      <c r="D1100" s="72"/>
      <c r="E1100" s="73"/>
      <c r="F1100" s="73"/>
    </row>
    <row r="1101" spans="1:6" x14ac:dyDescent="0.25">
      <c r="A1101">
        <f t="shared" si="34"/>
        <v>0</v>
      </c>
      <c r="B1101" s="3">
        <f t="shared" si="35"/>
        <v>0</v>
      </c>
      <c r="C1101" s="72"/>
      <c r="D1101" s="72"/>
      <c r="E1101" s="73"/>
      <c r="F1101" s="73"/>
    </row>
    <row r="1102" spans="1:6" x14ac:dyDescent="0.25">
      <c r="A1102">
        <f t="shared" si="34"/>
        <v>0</v>
      </c>
      <c r="B1102" s="3">
        <f t="shared" si="35"/>
        <v>0</v>
      </c>
      <c r="C1102" s="72"/>
      <c r="D1102" s="72"/>
      <c r="E1102" s="73"/>
      <c r="F1102" s="73"/>
    </row>
    <row r="1103" spans="1:6" x14ac:dyDescent="0.25">
      <c r="A1103">
        <f t="shared" si="34"/>
        <v>0</v>
      </c>
      <c r="B1103" s="3">
        <f t="shared" si="35"/>
        <v>0</v>
      </c>
      <c r="C1103" s="72"/>
      <c r="D1103" s="72"/>
      <c r="E1103" s="73"/>
      <c r="F1103" s="73"/>
    </row>
    <row r="1104" spans="1:6" x14ac:dyDescent="0.25">
      <c r="A1104">
        <f t="shared" si="34"/>
        <v>0</v>
      </c>
      <c r="B1104" s="3">
        <f t="shared" si="35"/>
        <v>0</v>
      </c>
      <c r="C1104" s="72"/>
      <c r="D1104" s="72"/>
      <c r="E1104" s="73"/>
      <c r="F1104" s="73"/>
    </row>
    <row r="1105" spans="1:6" x14ac:dyDescent="0.25">
      <c r="A1105">
        <f t="shared" si="34"/>
        <v>0</v>
      </c>
      <c r="B1105" s="3">
        <f t="shared" si="35"/>
        <v>0</v>
      </c>
      <c r="C1105" s="72"/>
      <c r="D1105" s="72"/>
      <c r="E1105" s="73"/>
      <c r="F1105" s="73"/>
    </row>
    <row r="1106" spans="1:6" x14ac:dyDescent="0.25">
      <c r="A1106">
        <f t="shared" si="34"/>
        <v>0</v>
      </c>
      <c r="B1106" s="3">
        <f t="shared" si="35"/>
        <v>0</v>
      </c>
      <c r="C1106" s="72"/>
      <c r="D1106" s="72"/>
      <c r="E1106" s="73"/>
      <c r="F1106" s="73"/>
    </row>
    <row r="1107" spans="1:6" x14ac:dyDescent="0.25">
      <c r="A1107">
        <f t="shared" si="34"/>
        <v>0</v>
      </c>
      <c r="B1107" s="3">
        <f t="shared" si="35"/>
        <v>0</v>
      </c>
      <c r="C1107" s="72"/>
      <c r="D1107" s="72"/>
      <c r="E1107" s="73"/>
      <c r="F1107" s="73"/>
    </row>
    <row r="1108" spans="1:6" x14ac:dyDescent="0.25">
      <c r="A1108">
        <f t="shared" si="34"/>
        <v>0</v>
      </c>
      <c r="B1108" s="3">
        <f t="shared" si="35"/>
        <v>0</v>
      </c>
      <c r="C1108" s="72"/>
      <c r="D1108" s="72"/>
      <c r="E1108" s="73"/>
      <c r="F1108" s="73"/>
    </row>
    <row r="1109" spans="1:6" x14ac:dyDescent="0.25">
      <c r="A1109">
        <f t="shared" si="34"/>
        <v>0</v>
      </c>
      <c r="B1109" s="3">
        <f t="shared" si="35"/>
        <v>0</v>
      </c>
      <c r="C1109" s="72"/>
      <c r="D1109" s="72"/>
      <c r="E1109" s="73"/>
      <c r="F1109" s="73"/>
    </row>
    <row r="1110" spans="1:6" x14ac:dyDescent="0.25">
      <c r="A1110">
        <f t="shared" si="34"/>
        <v>0</v>
      </c>
      <c r="B1110" s="3">
        <f t="shared" si="35"/>
        <v>0</v>
      </c>
      <c r="C1110" s="72"/>
      <c r="D1110" s="72"/>
      <c r="E1110" s="73"/>
      <c r="F1110" s="73"/>
    </row>
    <row r="1111" spans="1:6" x14ac:dyDescent="0.25">
      <c r="A1111">
        <f t="shared" si="34"/>
        <v>0</v>
      </c>
      <c r="B1111" s="3">
        <f t="shared" si="35"/>
        <v>0</v>
      </c>
      <c r="C1111" s="72"/>
      <c r="D1111" s="72"/>
      <c r="E1111" s="73"/>
      <c r="F1111" s="73"/>
    </row>
    <row r="1112" spans="1:6" x14ac:dyDescent="0.25">
      <c r="A1112">
        <f t="shared" si="34"/>
        <v>0</v>
      </c>
      <c r="B1112" s="3">
        <f t="shared" si="35"/>
        <v>0</v>
      </c>
      <c r="C1112" s="72"/>
      <c r="D1112" s="72"/>
      <c r="E1112" s="73"/>
      <c r="F1112" s="73"/>
    </row>
    <row r="1113" spans="1:6" x14ac:dyDescent="0.25">
      <c r="A1113">
        <f t="shared" si="34"/>
        <v>0</v>
      </c>
      <c r="B1113" s="3">
        <f t="shared" si="35"/>
        <v>0</v>
      </c>
      <c r="C1113" s="72"/>
      <c r="D1113" s="72"/>
      <c r="E1113" s="73"/>
      <c r="F1113" s="73"/>
    </row>
    <row r="1114" spans="1:6" x14ac:dyDescent="0.25">
      <c r="A1114">
        <f t="shared" si="34"/>
        <v>0</v>
      </c>
      <c r="B1114" s="3">
        <f t="shared" si="35"/>
        <v>0</v>
      </c>
      <c r="C1114" s="72"/>
      <c r="D1114" s="72"/>
      <c r="E1114" s="73"/>
      <c r="F1114" s="73"/>
    </row>
    <row r="1115" spans="1:6" x14ac:dyDescent="0.25">
      <c r="A1115">
        <f t="shared" si="34"/>
        <v>0</v>
      </c>
      <c r="B1115" s="3">
        <f t="shared" si="35"/>
        <v>0</v>
      </c>
      <c r="C1115" s="72"/>
      <c r="D1115" s="72"/>
      <c r="E1115" s="73"/>
      <c r="F1115" s="73"/>
    </row>
    <row r="1116" spans="1:6" x14ac:dyDescent="0.25">
      <c r="A1116">
        <f t="shared" si="34"/>
        <v>0</v>
      </c>
      <c r="B1116" s="3">
        <f t="shared" si="35"/>
        <v>0</v>
      </c>
      <c r="C1116" s="72"/>
      <c r="D1116" s="72"/>
      <c r="E1116" s="73"/>
      <c r="F1116" s="73"/>
    </row>
    <row r="1117" spans="1:6" x14ac:dyDescent="0.25">
      <c r="A1117">
        <f t="shared" si="34"/>
        <v>0</v>
      </c>
      <c r="B1117" s="3">
        <f t="shared" si="35"/>
        <v>0</v>
      </c>
      <c r="C1117" s="72"/>
      <c r="D1117" s="72"/>
      <c r="E1117" s="73"/>
      <c r="F1117" s="73"/>
    </row>
    <row r="1118" spans="1:6" x14ac:dyDescent="0.25">
      <c r="A1118">
        <f t="shared" si="34"/>
        <v>0</v>
      </c>
      <c r="B1118" s="3">
        <f t="shared" si="35"/>
        <v>0</v>
      </c>
      <c r="C1118" s="72"/>
      <c r="D1118" s="72"/>
      <c r="E1118" s="73"/>
      <c r="F1118" s="73"/>
    </row>
    <row r="1119" spans="1:6" x14ac:dyDescent="0.25">
      <c r="A1119">
        <f t="shared" si="34"/>
        <v>0</v>
      </c>
      <c r="B1119" s="3">
        <f t="shared" si="35"/>
        <v>0</v>
      </c>
      <c r="C1119" s="72"/>
      <c r="D1119" s="72"/>
      <c r="E1119" s="73"/>
      <c r="F1119" s="73"/>
    </row>
    <row r="1120" spans="1:6" x14ac:dyDescent="0.25">
      <c r="A1120">
        <f t="shared" si="34"/>
        <v>0</v>
      </c>
      <c r="B1120" s="3">
        <f t="shared" si="35"/>
        <v>0</v>
      </c>
      <c r="C1120" s="72"/>
      <c r="D1120" s="72"/>
      <c r="E1120" s="73"/>
      <c r="F1120" s="73"/>
    </row>
    <row r="1121" spans="1:6" x14ac:dyDescent="0.25">
      <c r="A1121">
        <f t="shared" si="34"/>
        <v>0</v>
      </c>
      <c r="B1121" s="3">
        <f t="shared" si="35"/>
        <v>0</v>
      </c>
      <c r="C1121" s="72"/>
      <c r="D1121" s="72"/>
      <c r="E1121" s="73"/>
      <c r="F1121" s="73"/>
    </row>
    <row r="1122" spans="1:6" x14ac:dyDescent="0.25">
      <c r="A1122">
        <f t="shared" si="34"/>
        <v>0</v>
      </c>
      <c r="B1122" s="3">
        <f t="shared" si="35"/>
        <v>0</v>
      </c>
      <c r="C1122" s="72"/>
      <c r="D1122" s="72"/>
      <c r="E1122" s="73"/>
      <c r="F1122" s="73"/>
    </row>
    <row r="1123" spans="1:6" x14ac:dyDescent="0.25">
      <c r="A1123">
        <f t="shared" si="34"/>
        <v>0</v>
      </c>
      <c r="B1123" s="3">
        <f t="shared" si="35"/>
        <v>0</v>
      </c>
      <c r="C1123" s="72"/>
      <c r="D1123" s="72"/>
      <c r="E1123" s="73"/>
      <c r="F1123" s="73"/>
    </row>
    <row r="1124" spans="1:6" x14ac:dyDescent="0.25">
      <c r="A1124">
        <f t="shared" si="34"/>
        <v>0</v>
      </c>
      <c r="B1124" s="3">
        <f t="shared" si="35"/>
        <v>0</v>
      </c>
      <c r="C1124" s="72"/>
      <c r="D1124" s="72"/>
      <c r="E1124" s="73"/>
      <c r="F1124" s="73"/>
    </row>
    <row r="1125" spans="1:6" x14ac:dyDescent="0.25">
      <c r="A1125">
        <f t="shared" si="34"/>
        <v>0</v>
      </c>
      <c r="B1125" s="3">
        <f t="shared" si="35"/>
        <v>0</v>
      </c>
      <c r="C1125" s="72"/>
      <c r="D1125" s="72"/>
      <c r="E1125" s="73"/>
      <c r="F1125" s="73"/>
    </row>
    <row r="1126" spans="1:6" x14ac:dyDescent="0.25">
      <c r="A1126">
        <f t="shared" si="34"/>
        <v>0</v>
      </c>
      <c r="B1126" s="3">
        <f t="shared" si="35"/>
        <v>0</v>
      </c>
      <c r="C1126" s="72"/>
      <c r="D1126" s="72"/>
      <c r="E1126" s="73"/>
      <c r="F1126" s="73"/>
    </row>
    <row r="1127" spans="1:6" x14ac:dyDescent="0.25">
      <c r="A1127">
        <f t="shared" si="34"/>
        <v>0</v>
      </c>
      <c r="B1127" s="3">
        <f t="shared" si="35"/>
        <v>0</v>
      </c>
      <c r="C1127" s="72"/>
      <c r="D1127" s="72"/>
      <c r="E1127" s="73"/>
      <c r="F1127" s="73"/>
    </row>
    <row r="1128" spans="1:6" x14ac:dyDescent="0.25">
      <c r="A1128">
        <f t="shared" si="34"/>
        <v>0</v>
      </c>
      <c r="B1128" s="3">
        <f t="shared" si="35"/>
        <v>0</v>
      </c>
      <c r="C1128" s="72"/>
      <c r="D1128" s="72"/>
      <c r="E1128" s="73"/>
      <c r="F1128" s="73"/>
    </row>
    <row r="1129" spans="1:6" x14ac:dyDescent="0.25">
      <c r="A1129">
        <f t="shared" si="34"/>
        <v>0</v>
      </c>
      <c r="B1129" s="3">
        <f t="shared" si="35"/>
        <v>0</v>
      </c>
      <c r="C1129" s="72"/>
      <c r="D1129" s="72"/>
      <c r="E1129" s="73"/>
      <c r="F1129" s="73"/>
    </row>
    <row r="1130" spans="1:6" x14ac:dyDescent="0.25">
      <c r="A1130">
        <f t="shared" si="34"/>
        <v>0</v>
      </c>
      <c r="B1130" s="3">
        <f t="shared" si="35"/>
        <v>0</v>
      </c>
      <c r="C1130" s="72"/>
      <c r="D1130" s="72"/>
      <c r="E1130" s="73"/>
      <c r="F1130" s="73"/>
    </row>
    <row r="1131" spans="1:6" x14ac:dyDescent="0.25">
      <c r="A1131">
        <f t="shared" si="34"/>
        <v>0</v>
      </c>
      <c r="B1131" s="3">
        <f t="shared" si="35"/>
        <v>0</v>
      </c>
      <c r="C1131" s="72"/>
      <c r="D1131" s="72"/>
      <c r="E1131" s="73"/>
      <c r="F1131" s="73"/>
    </row>
    <row r="1132" spans="1:6" x14ac:dyDescent="0.25">
      <c r="A1132">
        <f t="shared" si="34"/>
        <v>0</v>
      </c>
      <c r="B1132" s="3">
        <f t="shared" si="35"/>
        <v>0</v>
      </c>
      <c r="C1132" s="72"/>
      <c r="D1132" s="72"/>
      <c r="E1132" s="73"/>
      <c r="F1132" s="73"/>
    </row>
    <row r="1133" spans="1:6" x14ac:dyDescent="0.25">
      <c r="A1133">
        <f t="shared" si="34"/>
        <v>0</v>
      </c>
      <c r="B1133" s="3">
        <f t="shared" si="35"/>
        <v>0</v>
      </c>
      <c r="C1133" s="72"/>
      <c r="D1133" s="72"/>
      <c r="E1133" s="73"/>
      <c r="F1133" s="73"/>
    </row>
    <row r="1134" spans="1:6" x14ac:dyDescent="0.25">
      <c r="A1134">
        <f t="shared" si="34"/>
        <v>0</v>
      </c>
      <c r="B1134" s="3">
        <f t="shared" si="35"/>
        <v>0</v>
      </c>
      <c r="C1134" s="72"/>
      <c r="D1134" s="72"/>
      <c r="E1134" s="73"/>
      <c r="F1134" s="73"/>
    </row>
    <row r="1135" spans="1:6" x14ac:dyDescent="0.25">
      <c r="A1135">
        <f t="shared" si="34"/>
        <v>0</v>
      </c>
      <c r="B1135" s="3">
        <f t="shared" si="35"/>
        <v>0</v>
      </c>
      <c r="C1135" s="72"/>
      <c r="D1135" s="72"/>
      <c r="E1135" s="73"/>
      <c r="F1135" s="73"/>
    </row>
    <row r="1136" spans="1:6" x14ac:dyDescent="0.25">
      <c r="A1136">
        <f t="shared" si="34"/>
        <v>0</v>
      </c>
      <c r="B1136" s="3">
        <f t="shared" si="35"/>
        <v>0</v>
      </c>
      <c r="C1136" s="72"/>
      <c r="D1136" s="72"/>
      <c r="E1136" s="73"/>
      <c r="F1136" s="73"/>
    </row>
    <row r="1137" spans="1:6" x14ac:dyDescent="0.25">
      <c r="A1137">
        <f t="shared" si="34"/>
        <v>0</v>
      </c>
      <c r="B1137" s="3">
        <f t="shared" si="35"/>
        <v>0</v>
      </c>
      <c r="C1137" s="72"/>
      <c r="D1137" s="72"/>
      <c r="E1137" s="73"/>
      <c r="F1137" s="73"/>
    </row>
    <row r="1138" spans="1:6" x14ac:dyDescent="0.25">
      <c r="A1138">
        <f t="shared" si="34"/>
        <v>0</v>
      </c>
      <c r="B1138" s="3">
        <f t="shared" si="35"/>
        <v>0</v>
      </c>
      <c r="C1138" s="72"/>
      <c r="D1138" s="72"/>
      <c r="E1138" s="73"/>
      <c r="F1138" s="73"/>
    </row>
    <row r="1139" spans="1:6" x14ac:dyDescent="0.25">
      <c r="A1139">
        <f t="shared" si="34"/>
        <v>0</v>
      </c>
      <c r="B1139" s="3">
        <f t="shared" si="35"/>
        <v>0</v>
      </c>
      <c r="C1139" s="72"/>
      <c r="D1139" s="72"/>
      <c r="E1139" s="73"/>
      <c r="F1139" s="73"/>
    </row>
    <row r="1140" spans="1:6" x14ac:dyDescent="0.25">
      <c r="A1140">
        <f t="shared" si="34"/>
        <v>0</v>
      </c>
      <c r="B1140" s="3">
        <f t="shared" si="35"/>
        <v>0</v>
      </c>
      <c r="C1140" s="72"/>
      <c r="D1140" s="72"/>
      <c r="E1140" s="73"/>
      <c r="F1140" s="73"/>
    </row>
    <row r="1141" spans="1:6" x14ac:dyDescent="0.25">
      <c r="A1141">
        <f t="shared" si="34"/>
        <v>0</v>
      </c>
      <c r="B1141" s="3">
        <f t="shared" si="35"/>
        <v>0</v>
      </c>
      <c r="C1141" s="72"/>
      <c r="D1141" s="72"/>
      <c r="E1141" s="73"/>
      <c r="F1141" s="73"/>
    </row>
    <row r="1142" spans="1:6" x14ac:dyDescent="0.25">
      <c r="A1142">
        <f t="shared" si="34"/>
        <v>0</v>
      </c>
      <c r="B1142" s="3">
        <f t="shared" si="35"/>
        <v>0</v>
      </c>
      <c r="C1142" s="72"/>
      <c r="D1142" s="72"/>
      <c r="E1142" s="73"/>
      <c r="F1142" s="73"/>
    </row>
    <row r="1143" spans="1:6" x14ac:dyDescent="0.25">
      <c r="A1143">
        <f t="shared" si="34"/>
        <v>0</v>
      </c>
      <c r="B1143" s="3">
        <f t="shared" si="35"/>
        <v>0</v>
      </c>
      <c r="C1143" s="72"/>
      <c r="D1143" s="72"/>
      <c r="E1143" s="73"/>
      <c r="F1143" s="73"/>
    </row>
    <row r="1144" spans="1:6" x14ac:dyDescent="0.25">
      <c r="A1144">
        <f t="shared" si="34"/>
        <v>0</v>
      </c>
      <c r="B1144" s="3">
        <f t="shared" si="35"/>
        <v>0</v>
      </c>
      <c r="C1144" s="72"/>
      <c r="D1144" s="72"/>
      <c r="E1144" s="73"/>
      <c r="F1144" s="73"/>
    </row>
    <row r="1145" spans="1:6" x14ac:dyDescent="0.25">
      <c r="A1145">
        <f t="shared" si="34"/>
        <v>0</v>
      </c>
      <c r="B1145" s="3">
        <f t="shared" si="35"/>
        <v>0</v>
      </c>
      <c r="C1145" s="72"/>
      <c r="D1145" s="72"/>
      <c r="E1145" s="73"/>
      <c r="F1145" s="73"/>
    </row>
    <row r="1146" spans="1:6" x14ac:dyDescent="0.25">
      <c r="A1146">
        <f t="shared" si="34"/>
        <v>0</v>
      </c>
      <c r="B1146" s="3">
        <f t="shared" si="35"/>
        <v>0</v>
      </c>
      <c r="C1146" s="72"/>
      <c r="D1146" s="72"/>
      <c r="E1146" s="73"/>
      <c r="F1146" s="73"/>
    </row>
    <row r="1147" spans="1:6" x14ac:dyDescent="0.25">
      <c r="A1147">
        <f t="shared" si="34"/>
        <v>0</v>
      </c>
      <c r="B1147" s="3">
        <f t="shared" si="35"/>
        <v>0</v>
      </c>
      <c r="C1147" s="72"/>
      <c r="D1147" s="72"/>
      <c r="E1147" s="73"/>
      <c r="F1147" s="73"/>
    </row>
    <row r="1148" spans="1:6" x14ac:dyDescent="0.25">
      <c r="A1148">
        <f t="shared" si="34"/>
        <v>0</v>
      </c>
      <c r="B1148" s="3">
        <f t="shared" si="35"/>
        <v>0</v>
      </c>
      <c r="C1148" s="72"/>
      <c r="D1148" s="72"/>
      <c r="E1148" s="73"/>
      <c r="F1148" s="73"/>
    </row>
    <row r="1149" spans="1:6" x14ac:dyDescent="0.25">
      <c r="A1149">
        <f t="shared" si="34"/>
        <v>0</v>
      </c>
      <c r="B1149" s="3">
        <f t="shared" si="35"/>
        <v>0</v>
      </c>
      <c r="C1149" s="72"/>
      <c r="D1149" s="72"/>
      <c r="E1149" s="73"/>
      <c r="F1149" s="73"/>
    </row>
    <row r="1150" spans="1:6" x14ac:dyDescent="0.25">
      <c r="A1150">
        <f t="shared" si="34"/>
        <v>0</v>
      </c>
      <c r="B1150" s="3">
        <f t="shared" si="35"/>
        <v>0</v>
      </c>
      <c r="C1150" s="72"/>
      <c r="D1150" s="72"/>
      <c r="E1150" s="73"/>
      <c r="F1150" s="73"/>
    </row>
    <row r="1151" spans="1:6" x14ac:dyDescent="0.25">
      <c r="A1151">
        <f t="shared" si="34"/>
        <v>0</v>
      </c>
      <c r="B1151" s="3">
        <f t="shared" si="35"/>
        <v>0</v>
      </c>
      <c r="C1151" s="72"/>
      <c r="D1151" s="72"/>
      <c r="E1151" s="73"/>
      <c r="F1151" s="73"/>
    </row>
    <row r="1152" spans="1:6" x14ac:dyDescent="0.25">
      <c r="A1152">
        <f t="shared" si="34"/>
        <v>0</v>
      </c>
      <c r="B1152" s="3">
        <f t="shared" si="35"/>
        <v>0</v>
      </c>
      <c r="C1152" s="72"/>
      <c r="D1152" s="72"/>
      <c r="E1152" s="73"/>
      <c r="F1152" s="73"/>
    </row>
    <row r="1153" spans="1:6" x14ac:dyDescent="0.25">
      <c r="A1153">
        <f t="shared" si="34"/>
        <v>0</v>
      </c>
      <c r="B1153" s="3">
        <f t="shared" si="35"/>
        <v>0</v>
      </c>
      <c r="C1153" s="72"/>
      <c r="D1153" s="72"/>
      <c r="E1153" s="73"/>
      <c r="F1153" s="73"/>
    </row>
    <row r="1154" spans="1:6" x14ac:dyDescent="0.25">
      <c r="A1154">
        <f t="shared" si="34"/>
        <v>0</v>
      </c>
      <c r="B1154" s="3">
        <f t="shared" si="35"/>
        <v>0</v>
      </c>
      <c r="C1154" s="72"/>
      <c r="D1154" s="72"/>
      <c r="E1154" s="73"/>
      <c r="F1154" s="73"/>
    </row>
    <row r="1155" spans="1:6" x14ac:dyDescent="0.25">
      <c r="A1155">
        <f t="shared" si="34"/>
        <v>0</v>
      </c>
      <c r="B1155" s="3">
        <f t="shared" si="35"/>
        <v>0</v>
      </c>
      <c r="C1155" s="72"/>
      <c r="D1155" s="72"/>
      <c r="E1155" s="73"/>
      <c r="F1155" s="73"/>
    </row>
    <row r="1156" spans="1:6" x14ac:dyDescent="0.25">
      <c r="A1156">
        <f t="shared" si="34"/>
        <v>0</v>
      </c>
      <c r="B1156" s="3">
        <f t="shared" si="35"/>
        <v>0</v>
      </c>
      <c r="C1156" s="72"/>
      <c r="D1156" s="72"/>
      <c r="E1156" s="73"/>
      <c r="F1156" s="73"/>
    </row>
    <row r="1157" spans="1:6" x14ac:dyDescent="0.25">
      <c r="A1157">
        <f t="shared" si="34"/>
        <v>0</v>
      </c>
      <c r="B1157" s="3">
        <f t="shared" si="35"/>
        <v>0</v>
      </c>
      <c r="C1157" s="72"/>
      <c r="D1157" s="72"/>
      <c r="E1157" s="73"/>
      <c r="F1157" s="73"/>
    </row>
    <row r="1158" spans="1:6" x14ac:dyDescent="0.25">
      <c r="A1158">
        <f t="shared" si="34"/>
        <v>0</v>
      </c>
      <c r="B1158" s="3">
        <f t="shared" si="35"/>
        <v>0</v>
      </c>
      <c r="C1158" s="72"/>
      <c r="D1158" s="72"/>
      <c r="E1158" s="73"/>
      <c r="F1158" s="73"/>
    </row>
    <row r="1159" spans="1:6" x14ac:dyDescent="0.25">
      <c r="A1159">
        <f t="shared" ref="A1159:A1222" si="36">IF(ISNUMBER(C1159),C1159*F1159,)</f>
        <v>0</v>
      </c>
      <c r="B1159" s="3">
        <f t="shared" ref="B1159:B1222" si="37">IF(C1159&lt;&gt;"",1,0)</f>
        <v>0</v>
      </c>
      <c r="C1159" s="72"/>
      <c r="D1159" s="72"/>
      <c r="E1159" s="73"/>
      <c r="F1159" s="73"/>
    </row>
    <row r="1160" spans="1:6" x14ac:dyDescent="0.25">
      <c r="A1160">
        <f t="shared" si="36"/>
        <v>0</v>
      </c>
      <c r="B1160" s="3">
        <f t="shared" si="37"/>
        <v>0</v>
      </c>
      <c r="C1160" s="72"/>
      <c r="D1160" s="72"/>
      <c r="E1160" s="73"/>
      <c r="F1160" s="73"/>
    </row>
    <row r="1161" spans="1:6" x14ac:dyDescent="0.25">
      <c r="A1161">
        <f t="shared" si="36"/>
        <v>0</v>
      </c>
      <c r="B1161" s="3">
        <f t="shared" si="37"/>
        <v>0</v>
      </c>
      <c r="C1161" s="72"/>
      <c r="D1161" s="72"/>
      <c r="E1161" s="73"/>
      <c r="F1161" s="73"/>
    </row>
    <row r="1162" spans="1:6" x14ac:dyDescent="0.25">
      <c r="A1162">
        <f t="shared" si="36"/>
        <v>0</v>
      </c>
      <c r="B1162" s="3">
        <f t="shared" si="37"/>
        <v>0</v>
      </c>
      <c r="C1162" s="72"/>
      <c r="D1162" s="72"/>
      <c r="E1162" s="73"/>
      <c r="F1162" s="73"/>
    </row>
    <row r="1163" spans="1:6" x14ac:dyDescent="0.25">
      <c r="A1163">
        <f t="shared" si="36"/>
        <v>0</v>
      </c>
      <c r="B1163" s="3">
        <f t="shared" si="37"/>
        <v>0</v>
      </c>
      <c r="C1163" s="72"/>
      <c r="D1163" s="72"/>
      <c r="E1163" s="73"/>
      <c r="F1163" s="73"/>
    </row>
    <row r="1164" spans="1:6" x14ac:dyDescent="0.25">
      <c r="A1164">
        <f t="shared" si="36"/>
        <v>0</v>
      </c>
      <c r="B1164" s="3">
        <f t="shared" si="37"/>
        <v>0</v>
      </c>
      <c r="C1164" s="72"/>
      <c r="D1164" s="72"/>
      <c r="E1164" s="73"/>
      <c r="F1164" s="73"/>
    </row>
    <row r="1165" spans="1:6" x14ac:dyDescent="0.25">
      <c r="A1165">
        <f t="shared" si="36"/>
        <v>0</v>
      </c>
      <c r="B1165" s="3">
        <f t="shared" si="37"/>
        <v>0</v>
      </c>
      <c r="C1165" s="72"/>
      <c r="D1165" s="72"/>
      <c r="E1165" s="73"/>
      <c r="F1165" s="73"/>
    </row>
    <row r="1166" spans="1:6" x14ac:dyDescent="0.25">
      <c r="A1166">
        <f t="shared" si="36"/>
        <v>0</v>
      </c>
      <c r="B1166" s="3">
        <f t="shared" si="37"/>
        <v>0</v>
      </c>
      <c r="C1166" s="72"/>
      <c r="D1166" s="72"/>
      <c r="E1166" s="73"/>
      <c r="F1166" s="73"/>
    </row>
    <row r="1167" spans="1:6" x14ac:dyDescent="0.25">
      <c r="A1167">
        <f t="shared" si="36"/>
        <v>0</v>
      </c>
      <c r="B1167" s="3">
        <f t="shared" si="37"/>
        <v>0</v>
      </c>
      <c r="C1167" s="72"/>
      <c r="D1167" s="72"/>
      <c r="E1167" s="73"/>
      <c r="F1167" s="73"/>
    </row>
    <row r="1168" spans="1:6" x14ac:dyDescent="0.25">
      <c r="A1168">
        <f t="shared" si="36"/>
        <v>0</v>
      </c>
      <c r="B1168" s="3">
        <f t="shared" si="37"/>
        <v>0</v>
      </c>
      <c r="C1168" s="72"/>
      <c r="D1168" s="72"/>
      <c r="E1168" s="73"/>
      <c r="F1168" s="73"/>
    </row>
    <row r="1169" spans="1:6" x14ac:dyDescent="0.25">
      <c r="A1169">
        <f t="shared" si="36"/>
        <v>0</v>
      </c>
      <c r="B1169" s="3">
        <f t="shared" si="37"/>
        <v>0</v>
      </c>
      <c r="C1169" s="72"/>
      <c r="D1169" s="72"/>
      <c r="E1169" s="73"/>
      <c r="F1169" s="73"/>
    </row>
    <row r="1170" spans="1:6" x14ac:dyDescent="0.25">
      <c r="A1170">
        <f t="shared" si="36"/>
        <v>0</v>
      </c>
      <c r="B1170" s="3">
        <f t="shared" si="37"/>
        <v>0</v>
      </c>
      <c r="C1170" s="72"/>
      <c r="D1170" s="72"/>
      <c r="E1170" s="73"/>
      <c r="F1170" s="73"/>
    </row>
    <row r="1171" spans="1:6" x14ac:dyDescent="0.25">
      <c r="A1171">
        <f t="shared" si="36"/>
        <v>0</v>
      </c>
      <c r="B1171" s="3">
        <f t="shared" si="37"/>
        <v>0</v>
      </c>
      <c r="C1171" s="72"/>
      <c r="D1171" s="72"/>
      <c r="E1171" s="73"/>
      <c r="F1171" s="73"/>
    </row>
    <row r="1172" spans="1:6" x14ac:dyDescent="0.25">
      <c r="A1172">
        <f t="shared" si="36"/>
        <v>0</v>
      </c>
      <c r="B1172" s="3">
        <f t="shared" si="37"/>
        <v>0</v>
      </c>
      <c r="C1172" s="72"/>
      <c r="D1172" s="72"/>
      <c r="E1172" s="73"/>
      <c r="F1172" s="73"/>
    </row>
    <row r="1173" spans="1:6" x14ac:dyDescent="0.25">
      <c r="A1173">
        <f t="shared" si="36"/>
        <v>0</v>
      </c>
      <c r="B1173" s="3">
        <f t="shared" si="37"/>
        <v>0</v>
      </c>
      <c r="C1173" s="72"/>
      <c r="D1173" s="72"/>
      <c r="E1173" s="73"/>
      <c r="F1173" s="73"/>
    </row>
    <row r="1174" spans="1:6" x14ac:dyDescent="0.25">
      <c r="A1174">
        <f t="shared" si="36"/>
        <v>0</v>
      </c>
      <c r="B1174" s="3">
        <f t="shared" si="37"/>
        <v>0</v>
      </c>
      <c r="C1174" s="72"/>
      <c r="D1174" s="72"/>
      <c r="E1174" s="73"/>
      <c r="F1174" s="73"/>
    </row>
    <row r="1175" spans="1:6" x14ac:dyDescent="0.25">
      <c r="A1175">
        <f t="shared" si="36"/>
        <v>0</v>
      </c>
      <c r="B1175" s="3">
        <f t="shared" si="37"/>
        <v>0</v>
      </c>
      <c r="C1175" s="72"/>
      <c r="D1175" s="72"/>
      <c r="E1175" s="73"/>
      <c r="F1175" s="73"/>
    </row>
    <row r="1176" spans="1:6" x14ac:dyDescent="0.25">
      <c r="A1176">
        <f t="shared" si="36"/>
        <v>0</v>
      </c>
      <c r="B1176" s="3">
        <f t="shared" si="37"/>
        <v>0</v>
      </c>
      <c r="C1176" s="72"/>
      <c r="D1176" s="72"/>
      <c r="E1176" s="73"/>
      <c r="F1176" s="73"/>
    </row>
    <row r="1177" spans="1:6" x14ac:dyDescent="0.25">
      <c r="A1177">
        <f t="shared" si="36"/>
        <v>0</v>
      </c>
      <c r="B1177" s="3">
        <f t="shared" si="37"/>
        <v>0</v>
      </c>
      <c r="C1177" s="72"/>
      <c r="D1177" s="72"/>
      <c r="E1177" s="73"/>
      <c r="F1177" s="73"/>
    </row>
    <row r="1178" spans="1:6" x14ac:dyDescent="0.25">
      <c r="A1178">
        <f t="shared" si="36"/>
        <v>0</v>
      </c>
      <c r="B1178" s="3">
        <f t="shared" si="37"/>
        <v>0</v>
      </c>
      <c r="C1178" s="72"/>
      <c r="D1178" s="72"/>
      <c r="E1178" s="73"/>
      <c r="F1178" s="73"/>
    </row>
    <row r="1179" spans="1:6" x14ac:dyDescent="0.25">
      <c r="A1179">
        <f t="shared" si="36"/>
        <v>0</v>
      </c>
      <c r="B1179" s="3">
        <f t="shared" si="37"/>
        <v>0</v>
      </c>
      <c r="C1179" s="72"/>
      <c r="D1179" s="72"/>
      <c r="E1179" s="73"/>
      <c r="F1179" s="73"/>
    </row>
    <row r="1180" spans="1:6" x14ac:dyDescent="0.25">
      <c r="A1180">
        <f t="shared" si="36"/>
        <v>0</v>
      </c>
      <c r="B1180" s="3">
        <f t="shared" si="37"/>
        <v>0</v>
      </c>
      <c r="C1180" s="72"/>
      <c r="D1180" s="72"/>
      <c r="E1180" s="73"/>
      <c r="F1180" s="73"/>
    </row>
    <row r="1181" spans="1:6" x14ac:dyDescent="0.25">
      <c r="A1181">
        <f t="shared" si="36"/>
        <v>0</v>
      </c>
      <c r="B1181" s="3">
        <f t="shared" si="37"/>
        <v>0</v>
      </c>
      <c r="C1181" s="72"/>
      <c r="D1181" s="72"/>
      <c r="E1181" s="73"/>
      <c r="F1181" s="73"/>
    </row>
    <row r="1182" spans="1:6" x14ac:dyDescent="0.25">
      <c r="A1182">
        <f t="shared" si="36"/>
        <v>0</v>
      </c>
      <c r="B1182" s="3">
        <f t="shared" si="37"/>
        <v>0</v>
      </c>
      <c r="C1182" s="72"/>
      <c r="D1182" s="72"/>
      <c r="E1182" s="73"/>
      <c r="F1182" s="73"/>
    </row>
    <row r="1183" spans="1:6" x14ac:dyDescent="0.25">
      <c r="A1183">
        <f t="shared" si="36"/>
        <v>0</v>
      </c>
      <c r="B1183" s="3">
        <f t="shared" si="37"/>
        <v>0</v>
      </c>
      <c r="C1183" s="72"/>
      <c r="D1183" s="72"/>
      <c r="E1183" s="73"/>
      <c r="F1183" s="73"/>
    </row>
    <row r="1184" spans="1:6" x14ac:dyDescent="0.25">
      <c r="A1184">
        <f t="shared" si="36"/>
        <v>0</v>
      </c>
      <c r="B1184" s="3">
        <f t="shared" si="37"/>
        <v>0</v>
      </c>
      <c r="C1184" s="72"/>
      <c r="D1184" s="72"/>
      <c r="E1184" s="73"/>
      <c r="F1184" s="73"/>
    </row>
    <row r="1185" spans="1:6" x14ac:dyDescent="0.25">
      <c r="A1185">
        <f t="shared" si="36"/>
        <v>0</v>
      </c>
      <c r="B1185" s="3">
        <f t="shared" si="37"/>
        <v>0</v>
      </c>
      <c r="C1185" s="72"/>
      <c r="D1185" s="72"/>
      <c r="E1185" s="73"/>
      <c r="F1185" s="73"/>
    </row>
    <row r="1186" spans="1:6" x14ac:dyDescent="0.25">
      <c r="A1186">
        <f t="shared" si="36"/>
        <v>0</v>
      </c>
      <c r="B1186" s="3">
        <f t="shared" si="37"/>
        <v>0</v>
      </c>
      <c r="C1186" s="72"/>
      <c r="D1186" s="72"/>
      <c r="E1186" s="73"/>
      <c r="F1186" s="73"/>
    </row>
    <row r="1187" spans="1:6" x14ac:dyDescent="0.25">
      <c r="A1187">
        <f t="shared" si="36"/>
        <v>0</v>
      </c>
      <c r="B1187" s="3">
        <f t="shared" si="37"/>
        <v>0</v>
      </c>
      <c r="C1187" s="72"/>
      <c r="D1187" s="72"/>
      <c r="E1187" s="73"/>
      <c r="F1187" s="73"/>
    </row>
    <row r="1188" spans="1:6" x14ac:dyDescent="0.25">
      <c r="A1188">
        <f t="shared" si="36"/>
        <v>0</v>
      </c>
      <c r="B1188" s="3">
        <f t="shared" si="37"/>
        <v>0</v>
      </c>
      <c r="C1188" s="72"/>
      <c r="D1188" s="72"/>
      <c r="E1188" s="73"/>
      <c r="F1188" s="73"/>
    </row>
    <row r="1189" spans="1:6" x14ac:dyDescent="0.25">
      <c r="A1189">
        <f t="shared" si="36"/>
        <v>0</v>
      </c>
      <c r="B1189" s="3">
        <f t="shared" si="37"/>
        <v>0</v>
      </c>
      <c r="C1189" s="72"/>
      <c r="D1189" s="72"/>
      <c r="E1189" s="73"/>
      <c r="F1189" s="73"/>
    </row>
    <row r="1190" spans="1:6" x14ac:dyDescent="0.25">
      <c r="A1190">
        <f t="shared" si="36"/>
        <v>0</v>
      </c>
      <c r="B1190" s="3">
        <f t="shared" si="37"/>
        <v>0</v>
      </c>
      <c r="C1190" s="72"/>
      <c r="D1190" s="72"/>
      <c r="E1190" s="73"/>
      <c r="F1190" s="73"/>
    </row>
    <row r="1191" spans="1:6" x14ac:dyDescent="0.25">
      <c r="A1191">
        <f t="shared" si="36"/>
        <v>0</v>
      </c>
      <c r="B1191" s="3">
        <f t="shared" si="37"/>
        <v>0</v>
      </c>
      <c r="C1191" s="72"/>
      <c r="D1191" s="72"/>
      <c r="E1191" s="73"/>
      <c r="F1191" s="73"/>
    </row>
    <row r="1192" spans="1:6" x14ac:dyDescent="0.25">
      <c r="A1192">
        <f t="shared" si="36"/>
        <v>0</v>
      </c>
      <c r="B1192" s="3">
        <f t="shared" si="37"/>
        <v>0</v>
      </c>
      <c r="C1192" s="72"/>
      <c r="D1192" s="72"/>
      <c r="E1192" s="73"/>
      <c r="F1192" s="73"/>
    </row>
    <row r="1193" spans="1:6" x14ac:dyDescent="0.25">
      <c r="A1193">
        <f t="shared" si="36"/>
        <v>0</v>
      </c>
      <c r="B1193" s="3">
        <f t="shared" si="37"/>
        <v>0</v>
      </c>
      <c r="C1193" s="72"/>
      <c r="D1193" s="72"/>
      <c r="E1193" s="73"/>
      <c r="F1193" s="73"/>
    </row>
    <row r="1194" spans="1:6" x14ac:dyDescent="0.25">
      <c r="A1194">
        <f t="shared" si="36"/>
        <v>0</v>
      </c>
      <c r="B1194" s="3">
        <f t="shared" si="37"/>
        <v>0</v>
      </c>
      <c r="C1194" s="72"/>
      <c r="D1194" s="72"/>
      <c r="E1194" s="73"/>
      <c r="F1194" s="73"/>
    </row>
    <row r="1195" spans="1:6" x14ac:dyDescent="0.25">
      <c r="A1195">
        <f t="shared" si="36"/>
        <v>0</v>
      </c>
      <c r="B1195" s="3">
        <f t="shared" si="37"/>
        <v>0</v>
      </c>
      <c r="C1195" s="72"/>
      <c r="D1195" s="72"/>
      <c r="E1195" s="73"/>
      <c r="F1195" s="73"/>
    </row>
    <row r="1196" spans="1:6" x14ac:dyDescent="0.25">
      <c r="A1196">
        <f t="shared" si="36"/>
        <v>0</v>
      </c>
      <c r="B1196" s="3">
        <f t="shared" si="37"/>
        <v>0</v>
      </c>
      <c r="C1196" s="72"/>
      <c r="D1196" s="72"/>
      <c r="E1196" s="73"/>
      <c r="F1196" s="73"/>
    </row>
    <row r="1197" spans="1:6" x14ac:dyDescent="0.25">
      <c r="A1197">
        <f t="shared" si="36"/>
        <v>0</v>
      </c>
      <c r="B1197" s="3">
        <f t="shared" si="37"/>
        <v>0</v>
      </c>
      <c r="C1197" s="72"/>
      <c r="D1197" s="72"/>
      <c r="E1197" s="73"/>
      <c r="F1197" s="73"/>
    </row>
    <row r="1198" spans="1:6" x14ac:dyDescent="0.25">
      <c r="A1198">
        <f t="shared" si="36"/>
        <v>0</v>
      </c>
      <c r="B1198" s="3">
        <f t="shared" si="37"/>
        <v>0</v>
      </c>
      <c r="C1198" s="72"/>
      <c r="D1198" s="72"/>
      <c r="E1198" s="73"/>
      <c r="F1198" s="73"/>
    </row>
    <row r="1199" spans="1:6" x14ac:dyDescent="0.25">
      <c r="A1199">
        <f t="shared" si="36"/>
        <v>0</v>
      </c>
      <c r="B1199" s="3">
        <f t="shared" si="37"/>
        <v>0</v>
      </c>
      <c r="C1199" s="72"/>
      <c r="D1199" s="72"/>
      <c r="E1199" s="73"/>
      <c r="F1199" s="73"/>
    </row>
    <row r="1200" spans="1:6" x14ac:dyDescent="0.25">
      <c r="A1200">
        <f t="shared" si="36"/>
        <v>0</v>
      </c>
      <c r="B1200" s="3">
        <f t="shared" si="37"/>
        <v>0</v>
      </c>
      <c r="C1200" s="72"/>
      <c r="D1200" s="72"/>
      <c r="E1200" s="73"/>
      <c r="F1200" s="73"/>
    </row>
    <row r="1201" spans="1:6" x14ac:dyDescent="0.25">
      <c r="A1201">
        <f t="shared" si="36"/>
        <v>0</v>
      </c>
      <c r="B1201" s="3">
        <f t="shared" si="37"/>
        <v>0</v>
      </c>
      <c r="C1201" s="72"/>
      <c r="D1201" s="72"/>
      <c r="E1201" s="73"/>
      <c r="F1201" s="73"/>
    </row>
    <row r="1202" spans="1:6" x14ac:dyDescent="0.25">
      <c r="A1202">
        <f t="shared" si="36"/>
        <v>0</v>
      </c>
      <c r="B1202" s="3">
        <f t="shared" si="37"/>
        <v>0</v>
      </c>
      <c r="C1202" s="72"/>
      <c r="D1202" s="72"/>
      <c r="E1202" s="73"/>
      <c r="F1202" s="73"/>
    </row>
    <row r="1203" spans="1:6" x14ac:dyDescent="0.25">
      <c r="A1203">
        <f t="shared" si="36"/>
        <v>0</v>
      </c>
      <c r="B1203" s="3">
        <f t="shared" si="37"/>
        <v>0</v>
      </c>
      <c r="C1203" s="72"/>
      <c r="D1203" s="72"/>
      <c r="E1203" s="73"/>
      <c r="F1203" s="73"/>
    </row>
    <row r="1204" spans="1:6" x14ac:dyDescent="0.25">
      <c r="A1204">
        <f t="shared" si="36"/>
        <v>0</v>
      </c>
      <c r="B1204" s="3">
        <f t="shared" si="37"/>
        <v>0</v>
      </c>
      <c r="C1204" s="72"/>
      <c r="D1204" s="72"/>
      <c r="E1204" s="73"/>
      <c r="F1204" s="73"/>
    </row>
    <row r="1205" spans="1:6" x14ac:dyDescent="0.25">
      <c r="A1205">
        <f t="shared" si="36"/>
        <v>0</v>
      </c>
      <c r="B1205" s="3">
        <f t="shared" si="37"/>
        <v>0</v>
      </c>
      <c r="C1205" s="72"/>
      <c r="D1205" s="72"/>
      <c r="E1205" s="73"/>
      <c r="F1205" s="73"/>
    </row>
    <row r="1206" spans="1:6" x14ac:dyDescent="0.25">
      <c r="A1206">
        <f t="shared" si="36"/>
        <v>0</v>
      </c>
      <c r="B1206" s="3">
        <f t="shared" si="37"/>
        <v>0</v>
      </c>
      <c r="C1206" s="72"/>
      <c r="D1206" s="72"/>
      <c r="E1206" s="73"/>
      <c r="F1206" s="73"/>
    </row>
    <row r="1207" spans="1:6" x14ac:dyDescent="0.25">
      <c r="A1207">
        <f t="shared" si="36"/>
        <v>0</v>
      </c>
      <c r="B1207" s="3">
        <f t="shared" si="37"/>
        <v>0</v>
      </c>
      <c r="C1207" s="72"/>
      <c r="D1207" s="72"/>
      <c r="E1207" s="73"/>
      <c r="F1207" s="73"/>
    </row>
    <row r="1208" spans="1:6" x14ac:dyDescent="0.25">
      <c r="A1208">
        <f t="shared" si="36"/>
        <v>0</v>
      </c>
      <c r="B1208" s="3">
        <f t="shared" si="37"/>
        <v>0</v>
      </c>
      <c r="C1208" s="72"/>
      <c r="D1208" s="72"/>
      <c r="E1208" s="73"/>
      <c r="F1208" s="73"/>
    </row>
    <row r="1209" spans="1:6" x14ac:dyDescent="0.25">
      <c r="A1209">
        <f t="shared" si="36"/>
        <v>0</v>
      </c>
      <c r="B1209" s="3">
        <f t="shared" si="37"/>
        <v>0</v>
      </c>
      <c r="C1209" s="72"/>
      <c r="D1209" s="72"/>
      <c r="E1209" s="73"/>
      <c r="F1209" s="73"/>
    </row>
    <row r="1210" spans="1:6" x14ac:dyDescent="0.25">
      <c r="A1210">
        <f t="shared" si="36"/>
        <v>0</v>
      </c>
      <c r="B1210" s="3">
        <f t="shared" si="37"/>
        <v>0</v>
      </c>
      <c r="C1210" s="72"/>
      <c r="D1210" s="72"/>
      <c r="E1210" s="73"/>
      <c r="F1210" s="73"/>
    </row>
    <row r="1211" spans="1:6" x14ac:dyDescent="0.25">
      <c r="A1211">
        <f t="shared" si="36"/>
        <v>0</v>
      </c>
      <c r="B1211" s="3">
        <f t="shared" si="37"/>
        <v>0</v>
      </c>
      <c r="C1211" s="72"/>
      <c r="D1211" s="72"/>
      <c r="E1211" s="73"/>
      <c r="F1211" s="73"/>
    </row>
    <row r="1212" spans="1:6" x14ac:dyDescent="0.25">
      <c r="A1212">
        <f t="shared" si="36"/>
        <v>0</v>
      </c>
      <c r="B1212" s="3">
        <f t="shared" si="37"/>
        <v>0</v>
      </c>
      <c r="C1212" s="72"/>
      <c r="D1212" s="72"/>
      <c r="E1212" s="73"/>
      <c r="F1212" s="73"/>
    </row>
    <row r="1213" spans="1:6" x14ac:dyDescent="0.25">
      <c r="A1213">
        <f t="shared" si="36"/>
        <v>0</v>
      </c>
      <c r="B1213" s="3">
        <f t="shared" si="37"/>
        <v>0</v>
      </c>
      <c r="C1213" s="72"/>
      <c r="D1213" s="72"/>
      <c r="E1213" s="73"/>
      <c r="F1213" s="73"/>
    </row>
    <row r="1214" spans="1:6" x14ac:dyDescent="0.25">
      <c r="A1214">
        <f t="shared" si="36"/>
        <v>0</v>
      </c>
      <c r="B1214" s="3">
        <f t="shared" si="37"/>
        <v>0</v>
      </c>
      <c r="C1214" s="72"/>
      <c r="D1214" s="72"/>
      <c r="E1214" s="73"/>
      <c r="F1214" s="73"/>
    </row>
    <row r="1215" spans="1:6" x14ac:dyDescent="0.25">
      <c r="A1215">
        <f t="shared" si="36"/>
        <v>0</v>
      </c>
      <c r="B1215" s="3">
        <f t="shared" si="37"/>
        <v>0</v>
      </c>
      <c r="C1215" s="72"/>
      <c r="D1215" s="72"/>
      <c r="E1215" s="73"/>
      <c r="F1215" s="73"/>
    </row>
    <row r="1216" spans="1:6" x14ac:dyDescent="0.25">
      <c r="A1216">
        <f t="shared" si="36"/>
        <v>0</v>
      </c>
      <c r="B1216" s="3">
        <f t="shared" si="37"/>
        <v>0</v>
      </c>
      <c r="C1216" s="72"/>
      <c r="D1216" s="72"/>
      <c r="E1216" s="73"/>
      <c r="F1216" s="73"/>
    </row>
    <row r="1217" spans="1:6" x14ac:dyDescent="0.25">
      <c r="A1217">
        <f t="shared" si="36"/>
        <v>0</v>
      </c>
      <c r="B1217" s="3">
        <f t="shared" si="37"/>
        <v>0</v>
      </c>
      <c r="C1217" s="72"/>
      <c r="D1217" s="72"/>
      <c r="E1217" s="73"/>
      <c r="F1217" s="73"/>
    </row>
    <row r="1218" spans="1:6" x14ac:dyDescent="0.25">
      <c r="A1218">
        <f t="shared" si="36"/>
        <v>0</v>
      </c>
      <c r="B1218" s="3">
        <f t="shared" si="37"/>
        <v>0</v>
      </c>
      <c r="C1218" s="72"/>
      <c r="D1218" s="72"/>
      <c r="E1218" s="73"/>
      <c r="F1218" s="73"/>
    </row>
    <row r="1219" spans="1:6" x14ac:dyDescent="0.25">
      <c r="A1219">
        <f t="shared" si="36"/>
        <v>0</v>
      </c>
      <c r="B1219" s="3">
        <f t="shared" si="37"/>
        <v>0</v>
      </c>
      <c r="C1219" s="72"/>
      <c r="D1219" s="72"/>
      <c r="E1219" s="73"/>
      <c r="F1219" s="73"/>
    </row>
    <row r="1220" spans="1:6" x14ac:dyDescent="0.25">
      <c r="A1220">
        <f t="shared" si="36"/>
        <v>0</v>
      </c>
      <c r="B1220" s="3">
        <f t="shared" si="37"/>
        <v>0</v>
      </c>
      <c r="C1220" s="72"/>
      <c r="D1220" s="72"/>
      <c r="E1220" s="73"/>
      <c r="F1220" s="73"/>
    </row>
    <row r="1221" spans="1:6" x14ac:dyDescent="0.25">
      <c r="A1221">
        <f t="shared" si="36"/>
        <v>0</v>
      </c>
      <c r="B1221" s="3">
        <f t="shared" si="37"/>
        <v>0</v>
      </c>
      <c r="C1221" s="72"/>
      <c r="D1221" s="72"/>
      <c r="E1221" s="73"/>
      <c r="F1221" s="73"/>
    </row>
    <row r="1222" spans="1:6" x14ac:dyDescent="0.25">
      <c r="A1222">
        <f t="shared" si="36"/>
        <v>0</v>
      </c>
      <c r="B1222" s="3">
        <f t="shared" si="37"/>
        <v>0</v>
      </c>
      <c r="C1222" s="72"/>
      <c r="D1222" s="72"/>
      <c r="E1222" s="73"/>
      <c r="F1222" s="73"/>
    </row>
    <row r="1223" spans="1:6" x14ac:dyDescent="0.25">
      <c r="A1223">
        <f t="shared" ref="A1223:A1286" si="38">IF(ISNUMBER(C1223),C1223*F1223,)</f>
        <v>0</v>
      </c>
      <c r="B1223" s="3">
        <f t="shared" ref="B1223:B1286" si="39">IF(C1223&lt;&gt;"",1,0)</f>
        <v>0</v>
      </c>
      <c r="C1223" s="72"/>
      <c r="D1223" s="72"/>
      <c r="E1223" s="73"/>
      <c r="F1223" s="73"/>
    </row>
    <row r="1224" spans="1:6" x14ac:dyDescent="0.25">
      <c r="A1224">
        <f t="shared" si="38"/>
        <v>0</v>
      </c>
      <c r="B1224" s="3">
        <f t="shared" si="39"/>
        <v>0</v>
      </c>
      <c r="C1224" s="72"/>
      <c r="D1224" s="72"/>
      <c r="E1224" s="73"/>
      <c r="F1224" s="73"/>
    </row>
    <row r="1225" spans="1:6" x14ac:dyDescent="0.25">
      <c r="A1225">
        <f t="shared" si="38"/>
        <v>0</v>
      </c>
      <c r="B1225" s="3">
        <f t="shared" si="39"/>
        <v>0</v>
      </c>
      <c r="C1225" s="72"/>
      <c r="D1225" s="72"/>
      <c r="E1225" s="73"/>
      <c r="F1225" s="73"/>
    </row>
    <row r="1226" spans="1:6" x14ac:dyDescent="0.25">
      <c r="A1226">
        <f t="shared" si="38"/>
        <v>0</v>
      </c>
      <c r="B1226" s="3">
        <f t="shared" si="39"/>
        <v>0</v>
      </c>
      <c r="C1226" s="72"/>
      <c r="D1226" s="72"/>
      <c r="E1226" s="73"/>
      <c r="F1226" s="73"/>
    </row>
    <row r="1227" spans="1:6" x14ac:dyDescent="0.25">
      <c r="A1227">
        <f t="shared" si="38"/>
        <v>0</v>
      </c>
      <c r="B1227" s="3">
        <f t="shared" si="39"/>
        <v>0</v>
      </c>
      <c r="C1227" s="72"/>
      <c r="D1227" s="72"/>
      <c r="E1227" s="73"/>
      <c r="F1227" s="73"/>
    </row>
    <row r="1228" spans="1:6" x14ac:dyDescent="0.25">
      <c r="A1228">
        <f t="shared" si="38"/>
        <v>0</v>
      </c>
      <c r="B1228" s="3">
        <f t="shared" si="39"/>
        <v>0</v>
      </c>
      <c r="C1228" s="72"/>
      <c r="D1228" s="72"/>
      <c r="E1228" s="73"/>
      <c r="F1228" s="73"/>
    </row>
    <row r="1229" spans="1:6" x14ac:dyDescent="0.25">
      <c r="A1229">
        <f t="shared" si="38"/>
        <v>0</v>
      </c>
      <c r="B1229" s="3">
        <f t="shared" si="39"/>
        <v>0</v>
      </c>
      <c r="C1229" s="72"/>
      <c r="D1229" s="72"/>
      <c r="E1229" s="73"/>
      <c r="F1229" s="73"/>
    </row>
    <row r="1230" spans="1:6" x14ac:dyDescent="0.25">
      <c r="A1230">
        <f t="shared" si="38"/>
        <v>0</v>
      </c>
      <c r="B1230" s="3">
        <f t="shared" si="39"/>
        <v>0</v>
      </c>
      <c r="C1230" s="72"/>
      <c r="D1230" s="72"/>
      <c r="E1230" s="73"/>
      <c r="F1230" s="73"/>
    </row>
    <row r="1231" spans="1:6" x14ac:dyDescent="0.25">
      <c r="A1231">
        <f t="shared" si="38"/>
        <v>0</v>
      </c>
      <c r="B1231" s="3">
        <f t="shared" si="39"/>
        <v>0</v>
      </c>
      <c r="C1231" s="72"/>
      <c r="D1231" s="72"/>
      <c r="E1231" s="73"/>
      <c r="F1231" s="73"/>
    </row>
    <row r="1232" spans="1:6" x14ac:dyDescent="0.25">
      <c r="A1232">
        <f t="shared" si="38"/>
        <v>0</v>
      </c>
      <c r="B1232" s="3">
        <f t="shared" si="39"/>
        <v>0</v>
      </c>
      <c r="C1232" s="72"/>
      <c r="D1232" s="72"/>
      <c r="E1232" s="73"/>
      <c r="F1232" s="73"/>
    </row>
    <row r="1233" spans="1:6" x14ac:dyDescent="0.25">
      <c r="A1233">
        <f t="shared" si="38"/>
        <v>0</v>
      </c>
      <c r="B1233" s="3">
        <f t="shared" si="39"/>
        <v>0</v>
      </c>
      <c r="C1233" s="72"/>
      <c r="D1233" s="72"/>
      <c r="E1233" s="73"/>
      <c r="F1233" s="73"/>
    </row>
    <row r="1234" spans="1:6" x14ac:dyDescent="0.25">
      <c r="A1234">
        <f t="shared" si="38"/>
        <v>0</v>
      </c>
      <c r="B1234" s="3">
        <f t="shared" si="39"/>
        <v>0</v>
      </c>
      <c r="C1234" s="72"/>
      <c r="D1234" s="72"/>
      <c r="E1234" s="73"/>
      <c r="F1234" s="73"/>
    </row>
    <row r="1235" spans="1:6" x14ac:dyDescent="0.25">
      <c r="A1235">
        <f t="shared" si="38"/>
        <v>0</v>
      </c>
      <c r="B1235" s="3">
        <f t="shared" si="39"/>
        <v>0</v>
      </c>
      <c r="C1235" s="72"/>
      <c r="D1235" s="72"/>
      <c r="E1235" s="73"/>
      <c r="F1235" s="73"/>
    </row>
    <row r="1236" spans="1:6" x14ac:dyDescent="0.25">
      <c r="A1236">
        <f t="shared" si="38"/>
        <v>0</v>
      </c>
      <c r="B1236" s="3">
        <f t="shared" si="39"/>
        <v>0</v>
      </c>
      <c r="C1236" s="72"/>
      <c r="D1236" s="72"/>
      <c r="E1236" s="73"/>
      <c r="F1236" s="73"/>
    </row>
    <row r="1237" spans="1:6" x14ac:dyDescent="0.25">
      <c r="A1237">
        <f t="shared" si="38"/>
        <v>0</v>
      </c>
      <c r="B1237" s="3">
        <f t="shared" si="39"/>
        <v>0</v>
      </c>
      <c r="C1237" s="72"/>
      <c r="D1237" s="72"/>
      <c r="E1237" s="73"/>
      <c r="F1237" s="73"/>
    </row>
    <row r="1238" spans="1:6" x14ac:dyDescent="0.25">
      <c r="A1238">
        <f t="shared" si="38"/>
        <v>0</v>
      </c>
      <c r="B1238" s="3">
        <f t="shared" si="39"/>
        <v>0</v>
      </c>
      <c r="C1238" s="72"/>
      <c r="D1238" s="72"/>
      <c r="E1238" s="73"/>
      <c r="F1238" s="73"/>
    </row>
    <row r="1239" spans="1:6" x14ac:dyDescent="0.25">
      <c r="A1239">
        <f t="shared" si="38"/>
        <v>0</v>
      </c>
      <c r="B1239" s="3">
        <f t="shared" si="39"/>
        <v>0</v>
      </c>
      <c r="C1239" s="72"/>
      <c r="D1239" s="72"/>
      <c r="E1239" s="73"/>
      <c r="F1239" s="73"/>
    </row>
    <row r="1240" spans="1:6" x14ac:dyDescent="0.25">
      <c r="A1240">
        <f t="shared" si="38"/>
        <v>0</v>
      </c>
      <c r="B1240" s="3">
        <f t="shared" si="39"/>
        <v>0</v>
      </c>
      <c r="C1240" s="72"/>
      <c r="D1240" s="72"/>
      <c r="E1240" s="73"/>
      <c r="F1240" s="73"/>
    </row>
    <row r="1241" spans="1:6" x14ac:dyDescent="0.25">
      <c r="A1241">
        <f t="shared" si="38"/>
        <v>0</v>
      </c>
      <c r="B1241" s="3">
        <f t="shared" si="39"/>
        <v>0</v>
      </c>
      <c r="C1241" s="72"/>
      <c r="D1241" s="72"/>
      <c r="E1241" s="73"/>
      <c r="F1241" s="73"/>
    </row>
    <row r="1242" spans="1:6" x14ac:dyDescent="0.25">
      <c r="A1242">
        <f t="shared" si="38"/>
        <v>0</v>
      </c>
      <c r="B1242" s="3">
        <f t="shared" si="39"/>
        <v>0</v>
      </c>
      <c r="C1242" s="72"/>
      <c r="D1242" s="72"/>
      <c r="E1242" s="73"/>
      <c r="F1242" s="73"/>
    </row>
    <row r="1243" spans="1:6" x14ac:dyDescent="0.25">
      <c r="A1243">
        <f t="shared" si="38"/>
        <v>0</v>
      </c>
      <c r="B1243" s="3">
        <f t="shared" si="39"/>
        <v>0</v>
      </c>
      <c r="C1243" s="72"/>
      <c r="D1243" s="72"/>
      <c r="E1243" s="73"/>
      <c r="F1243" s="73"/>
    </row>
    <row r="1244" spans="1:6" x14ac:dyDescent="0.25">
      <c r="A1244">
        <f t="shared" si="38"/>
        <v>0</v>
      </c>
      <c r="B1244" s="3">
        <f t="shared" si="39"/>
        <v>0</v>
      </c>
      <c r="C1244" s="72"/>
      <c r="D1244" s="72"/>
      <c r="E1244" s="73"/>
      <c r="F1244" s="73"/>
    </row>
    <row r="1245" spans="1:6" x14ac:dyDescent="0.25">
      <c r="A1245">
        <f t="shared" si="38"/>
        <v>0</v>
      </c>
      <c r="B1245" s="3">
        <f t="shared" si="39"/>
        <v>0</v>
      </c>
      <c r="C1245" s="72"/>
      <c r="D1245" s="72"/>
      <c r="E1245" s="73"/>
      <c r="F1245" s="73"/>
    </row>
    <row r="1246" spans="1:6" x14ac:dyDescent="0.25">
      <c r="A1246">
        <f t="shared" si="38"/>
        <v>0</v>
      </c>
      <c r="B1246" s="3">
        <f t="shared" si="39"/>
        <v>0</v>
      </c>
      <c r="C1246" s="72"/>
      <c r="D1246" s="72"/>
      <c r="E1246" s="73"/>
      <c r="F1246" s="73"/>
    </row>
    <row r="1247" spans="1:6" x14ac:dyDescent="0.25">
      <c r="A1247">
        <f t="shared" si="38"/>
        <v>0</v>
      </c>
      <c r="B1247" s="3">
        <f t="shared" si="39"/>
        <v>0</v>
      </c>
      <c r="C1247" s="72"/>
      <c r="D1247" s="72"/>
      <c r="E1247" s="73"/>
      <c r="F1247" s="73"/>
    </row>
    <row r="1248" spans="1:6" x14ac:dyDescent="0.25">
      <c r="A1248">
        <f t="shared" si="38"/>
        <v>0</v>
      </c>
      <c r="B1248" s="3">
        <f t="shared" si="39"/>
        <v>0</v>
      </c>
      <c r="C1248" s="72"/>
      <c r="D1248" s="72"/>
      <c r="E1248" s="73"/>
      <c r="F1248" s="73"/>
    </row>
    <row r="1249" spans="1:6" x14ac:dyDescent="0.25">
      <c r="A1249">
        <f t="shared" si="38"/>
        <v>0</v>
      </c>
      <c r="B1249" s="3">
        <f t="shared" si="39"/>
        <v>0</v>
      </c>
      <c r="C1249" s="72"/>
      <c r="D1249" s="72"/>
      <c r="E1249" s="73"/>
      <c r="F1249" s="73"/>
    </row>
    <row r="1250" spans="1:6" x14ac:dyDescent="0.25">
      <c r="A1250">
        <f t="shared" si="38"/>
        <v>0</v>
      </c>
      <c r="B1250" s="3">
        <f t="shared" si="39"/>
        <v>0</v>
      </c>
      <c r="C1250" s="72"/>
      <c r="D1250" s="72"/>
      <c r="E1250" s="73"/>
      <c r="F1250" s="73"/>
    </row>
    <row r="1251" spans="1:6" x14ac:dyDescent="0.25">
      <c r="A1251">
        <f t="shared" si="38"/>
        <v>0</v>
      </c>
      <c r="B1251" s="3">
        <f t="shared" si="39"/>
        <v>0</v>
      </c>
      <c r="C1251" s="72"/>
      <c r="D1251" s="72"/>
      <c r="E1251" s="73"/>
      <c r="F1251" s="73"/>
    </row>
    <row r="1252" spans="1:6" x14ac:dyDescent="0.25">
      <c r="A1252">
        <f t="shared" si="38"/>
        <v>0</v>
      </c>
      <c r="B1252" s="3">
        <f t="shared" si="39"/>
        <v>0</v>
      </c>
      <c r="C1252" s="72"/>
      <c r="D1252" s="72"/>
      <c r="E1252" s="73"/>
      <c r="F1252" s="73"/>
    </row>
    <row r="1253" spans="1:6" x14ac:dyDescent="0.25">
      <c r="A1253">
        <f t="shared" si="38"/>
        <v>0</v>
      </c>
      <c r="B1253" s="3">
        <f t="shared" si="39"/>
        <v>0</v>
      </c>
      <c r="C1253" s="72"/>
      <c r="D1253" s="72"/>
      <c r="E1253" s="73"/>
      <c r="F1253" s="73"/>
    </row>
    <row r="1254" spans="1:6" x14ac:dyDescent="0.25">
      <c r="A1254">
        <f t="shared" si="38"/>
        <v>0</v>
      </c>
      <c r="B1254" s="3">
        <f t="shared" si="39"/>
        <v>0</v>
      </c>
      <c r="C1254" s="72"/>
      <c r="D1254" s="72"/>
      <c r="E1254" s="73"/>
      <c r="F1254" s="73"/>
    </row>
    <row r="1255" spans="1:6" x14ac:dyDescent="0.25">
      <c r="A1255">
        <f t="shared" si="38"/>
        <v>0</v>
      </c>
      <c r="B1255" s="3">
        <f t="shared" si="39"/>
        <v>0</v>
      </c>
      <c r="C1255" s="72"/>
      <c r="D1255" s="72"/>
      <c r="E1255" s="73"/>
      <c r="F1255" s="73"/>
    </row>
    <row r="1256" spans="1:6" x14ac:dyDescent="0.25">
      <c r="A1256">
        <f t="shared" si="38"/>
        <v>0</v>
      </c>
      <c r="B1256" s="3">
        <f t="shared" si="39"/>
        <v>0</v>
      </c>
      <c r="C1256" s="72"/>
      <c r="D1256" s="72"/>
      <c r="E1256" s="73"/>
      <c r="F1256" s="73"/>
    </row>
    <row r="1257" spans="1:6" x14ac:dyDescent="0.25">
      <c r="A1257">
        <f t="shared" si="38"/>
        <v>0</v>
      </c>
      <c r="B1257" s="3">
        <f t="shared" si="39"/>
        <v>0</v>
      </c>
      <c r="C1257" s="72"/>
      <c r="D1257" s="72"/>
      <c r="E1257" s="73"/>
      <c r="F1257" s="73"/>
    </row>
    <row r="1258" spans="1:6" x14ac:dyDescent="0.25">
      <c r="A1258">
        <f t="shared" si="38"/>
        <v>0</v>
      </c>
      <c r="B1258" s="3">
        <f t="shared" si="39"/>
        <v>0</v>
      </c>
      <c r="C1258" s="72"/>
      <c r="D1258" s="72"/>
      <c r="E1258" s="73"/>
      <c r="F1258" s="73"/>
    </row>
    <row r="1259" spans="1:6" x14ac:dyDescent="0.25">
      <c r="A1259">
        <f t="shared" si="38"/>
        <v>0</v>
      </c>
      <c r="B1259" s="3">
        <f t="shared" si="39"/>
        <v>0</v>
      </c>
      <c r="C1259" s="72"/>
      <c r="D1259" s="72"/>
      <c r="E1259" s="73"/>
      <c r="F1259" s="73"/>
    </row>
    <row r="1260" spans="1:6" x14ac:dyDescent="0.25">
      <c r="A1260">
        <f t="shared" si="38"/>
        <v>0</v>
      </c>
      <c r="B1260" s="3">
        <f t="shared" si="39"/>
        <v>0</v>
      </c>
      <c r="C1260" s="72"/>
      <c r="D1260" s="72"/>
      <c r="E1260" s="73"/>
      <c r="F1260" s="73"/>
    </row>
    <row r="1261" spans="1:6" x14ac:dyDescent="0.25">
      <c r="A1261">
        <f t="shared" si="38"/>
        <v>0</v>
      </c>
      <c r="B1261" s="3">
        <f t="shared" si="39"/>
        <v>0</v>
      </c>
      <c r="C1261" s="72"/>
      <c r="D1261" s="72"/>
      <c r="E1261" s="73"/>
      <c r="F1261" s="73"/>
    </row>
    <row r="1262" spans="1:6" x14ac:dyDescent="0.25">
      <c r="A1262">
        <f t="shared" si="38"/>
        <v>0</v>
      </c>
      <c r="B1262" s="3">
        <f t="shared" si="39"/>
        <v>0</v>
      </c>
      <c r="C1262" s="72"/>
      <c r="D1262" s="72"/>
      <c r="E1262" s="73"/>
      <c r="F1262" s="73"/>
    </row>
    <row r="1263" spans="1:6" x14ac:dyDescent="0.25">
      <c r="A1263">
        <f t="shared" si="38"/>
        <v>0</v>
      </c>
      <c r="B1263" s="3">
        <f t="shared" si="39"/>
        <v>0</v>
      </c>
      <c r="C1263" s="72"/>
      <c r="D1263" s="72"/>
      <c r="E1263" s="73"/>
      <c r="F1263" s="73"/>
    </row>
    <row r="1264" spans="1:6" x14ac:dyDescent="0.25">
      <c r="A1264">
        <f t="shared" si="38"/>
        <v>0</v>
      </c>
      <c r="B1264" s="3">
        <f t="shared" si="39"/>
        <v>0</v>
      </c>
      <c r="C1264" s="72"/>
      <c r="D1264" s="72"/>
      <c r="E1264" s="73"/>
      <c r="F1264" s="73"/>
    </row>
    <row r="1265" spans="1:6" x14ac:dyDescent="0.25">
      <c r="A1265">
        <f t="shared" si="38"/>
        <v>0</v>
      </c>
      <c r="B1265" s="3">
        <f t="shared" si="39"/>
        <v>0</v>
      </c>
      <c r="C1265" s="72"/>
      <c r="D1265" s="72"/>
      <c r="E1265" s="73"/>
      <c r="F1265" s="73"/>
    </row>
    <row r="1266" spans="1:6" x14ac:dyDescent="0.25">
      <c r="A1266">
        <f t="shared" si="38"/>
        <v>0</v>
      </c>
      <c r="B1266" s="3">
        <f t="shared" si="39"/>
        <v>0</v>
      </c>
      <c r="C1266" s="72"/>
      <c r="D1266" s="72"/>
      <c r="E1266" s="73"/>
      <c r="F1266" s="73"/>
    </row>
    <row r="1267" spans="1:6" x14ac:dyDescent="0.25">
      <c r="A1267">
        <f t="shared" si="38"/>
        <v>0</v>
      </c>
      <c r="B1267" s="3">
        <f t="shared" si="39"/>
        <v>0</v>
      </c>
      <c r="C1267" s="72"/>
      <c r="D1267" s="72"/>
      <c r="E1267" s="73"/>
      <c r="F1267" s="73"/>
    </row>
    <row r="1268" spans="1:6" x14ac:dyDescent="0.25">
      <c r="A1268">
        <f t="shared" si="38"/>
        <v>0</v>
      </c>
      <c r="B1268" s="3">
        <f t="shared" si="39"/>
        <v>0</v>
      </c>
      <c r="C1268" s="72"/>
      <c r="D1268" s="72"/>
      <c r="E1268" s="73"/>
      <c r="F1268" s="73"/>
    </row>
    <row r="1269" spans="1:6" x14ac:dyDescent="0.25">
      <c r="A1269">
        <f t="shared" si="38"/>
        <v>0</v>
      </c>
      <c r="B1269" s="3">
        <f t="shared" si="39"/>
        <v>0</v>
      </c>
      <c r="C1269" s="72"/>
      <c r="D1269" s="72"/>
      <c r="E1269" s="73"/>
      <c r="F1269" s="73"/>
    </row>
    <row r="1270" spans="1:6" x14ac:dyDescent="0.25">
      <c r="A1270">
        <f t="shared" si="38"/>
        <v>0</v>
      </c>
      <c r="B1270" s="3">
        <f t="shared" si="39"/>
        <v>0</v>
      </c>
      <c r="C1270" s="72"/>
      <c r="D1270" s="72"/>
      <c r="E1270" s="73"/>
      <c r="F1270" s="73"/>
    </row>
    <row r="1271" spans="1:6" x14ac:dyDescent="0.25">
      <c r="A1271">
        <f t="shared" si="38"/>
        <v>0</v>
      </c>
      <c r="B1271" s="3">
        <f t="shared" si="39"/>
        <v>0</v>
      </c>
      <c r="C1271" s="72"/>
      <c r="D1271" s="72"/>
      <c r="E1271" s="73"/>
      <c r="F1271" s="73"/>
    </row>
    <row r="1272" spans="1:6" x14ac:dyDescent="0.25">
      <c r="A1272">
        <f t="shared" si="38"/>
        <v>0</v>
      </c>
      <c r="B1272" s="3">
        <f t="shared" si="39"/>
        <v>0</v>
      </c>
      <c r="C1272" s="72"/>
      <c r="D1272" s="72"/>
      <c r="E1272" s="73"/>
      <c r="F1272" s="73"/>
    </row>
    <row r="1273" spans="1:6" x14ac:dyDescent="0.25">
      <c r="A1273">
        <f t="shared" si="38"/>
        <v>0</v>
      </c>
      <c r="B1273" s="3">
        <f t="shared" si="39"/>
        <v>0</v>
      </c>
      <c r="C1273" s="72"/>
      <c r="D1273" s="72"/>
      <c r="E1273" s="73"/>
      <c r="F1273" s="73"/>
    </row>
    <row r="1274" spans="1:6" x14ac:dyDescent="0.25">
      <c r="A1274">
        <f t="shared" si="38"/>
        <v>0</v>
      </c>
      <c r="B1274" s="3">
        <f t="shared" si="39"/>
        <v>0</v>
      </c>
      <c r="C1274" s="72"/>
      <c r="D1274" s="72"/>
      <c r="E1274" s="73"/>
      <c r="F1274" s="73"/>
    </row>
    <row r="1275" spans="1:6" x14ac:dyDescent="0.25">
      <c r="A1275">
        <f t="shared" si="38"/>
        <v>0</v>
      </c>
      <c r="B1275" s="3">
        <f t="shared" si="39"/>
        <v>0</v>
      </c>
      <c r="C1275" s="72"/>
      <c r="D1275" s="72"/>
      <c r="E1275" s="73"/>
      <c r="F1275" s="73"/>
    </row>
    <row r="1276" spans="1:6" x14ac:dyDescent="0.25">
      <c r="A1276">
        <f t="shared" si="38"/>
        <v>0</v>
      </c>
      <c r="B1276" s="3">
        <f t="shared" si="39"/>
        <v>0</v>
      </c>
      <c r="C1276" s="72"/>
      <c r="D1276" s="72"/>
      <c r="E1276" s="73"/>
      <c r="F1276" s="73"/>
    </row>
    <row r="1277" spans="1:6" x14ac:dyDescent="0.25">
      <c r="A1277">
        <f t="shared" si="38"/>
        <v>0</v>
      </c>
      <c r="B1277" s="3">
        <f t="shared" si="39"/>
        <v>0</v>
      </c>
      <c r="C1277" s="72"/>
      <c r="D1277" s="72"/>
      <c r="E1277" s="73"/>
      <c r="F1277" s="73"/>
    </row>
    <row r="1278" spans="1:6" x14ac:dyDescent="0.25">
      <c r="A1278">
        <f t="shared" si="38"/>
        <v>0</v>
      </c>
      <c r="B1278" s="3">
        <f t="shared" si="39"/>
        <v>0</v>
      </c>
      <c r="C1278" s="72"/>
      <c r="D1278" s="72"/>
      <c r="E1278" s="73"/>
      <c r="F1278" s="73"/>
    </row>
    <row r="1279" spans="1:6" x14ac:dyDescent="0.25">
      <c r="A1279">
        <f t="shared" si="38"/>
        <v>0</v>
      </c>
      <c r="B1279" s="3">
        <f t="shared" si="39"/>
        <v>0</v>
      </c>
      <c r="C1279" s="72"/>
      <c r="D1279" s="72"/>
      <c r="E1279" s="73"/>
      <c r="F1279" s="73"/>
    </row>
    <row r="1280" spans="1:6" x14ac:dyDescent="0.25">
      <c r="A1280">
        <f t="shared" si="38"/>
        <v>0</v>
      </c>
      <c r="B1280" s="3">
        <f t="shared" si="39"/>
        <v>0</v>
      </c>
      <c r="C1280" s="72"/>
      <c r="D1280" s="72"/>
      <c r="E1280" s="73"/>
      <c r="F1280" s="73"/>
    </row>
    <row r="1281" spans="1:6" x14ac:dyDescent="0.25">
      <c r="A1281">
        <f t="shared" si="38"/>
        <v>0</v>
      </c>
      <c r="B1281" s="3">
        <f t="shared" si="39"/>
        <v>0</v>
      </c>
      <c r="C1281" s="72"/>
      <c r="D1281" s="72"/>
      <c r="E1281" s="73"/>
      <c r="F1281" s="73"/>
    </row>
    <row r="1282" spans="1:6" x14ac:dyDescent="0.25">
      <c r="A1282">
        <f t="shared" si="38"/>
        <v>0</v>
      </c>
      <c r="B1282" s="3">
        <f t="shared" si="39"/>
        <v>0</v>
      </c>
      <c r="C1282" s="72"/>
      <c r="D1282" s="72"/>
      <c r="E1282" s="73"/>
      <c r="F1282" s="73"/>
    </row>
    <row r="1283" spans="1:6" x14ac:dyDescent="0.25">
      <c r="A1283">
        <f t="shared" si="38"/>
        <v>0</v>
      </c>
      <c r="B1283" s="3">
        <f t="shared" si="39"/>
        <v>0</v>
      </c>
      <c r="C1283" s="72"/>
      <c r="D1283" s="72"/>
      <c r="E1283" s="73"/>
      <c r="F1283" s="73"/>
    </row>
    <row r="1284" spans="1:6" x14ac:dyDescent="0.25">
      <c r="A1284">
        <f t="shared" si="38"/>
        <v>0</v>
      </c>
      <c r="B1284" s="3">
        <f t="shared" si="39"/>
        <v>0</v>
      </c>
      <c r="C1284" s="72"/>
      <c r="D1284" s="72"/>
      <c r="E1284" s="73"/>
      <c r="F1284" s="73"/>
    </row>
    <row r="1285" spans="1:6" x14ac:dyDescent="0.25">
      <c r="A1285">
        <f t="shared" si="38"/>
        <v>0</v>
      </c>
      <c r="B1285" s="3">
        <f t="shared" si="39"/>
        <v>0</v>
      </c>
      <c r="C1285" s="72"/>
      <c r="D1285" s="72"/>
      <c r="E1285" s="73"/>
      <c r="F1285" s="73"/>
    </row>
    <row r="1286" spans="1:6" x14ac:dyDescent="0.25">
      <c r="A1286">
        <f t="shared" si="38"/>
        <v>0</v>
      </c>
      <c r="B1286" s="3">
        <f t="shared" si="39"/>
        <v>0</v>
      </c>
      <c r="C1286" s="72"/>
      <c r="D1286" s="72"/>
      <c r="E1286" s="73"/>
      <c r="F1286" s="73"/>
    </row>
    <row r="1287" spans="1:6" x14ac:dyDescent="0.25">
      <c r="A1287">
        <f t="shared" ref="A1287:A1350" si="40">IF(ISNUMBER(C1287),C1287*F1287,)</f>
        <v>0</v>
      </c>
      <c r="B1287" s="3">
        <f t="shared" ref="B1287:B1350" si="41">IF(C1287&lt;&gt;"",1,0)</f>
        <v>0</v>
      </c>
      <c r="C1287" s="72"/>
      <c r="D1287" s="72"/>
      <c r="E1287" s="73"/>
      <c r="F1287" s="73"/>
    </row>
    <row r="1288" spans="1:6" x14ac:dyDescent="0.25">
      <c r="A1288">
        <f t="shared" si="40"/>
        <v>0</v>
      </c>
      <c r="B1288" s="3">
        <f t="shared" si="41"/>
        <v>0</v>
      </c>
      <c r="C1288" s="72"/>
      <c r="D1288" s="72"/>
      <c r="E1288" s="73"/>
      <c r="F1288" s="73"/>
    </row>
    <row r="1289" spans="1:6" x14ac:dyDescent="0.25">
      <c r="A1289">
        <f t="shared" si="40"/>
        <v>0</v>
      </c>
      <c r="B1289" s="3">
        <f t="shared" si="41"/>
        <v>0</v>
      </c>
      <c r="C1289" s="72"/>
      <c r="D1289" s="72"/>
      <c r="E1289" s="73"/>
      <c r="F1289" s="73"/>
    </row>
    <row r="1290" spans="1:6" x14ac:dyDescent="0.25">
      <c r="A1290">
        <f t="shared" si="40"/>
        <v>0</v>
      </c>
      <c r="B1290" s="3">
        <f t="shared" si="41"/>
        <v>0</v>
      </c>
      <c r="C1290" s="72"/>
      <c r="D1290" s="72"/>
      <c r="E1290" s="73"/>
      <c r="F1290" s="73"/>
    </row>
    <row r="1291" spans="1:6" x14ac:dyDescent="0.25">
      <c r="A1291">
        <f t="shared" si="40"/>
        <v>0</v>
      </c>
      <c r="B1291" s="3">
        <f t="shared" si="41"/>
        <v>0</v>
      </c>
      <c r="C1291" s="72"/>
      <c r="D1291" s="72"/>
      <c r="E1291" s="73"/>
      <c r="F1291" s="73"/>
    </row>
    <row r="1292" spans="1:6" x14ac:dyDescent="0.25">
      <c r="A1292">
        <f t="shared" si="40"/>
        <v>0</v>
      </c>
      <c r="B1292" s="3">
        <f t="shared" si="41"/>
        <v>0</v>
      </c>
      <c r="C1292" s="72"/>
      <c r="D1292" s="72"/>
      <c r="E1292" s="73"/>
      <c r="F1292" s="73"/>
    </row>
    <row r="1293" spans="1:6" x14ac:dyDescent="0.25">
      <c r="A1293">
        <f t="shared" si="40"/>
        <v>0</v>
      </c>
      <c r="B1293" s="3">
        <f t="shared" si="41"/>
        <v>0</v>
      </c>
      <c r="C1293" s="72"/>
      <c r="D1293" s="72"/>
      <c r="E1293" s="73"/>
      <c r="F1293" s="73"/>
    </row>
    <row r="1294" spans="1:6" x14ac:dyDescent="0.25">
      <c r="A1294">
        <f t="shared" si="40"/>
        <v>0</v>
      </c>
      <c r="B1294" s="3">
        <f t="shared" si="41"/>
        <v>0</v>
      </c>
      <c r="C1294" s="72"/>
      <c r="D1294" s="72"/>
      <c r="E1294" s="73"/>
      <c r="F1294" s="73"/>
    </row>
    <row r="1295" spans="1:6" x14ac:dyDescent="0.25">
      <c r="A1295">
        <f t="shared" si="40"/>
        <v>0</v>
      </c>
      <c r="B1295" s="3">
        <f t="shared" si="41"/>
        <v>0</v>
      </c>
      <c r="C1295" s="72"/>
      <c r="D1295" s="72"/>
      <c r="E1295" s="73"/>
      <c r="F1295" s="73"/>
    </row>
    <row r="1296" spans="1:6" x14ac:dyDescent="0.25">
      <c r="A1296">
        <f t="shared" si="40"/>
        <v>0</v>
      </c>
      <c r="B1296" s="3">
        <f t="shared" si="41"/>
        <v>0</v>
      </c>
      <c r="C1296" s="72"/>
      <c r="D1296" s="72"/>
      <c r="E1296" s="73"/>
      <c r="F1296" s="73"/>
    </row>
    <row r="1297" spans="1:6" x14ac:dyDescent="0.25">
      <c r="A1297">
        <f t="shared" si="40"/>
        <v>0</v>
      </c>
      <c r="B1297" s="3">
        <f t="shared" si="41"/>
        <v>0</v>
      </c>
      <c r="C1297" s="72"/>
      <c r="D1297" s="72"/>
      <c r="E1297" s="73"/>
      <c r="F1297" s="73"/>
    </row>
    <row r="1298" spans="1:6" x14ac:dyDescent="0.25">
      <c r="A1298">
        <f t="shared" si="40"/>
        <v>0</v>
      </c>
      <c r="B1298" s="3">
        <f t="shared" si="41"/>
        <v>0</v>
      </c>
      <c r="C1298" s="72"/>
      <c r="D1298" s="72"/>
      <c r="E1298" s="73"/>
      <c r="F1298" s="73"/>
    </row>
    <row r="1299" spans="1:6" x14ac:dyDescent="0.25">
      <c r="A1299">
        <f t="shared" si="40"/>
        <v>0</v>
      </c>
      <c r="B1299" s="3">
        <f t="shared" si="41"/>
        <v>0</v>
      </c>
      <c r="C1299" s="72"/>
      <c r="D1299" s="72"/>
      <c r="E1299" s="73"/>
      <c r="F1299" s="73"/>
    </row>
    <row r="1300" spans="1:6" x14ac:dyDescent="0.25">
      <c r="A1300">
        <f t="shared" si="40"/>
        <v>0</v>
      </c>
      <c r="B1300" s="3">
        <f t="shared" si="41"/>
        <v>0</v>
      </c>
      <c r="C1300" s="72"/>
      <c r="D1300" s="72"/>
      <c r="E1300" s="73"/>
      <c r="F1300" s="73"/>
    </row>
    <row r="1301" spans="1:6" x14ac:dyDescent="0.25">
      <c r="A1301">
        <f t="shared" si="40"/>
        <v>0</v>
      </c>
      <c r="B1301" s="3">
        <f t="shared" si="41"/>
        <v>0</v>
      </c>
      <c r="C1301" s="72"/>
      <c r="D1301" s="72"/>
      <c r="E1301" s="73"/>
      <c r="F1301" s="73"/>
    </row>
    <row r="1302" spans="1:6" x14ac:dyDescent="0.25">
      <c r="A1302">
        <f t="shared" si="40"/>
        <v>0</v>
      </c>
      <c r="B1302" s="3">
        <f t="shared" si="41"/>
        <v>0</v>
      </c>
      <c r="C1302" s="72"/>
      <c r="D1302" s="72"/>
      <c r="E1302" s="73"/>
      <c r="F1302" s="73"/>
    </row>
    <row r="1303" spans="1:6" x14ac:dyDescent="0.25">
      <c r="A1303">
        <f t="shared" si="40"/>
        <v>0</v>
      </c>
      <c r="B1303" s="3">
        <f t="shared" si="41"/>
        <v>0</v>
      </c>
      <c r="C1303" s="72"/>
      <c r="D1303" s="72"/>
      <c r="E1303" s="73"/>
      <c r="F1303" s="73"/>
    </row>
    <row r="1304" spans="1:6" x14ac:dyDescent="0.25">
      <c r="A1304">
        <f t="shared" si="40"/>
        <v>0</v>
      </c>
      <c r="B1304" s="3">
        <f t="shared" si="41"/>
        <v>0</v>
      </c>
      <c r="C1304" s="72"/>
      <c r="D1304" s="72"/>
      <c r="E1304" s="73"/>
      <c r="F1304" s="73"/>
    </row>
    <row r="1305" spans="1:6" x14ac:dyDescent="0.25">
      <c r="A1305">
        <f t="shared" si="40"/>
        <v>0</v>
      </c>
      <c r="B1305" s="3">
        <f t="shared" si="41"/>
        <v>0</v>
      </c>
      <c r="C1305" s="72"/>
      <c r="D1305" s="72"/>
      <c r="E1305" s="73"/>
      <c r="F1305" s="73"/>
    </row>
    <row r="1306" spans="1:6" x14ac:dyDescent="0.25">
      <c r="A1306">
        <f t="shared" si="40"/>
        <v>0</v>
      </c>
      <c r="B1306" s="3">
        <f t="shared" si="41"/>
        <v>0</v>
      </c>
      <c r="C1306" s="72"/>
      <c r="D1306" s="72"/>
      <c r="E1306" s="73"/>
      <c r="F1306" s="73"/>
    </row>
    <row r="1307" spans="1:6" x14ac:dyDescent="0.25">
      <c r="A1307">
        <f t="shared" si="40"/>
        <v>0</v>
      </c>
      <c r="B1307" s="3">
        <f t="shared" si="41"/>
        <v>0</v>
      </c>
      <c r="C1307" s="72"/>
      <c r="D1307" s="72"/>
      <c r="E1307" s="73"/>
      <c r="F1307" s="73"/>
    </row>
    <row r="1308" spans="1:6" x14ac:dyDescent="0.25">
      <c r="A1308">
        <f t="shared" si="40"/>
        <v>0</v>
      </c>
      <c r="B1308" s="3">
        <f t="shared" si="41"/>
        <v>0</v>
      </c>
      <c r="C1308" s="72"/>
      <c r="D1308" s="72"/>
      <c r="E1308" s="73"/>
      <c r="F1308" s="73"/>
    </row>
    <row r="1309" spans="1:6" x14ac:dyDescent="0.25">
      <c r="A1309">
        <f t="shared" si="40"/>
        <v>0</v>
      </c>
      <c r="B1309" s="3">
        <f t="shared" si="41"/>
        <v>0</v>
      </c>
      <c r="C1309" s="72"/>
      <c r="D1309" s="72"/>
      <c r="E1309" s="73"/>
      <c r="F1309" s="73"/>
    </row>
    <row r="1310" spans="1:6" x14ac:dyDescent="0.25">
      <c r="A1310">
        <f t="shared" si="40"/>
        <v>0</v>
      </c>
      <c r="B1310" s="3">
        <f t="shared" si="41"/>
        <v>0</v>
      </c>
      <c r="C1310" s="72"/>
      <c r="D1310" s="72"/>
      <c r="E1310" s="73"/>
      <c r="F1310" s="73"/>
    </row>
    <row r="1311" spans="1:6" x14ac:dyDescent="0.25">
      <c r="A1311">
        <f t="shared" si="40"/>
        <v>0</v>
      </c>
      <c r="B1311" s="3">
        <f t="shared" si="41"/>
        <v>0</v>
      </c>
      <c r="C1311" s="72"/>
      <c r="D1311" s="72"/>
      <c r="E1311" s="73"/>
      <c r="F1311" s="73"/>
    </row>
    <row r="1312" spans="1:6" x14ac:dyDescent="0.25">
      <c r="A1312">
        <f t="shared" si="40"/>
        <v>0</v>
      </c>
      <c r="B1312" s="3">
        <f t="shared" si="41"/>
        <v>0</v>
      </c>
      <c r="C1312" s="72"/>
      <c r="D1312" s="72"/>
      <c r="E1312" s="73"/>
      <c r="F1312" s="73"/>
    </row>
    <row r="1313" spans="1:6" x14ac:dyDescent="0.25">
      <c r="A1313">
        <f t="shared" si="40"/>
        <v>0</v>
      </c>
      <c r="B1313" s="3">
        <f t="shared" si="41"/>
        <v>0</v>
      </c>
      <c r="C1313" s="72"/>
      <c r="D1313" s="72"/>
      <c r="E1313" s="73"/>
      <c r="F1313" s="73"/>
    </row>
    <row r="1314" spans="1:6" x14ac:dyDescent="0.25">
      <c r="A1314">
        <f t="shared" si="40"/>
        <v>0</v>
      </c>
      <c r="B1314" s="3">
        <f t="shared" si="41"/>
        <v>0</v>
      </c>
      <c r="C1314" s="72"/>
      <c r="D1314" s="72"/>
      <c r="E1314" s="73"/>
      <c r="F1314" s="73"/>
    </row>
    <row r="1315" spans="1:6" x14ac:dyDescent="0.25">
      <c r="A1315">
        <f t="shared" si="40"/>
        <v>0</v>
      </c>
      <c r="B1315" s="3">
        <f t="shared" si="41"/>
        <v>0</v>
      </c>
      <c r="C1315" s="72"/>
      <c r="D1315" s="72"/>
      <c r="E1315" s="73"/>
      <c r="F1315" s="73"/>
    </row>
    <row r="1316" spans="1:6" x14ac:dyDescent="0.25">
      <c r="A1316">
        <f t="shared" si="40"/>
        <v>0</v>
      </c>
      <c r="B1316" s="3">
        <f t="shared" si="41"/>
        <v>0</v>
      </c>
      <c r="C1316" s="72"/>
      <c r="D1316" s="72"/>
      <c r="E1316" s="73"/>
      <c r="F1316" s="73"/>
    </row>
    <row r="1317" spans="1:6" x14ac:dyDescent="0.25">
      <c r="A1317">
        <f t="shared" si="40"/>
        <v>0</v>
      </c>
      <c r="B1317" s="3">
        <f t="shared" si="41"/>
        <v>0</v>
      </c>
      <c r="C1317" s="72"/>
      <c r="D1317" s="72"/>
      <c r="E1317" s="73"/>
      <c r="F1317" s="73"/>
    </row>
    <row r="1318" spans="1:6" x14ac:dyDescent="0.25">
      <c r="A1318">
        <f t="shared" si="40"/>
        <v>0</v>
      </c>
      <c r="B1318" s="3">
        <f t="shared" si="41"/>
        <v>0</v>
      </c>
      <c r="C1318" s="72"/>
      <c r="D1318" s="72"/>
      <c r="E1318" s="73"/>
      <c r="F1318" s="73"/>
    </row>
    <row r="1319" spans="1:6" x14ac:dyDescent="0.25">
      <c r="A1319">
        <f t="shared" si="40"/>
        <v>0</v>
      </c>
      <c r="B1319" s="3">
        <f t="shared" si="41"/>
        <v>0</v>
      </c>
      <c r="C1319" s="72"/>
      <c r="D1319" s="72"/>
      <c r="E1319" s="73"/>
      <c r="F1319" s="73"/>
    </row>
    <row r="1320" spans="1:6" x14ac:dyDescent="0.25">
      <c r="A1320">
        <f t="shared" si="40"/>
        <v>0</v>
      </c>
      <c r="B1320" s="3">
        <f t="shared" si="41"/>
        <v>0</v>
      </c>
      <c r="C1320" s="72"/>
      <c r="D1320" s="72"/>
      <c r="E1320" s="73"/>
      <c r="F1320" s="73"/>
    </row>
    <row r="1321" spans="1:6" x14ac:dyDescent="0.25">
      <c r="A1321">
        <f t="shared" si="40"/>
        <v>0</v>
      </c>
      <c r="B1321" s="3">
        <f t="shared" si="41"/>
        <v>0</v>
      </c>
      <c r="C1321" s="72"/>
      <c r="D1321" s="72"/>
      <c r="E1321" s="73"/>
      <c r="F1321" s="73"/>
    </row>
    <row r="1322" spans="1:6" x14ac:dyDescent="0.25">
      <c r="A1322">
        <f t="shared" si="40"/>
        <v>0</v>
      </c>
      <c r="B1322" s="3">
        <f t="shared" si="41"/>
        <v>0</v>
      </c>
      <c r="C1322" s="72"/>
      <c r="D1322" s="72"/>
      <c r="E1322" s="73"/>
      <c r="F1322" s="73"/>
    </row>
    <row r="1323" spans="1:6" x14ac:dyDescent="0.25">
      <c r="A1323">
        <f t="shared" si="40"/>
        <v>0</v>
      </c>
      <c r="B1323" s="3">
        <f t="shared" si="41"/>
        <v>0</v>
      </c>
      <c r="C1323" s="72"/>
      <c r="D1323" s="72"/>
      <c r="E1323" s="73"/>
      <c r="F1323" s="73"/>
    </row>
    <row r="1324" spans="1:6" x14ac:dyDescent="0.25">
      <c r="A1324">
        <f t="shared" si="40"/>
        <v>0</v>
      </c>
      <c r="B1324" s="3">
        <f t="shared" si="41"/>
        <v>0</v>
      </c>
      <c r="C1324" s="72"/>
      <c r="D1324" s="72"/>
      <c r="E1324" s="73"/>
      <c r="F1324" s="73"/>
    </row>
    <row r="1325" spans="1:6" x14ac:dyDescent="0.25">
      <c r="A1325">
        <f t="shared" si="40"/>
        <v>0</v>
      </c>
      <c r="B1325" s="3">
        <f t="shared" si="41"/>
        <v>0</v>
      </c>
      <c r="C1325" s="72"/>
      <c r="D1325" s="72"/>
      <c r="E1325" s="73"/>
      <c r="F1325" s="73"/>
    </row>
    <row r="1326" spans="1:6" x14ac:dyDescent="0.25">
      <c r="A1326">
        <f t="shared" si="40"/>
        <v>0</v>
      </c>
      <c r="B1326" s="3">
        <f t="shared" si="41"/>
        <v>0</v>
      </c>
      <c r="C1326" s="72"/>
      <c r="D1326" s="72"/>
      <c r="E1326" s="73"/>
      <c r="F1326" s="73"/>
    </row>
    <row r="1327" spans="1:6" x14ac:dyDescent="0.25">
      <c r="A1327">
        <f t="shared" si="40"/>
        <v>0</v>
      </c>
      <c r="B1327" s="3">
        <f t="shared" si="41"/>
        <v>0</v>
      </c>
      <c r="C1327" s="72"/>
      <c r="D1327" s="72"/>
      <c r="E1327" s="73"/>
      <c r="F1327" s="73"/>
    </row>
    <row r="1328" spans="1:6" x14ac:dyDescent="0.25">
      <c r="A1328">
        <f t="shared" si="40"/>
        <v>0</v>
      </c>
      <c r="B1328" s="3">
        <f t="shared" si="41"/>
        <v>0</v>
      </c>
      <c r="C1328" s="72"/>
      <c r="D1328" s="72"/>
      <c r="E1328" s="73"/>
      <c r="F1328" s="73"/>
    </row>
    <row r="1329" spans="1:6" x14ac:dyDescent="0.25">
      <c r="A1329">
        <f t="shared" si="40"/>
        <v>0</v>
      </c>
      <c r="B1329" s="3">
        <f t="shared" si="41"/>
        <v>0</v>
      </c>
      <c r="C1329" s="72"/>
      <c r="D1329" s="72"/>
      <c r="E1329" s="73"/>
      <c r="F1329" s="73"/>
    </row>
    <row r="1330" spans="1:6" x14ac:dyDescent="0.25">
      <c r="A1330">
        <f t="shared" si="40"/>
        <v>0</v>
      </c>
      <c r="B1330" s="3">
        <f t="shared" si="41"/>
        <v>0</v>
      </c>
      <c r="C1330" s="72"/>
      <c r="D1330" s="72"/>
      <c r="E1330" s="73"/>
      <c r="F1330" s="73"/>
    </row>
    <row r="1331" spans="1:6" x14ac:dyDescent="0.25">
      <c r="A1331">
        <f t="shared" si="40"/>
        <v>0</v>
      </c>
      <c r="B1331" s="3">
        <f t="shared" si="41"/>
        <v>0</v>
      </c>
      <c r="C1331" s="72"/>
      <c r="D1331" s="72"/>
      <c r="E1331" s="73"/>
      <c r="F1331" s="73"/>
    </row>
    <row r="1332" spans="1:6" x14ac:dyDescent="0.25">
      <c r="A1332">
        <f t="shared" si="40"/>
        <v>0</v>
      </c>
      <c r="B1332" s="3">
        <f t="shared" si="41"/>
        <v>0</v>
      </c>
      <c r="C1332" s="72"/>
      <c r="D1332" s="72"/>
      <c r="E1332" s="73"/>
      <c r="F1332" s="73"/>
    </row>
    <row r="1333" spans="1:6" x14ac:dyDescent="0.25">
      <c r="A1333">
        <f t="shared" si="40"/>
        <v>0</v>
      </c>
      <c r="B1333" s="3">
        <f t="shared" si="41"/>
        <v>0</v>
      </c>
      <c r="C1333" s="72"/>
      <c r="D1333" s="72"/>
      <c r="E1333" s="73"/>
      <c r="F1333" s="73"/>
    </row>
    <row r="1334" spans="1:6" x14ac:dyDescent="0.25">
      <c r="A1334">
        <f t="shared" si="40"/>
        <v>0</v>
      </c>
      <c r="B1334" s="3">
        <f t="shared" si="41"/>
        <v>0</v>
      </c>
      <c r="C1334" s="72"/>
      <c r="D1334" s="72"/>
      <c r="E1334" s="73"/>
      <c r="F1334" s="73"/>
    </row>
    <row r="1335" spans="1:6" x14ac:dyDescent="0.25">
      <c r="A1335">
        <f t="shared" si="40"/>
        <v>0</v>
      </c>
      <c r="B1335" s="3">
        <f t="shared" si="41"/>
        <v>0</v>
      </c>
      <c r="C1335" s="72"/>
      <c r="D1335" s="72"/>
      <c r="E1335" s="73"/>
      <c r="F1335" s="73"/>
    </row>
    <row r="1336" spans="1:6" x14ac:dyDescent="0.25">
      <c r="A1336">
        <f t="shared" si="40"/>
        <v>0</v>
      </c>
      <c r="B1336" s="3">
        <f t="shared" si="41"/>
        <v>0</v>
      </c>
      <c r="C1336" s="72"/>
      <c r="D1336" s="72"/>
      <c r="E1336" s="73"/>
      <c r="F1336" s="73"/>
    </row>
    <row r="1337" spans="1:6" x14ac:dyDescent="0.25">
      <c r="A1337">
        <f t="shared" si="40"/>
        <v>0</v>
      </c>
      <c r="B1337" s="3">
        <f t="shared" si="41"/>
        <v>0</v>
      </c>
      <c r="C1337" s="72"/>
      <c r="D1337" s="72"/>
      <c r="E1337" s="73"/>
      <c r="F1337" s="73"/>
    </row>
    <row r="1338" spans="1:6" x14ac:dyDescent="0.25">
      <c r="A1338">
        <f t="shared" si="40"/>
        <v>0</v>
      </c>
      <c r="B1338" s="3">
        <f t="shared" si="41"/>
        <v>0</v>
      </c>
      <c r="C1338" s="72"/>
      <c r="D1338" s="72"/>
      <c r="E1338" s="73"/>
      <c r="F1338" s="73"/>
    </row>
    <row r="1339" spans="1:6" x14ac:dyDescent="0.25">
      <c r="A1339">
        <f t="shared" si="40"/>
        <v>0</v>
      </c>
      <c r="B1339" s="3">
        <f t="shared" si="41"/>
        <v>0</v>
      </c>
      <c r="C1339" s="72"/>
      <c r="D1339" s="72"/>
      <c r="E1339" s="73"/>
      <c r="F1339" s="73"/>
    </row>
    <row r="1340" spans="1:6" x14ac:dyDescent="0.25">
      <c r="A1340">
        <f t="shared" si="40"/>
        <v>0</v>
      </c>
      <c r="B1340" s="3">
        <f t="shared" si="41"/>
        <v>0</v>
      </c>
      <c r="C1340" s="72"/>
      <c r="D1340" s="72"/>
      <c r="E1340" s="73"/>
      <c r="F1340" s="73"/>
    </row>
    <row r="1341" spans="1:6" x14ac:dyDescent="0.25">
      <c r="A1341">
        <f t="shared" si="40"/>
        <v>0</v>
      </c>
      <c r="B1341" s="3">
        <f t="shared" si="41"/>
        <v>0</v>
      </c>
      <c r="C1341" s="72"/>
      <c r="D1341" s="72"/>
      <c r="E1341" s="73"/>
      <c r="F1341" s="73"/>
    </row>
    <row r="1342" spans="1:6" x14ac:dyDescent="0.25">
      <c r="A1342">
        <f t="shared" si="40"/>
        <v>0</v>
      </c>
      <c r="B1342" s="3">
        <f t="shared" si="41"/>
        <v>0</v>
      </c>
      <c r="C1342" s="72"/>
      <c r="D1342" s="72"/>
      <c r="E1342" s="73"/>
      <c r="F1342" s="73"/>
    </row>
    <row r="1343" spans="1:6" x14ac:dyDescent="0.25">
      <c r="A1343">
        <f t="shared" si="40"/>
        <v>0</v>
      </c>
      <c r="B1343" s="3">
        <f t="shared" si="41"/>
        <v>0</v>
      </c>
      <c r="C1343" s="72"/>
      <c r="D1343" s="72"/>
      <c r="E1343" s="73"/>
      <c r="F1343" s="73"/>
    </row>
    <row r="1344" spans="1:6" x14ac:dyDescent="0.25">
      <c r="A1344">
        <f t="shared" si="40"/>
        <v>0</v>
      </c>
      <c r="B1344" s="3">
        <f t="shared" si="41"/>
        <v>0</v>
      </c>
      <c r="C1344" s="72"/>
      <c r="D1344" s="72"/>
      <c r="E1344" s="73"/>
      <c r="F1344" s="73"/>
    </row>
    <row r="1345" spans="1:6" x14ac:dyDescent="0.25">
      <c r="A1345">
        <f t="shared" si="40"/>
        <v>0</v>
      </c>
      <c r="B1345" s="3">
        <f t="shared" si="41"/>
        <v>0</v>
      </c>
      <c r="C1345" s="72"/>
      <c r="D1345" s="72"/>
      <c r="E1345" s="73"/>
      <c r="F1345" s="73"/>
    </row>
    <row r="1346" spans="1:6" x14ac:dyDescent="0.25">
      <c r="A1346">
        <f t="shared" si="40"/>
        <v>0</v>
      </c>
      <c r="B1346" s="3">
        <f t="shared" si="41"/>
        <v>0</v>
      </c>
      <c r="C1346" s="72"/>
      <c r="D1346" s="72"/>
      <c r="E1346" s="73"/>
      <c r="F1346" s="73"/>
    </row>
    <row r="1347" spans="1:6" x14ac:dyDescent="0.25">
      <c r="A1347">
        <f t="shared" si="40"/>
        <v>0</v>
      </c>
      <c r="B1347" s="3">
        <f t="shared" si="41"/>
        <v>0</v>
      </c>
      <c r="C1347" s="72"/>
      <c r="D1347" s="72"/>
      <c r="E1347" s="73"/>
      <c r="F1347" s="73"/>
    </row>
    <row r="1348" spans="1:6" x14ac:dyDescent="0.25">
      <c r="A1348">
        <f t="shared" si="40"/>
        <v>0</v>
      </c>
      <c r="B1348" s="3">
        <f t="shared" si="41"/>
        <v>0</v>
      </c>
      <c r="C1348" s="72"/>
      <c r="D1348" s="72"/>
      <c r="E1348" s="73"/>
      <c r="F1348" s="73"/>
    </row>
    <row r="1349" spans="1:6" x14ac:dyDescent="0.25">
      <c r="A1349">
        <f t="shared" si="40"/>
        <v>0</v>
      </c>
      <c r="B1349" s="3">
        <f t="shared" si="41"/>
        <v>0</v>
      </c>
      <c r="C1349" s="72"/>
      <c r="D1349" s="72"/>
      <c r="E1349" s="73"/>
      <c r="F1349" s="73"/>
    </row>
    <row r="1350" spans="1:6" x14ac:dyDescent="0.25">
      <c r="A1350">
        <f t="shared" si="40"/>
        <v>0</v>
      </c>
      <c r="B1350" s="3">
        <f t="shared" si="41"/>
        <v>0</v>
      </c>
      <c r="C1350" s="72"/>
      <c r="D1350" s="72"/>
      <c r="E1350" s="73"/>
      <c r="F1350" s="73"/>
    </row>
    <row r="1351" spans="1:6" x14ac:dyDescent="0.25">
      <c r="A1351">
        <f t="shared" ref="A1351:A1414" si="42">IF(ISNUMBER(C1351),C1351*F1351,)</f>
        <v>0</v>
      </c>
      <c r="B1351" s="3">
        <f t="shared" ref="B1351:B1414" si="43">IF(C1351&lt;&gt;"",1,0)</f>
        <v>0</v>
      </c>
      <c r="C1351" s="72"/>
      <c r="D1351" s="72"/>
      <c r="E1351" s="73"/>
      <c r="F1351" s="73"/>
    </row>
    <row r="1352" spans="1:6" x14ac:dyDescent="0.25">
      <c r="A1352">
        <f t="shared" si="42"/>
        <v>0</v>
      </c>
      <c r="B1352" s="3">
        <f t="shared" si="43"/>
        <v>0</v>
      </c>
      <c r="C1352" s="72"/>
      <c r="D1352" s="72"/>
      <c r="E1352" s="73"/>
      <c r="F1352" s="73"/>
    </row>
    <row r="1353" spans="1:6" x14ac:dyDescent="0.25">
      <c r="A1353">
        <f t="shared" si="42"/>
        <v>0</v>
      </c>
      <c r="B1353" s="3">
        <f t="shared" si="43"/>
        <v>0</v>
      </c>
      <c r="C1353" s="72"/>
      <c r="D1353" s="72"/>
      <c r="E1353" s="73"/>
      <c r="F1353" s="73"/>
    </row>
    <row r="1354" spans="1:6" x14ac:dyDescent="0.25">
      <c r="A1354">
        <f t="shared" si="42"/>
        <v>0</v>
      </c>
      <c r="B1354" s="3">
        <f t="shared" si="43"/>
        <v>0</v>
      </c>
      <c r="C1354" s="72"/>
      <c r="D1354" s="72"/>
      <c r="E1354" s="73"/>
      <c r="F1354" s="73"/>
    </row>
    <row r="1355" spans="1:6" x14ac:dyDescent="0.25">
      <c r="A1355">
        <f t="shared" si="42"/>
        <v>0</v>
      </c>
      <c r="B1355" s="3">
        <f t="shared" si="43"/>
        <v>0</v>
      </c>
      <c r="C1355" s="72"/>
      <c r="D1355" s="72"/>
      <c r="E1355" s="73"/>
      <c r="F1355" s="73"/>
    </row>
    <row r="1356" spans="1:6" x14ac:dyDescent="0.25">
      <c r="A1356">
        <f t="shared" si="42"/>
        <v>0</v>
      </c>
      <c r="B1356" s="3">
        <f t="shared" si="43"/>
        <v>0</v>
      </c>
      <c r="C1356" s="72"/>
      <c r="D1356" s="72"/>
      <c r="E1356" s="73"/>
      <c r="F1356" s="73"/>
    </row>
    <row r="1357" spans="1:6" x14ac:dyDescent="0.25">
      <c r="A1357">
        <f t="shared" si="42"/>
        <v>0</v>
      </c>
      <c r="B1357" s="3">
        <f t="shared" si="43"/>
        <v>0</v>
      </c>
      <c r="C1357" s="72"/>
      <c r="D1357" s="72"/>
      <c r="E1357" s="73"/>
      <c r="F1357" s="73"/>
    </row>
    <row r="1358" spans="1:6" x14ac:dyDescent="0.25">
      <c r="A1358">
        <f t="shared" si="42"/>
        <v>0</v>
      </c>
      <c r="B1358" s="3">
        <f t="shared" si="43"/>
        <v>0</v>
      </c>
      <c r="C1358" s="72"/>
      <c r="D1358" s="72"/>
      <c r="E1358" s="73"/>
      <c r="F1358" s="73"/>
    </row>
    <row r="1359" spans="1:6" x14ac:dyDescent="0.25">
      <c r="A1359">
        <f t="shared" si="42"/>
        <v>0</v>
      </c>
      <c r="B1359" s="3">
        <f t="shared" si="43"/>
        <v>0</v>
      </c>
      <c r="C1359" s="72"/>
      <c r="D1359" s="72"/>
      <c r="E1359" s="73"/>
      <c r="F1359" s="73"/>
    </row>
    <row r="1360" spans="1:6" x14ac:dyDescent="0.25">
      <c r="A1360">
        <f t="shared" si="42"/>
        <v>0</v>
      </c>
      <c r="B1360" s="3">
        <f t="shared" si="43"/>
        <v>0</v>
      </c>
      <c r="C1360" s="72"/>
      <c r="D1360" s="72"/>
      <c r="E1360" s="73"/>
      <c r="F1360" s="73"/>
    </row>
    <row r="1361" spans="1:6" x14ac:dyDescent="0.25">
      <c r="A1361">
        <f t="shared" si="42"/>
        <v>0</v>
      </c>
      <c r="B1361" s="3">
        <f t="shared" si="43"/>
        <v>0</v>
      </c>
      <c r="C1361" s="72"/>
      <c r="D1361" s="72"/>
      <c r="E1361" s="73"/>
      <c r="F1361" s="73"/>
    </row>
    <row r="1362" spans="1:6" x14ac:dyDescent="0.25">
      <c r="A1362">
        <f t="shared" si="42"/>
        <v>0</v>
      </c>
      <c r="B1362" s="3">
        <f t="shared" si="43"/>
        <v>0</v>
      </c>
      <c r="C1362" s="72"/>
      <c r="D1362" s="72"/>
      <c r="E1362" s="73"/>
      <c r="F1362" s="73"/>
    </row>
    <row r="1363" spans="1:6" x14ac:dyDescent="0.25">
      <c r="A1363">
        <f t="shared" si="42"/>
        <v>0</v>
      </c>
      <c r="B1363" s="3">
        <f t="shared" si="43"/>
        <v>0</v>
      </c>
      <c r="C1363" s="72"/>
      <c r="D1363" s="72"/>
      <c r="E1363" s="73"/>
      <c r="F1363" s="73"/>
    </row>
    <row r="1364" spans="1:6" x14ac:dyDescent="0.25">
      <c r="A1364">
        <f t="shared" si="42"/>
        <v>0</v>
      </c>
      <c r="B1364" s="3">
        <f t="shared" si="43"/>
        <v>0</v>
      </c>
      <c r="C1364" s="72"/>
      <c r="D1364" s="72"/>
      <c r="E1364" s="73"/>
      <c r="F1364" s="73"/>
    </row>
    <row r="1365" spans="1:6" x14ac:dyDescent="0.25">
      <c r="A1365">
        <f t="shared" si="42"/>
        <v>0</v>
      </c>
      <c r="B1365" s="3">
        <f t="shared" si="43"/>
        <v>0</v>
      </c>
      <c r="C1365" s="72"/>
      <c r="D1365" s="72"/>
      <c r="E1365" s="73"/>
      <c r="F1365" s="73"/>
    </row>
    <row r="1366" spans="1:6" x14ac:dyDescent="0.25">
      <c r="A1366">
        <f t="shared" si="42"/>
        <v>0</v>
      </c>
      <c r="B1366" s="3">
        <f t="shared" si="43"/>
        <v>0</v>
      </c>
      <c r="C1366" s="72"/>
      <c r="D1366" s="72"/>
      <c r="E1366" s="73"/>
      <c r="F1366" s="73"/>
    </row>
    <row r="1367" spans="1:6" x14ac:dyDescent="0.25">
      <c r="A1367">
        <f t="shared" si="42"/>
        <v>0</v>
      </c>
      <c r="B1367" s="3">
        <f t="shared" si="43"/>
        <v>0</v>
      </c>
      <c r="C1367" s="72"/>
      <c r="D1367" s="72"/>
      <c r="E1367" s="73"/>
      <c r="F1367" s="73"/>
    </row>
    <row r="1368" spans="1:6" x14ac:dyDescent="0.25">
      <c r="A1368">
        <f t="shared" si="42"/>
        <v>0</v>
      </c>
      <c r="B1368" s="3">
        <f t="shared" si="43"/>
        <v>0</v>
      </c>
      <c r="C1368" s="72"/>
      <c r="D1368" s="72"/>
      <c r="E1368" s="73"/>
      <c r="F1368" s="73"/>
    </row>
    <row r="1369" spans="1:6" x14ac:dyDescent="0.25">
      <c r="A1369">
        <f t="shared" si="42"/>
        <v>0</v>
      </c>
      <c r="B1369" s="3">
        <f t="shared" si="43"/>
        <v>0</v>
      </c>
      <c r="C1369" s="72"/>
      <c r="D1369" s="72"/>
      <c r="E1369" s="73"/>
      <c r="F1369" s="73"/>
    </row>
    <row r="1370" spans="1:6" x14ac:dyDescent="0.25">
      <c r="A1370">
        <f t="shared" si="42"/>
        <v>0</v>
      </c>
      <c r="B1370" s="3">
        <f t="shared" si="43"/>
        <v>0</v>
      </c>
      <c r="C1370" s="72"/>
      <c r="D1370" s="72"/>
      <c r="E1370" s="73"/>
      <c r="F1370" s="73"/>
    </row>
    <row r="1371" spans="1:6" x14ac:dyDescent="0.25">
      <c r="A1371">
        <f t="shared" si="42"/>
        <v>0</v>
      </c>
      <c r="B1371" s="3">
        <f t="shared" si="43"/>
        <v>0</v>
      </c>
      <c r="C1371" s="72"/>
      <c r="D1371" s="72"/>
      <c r="E1371" s="73"/>
      <c r="F1371" s="73"/>
    </row>
    <row r="1372" spans="1:6" x14ac:dyDescent="0.25">
      <c r="A1372">
        <f t="shared" si="42"/>
        <v>0</v>
      </c>
      <c r="B1372" s="3">
        <f t="shared" si="43"/>
        <v>0</v>
      </c>
      <c r="C1372" s="72"/>
      <c r="D1372" s="72"/>
      <c r="E1372" s="73"/>
      <c r="F1372" s="73"/>
    </row>
    <row r="1373" spans="1:6" x14ac:dyDescent="0.25">
      <c r="A1373">
        <f t="shared" si="42"/>
        <v>0</v>
      </c>
      <c r="B1373" s="3">
        <f t="shared" si="43"/>
        <v>0</v>
      </c>
      <c r="C1373" s="72"/>
      <c r="D1373" s="72"/>
      <c r="E1373" s="73"/>
      <c r="F1373" s="73"/>
    </row>
    <row r="1374" spans="1:6" x14ac:dyDescent="0.25">
      <c r="A1374">
        <f t="shared" si="42"/>
        <v>0</v>
      </c>
      <c r="B1374" s="3">
        <f t="shared" si="43"/>
        <v>0</v>
      </c>
      <c r="C1374" s="72"/>
      <c r="D1374" s="72"/>
      <c r="E1374" s="73"/>
      <c r="F1374" s="73"/>
    </row>
    <row r="1375" spans="1:6" x14ac:dyDescent="0.25">
      <c r="A1375">
        <f t="shared" si="42"/>
        <v>0</v>
      </c>
      <c r="B1375" s="3">
        <f t="shared" si="43"/>
        <v>0</v>
      </c>
      <c r="C1375" s="72"/>
      <c r="D1375" s="72"/>
      <c r="E1375" s="73"/>
      <c r="F1375" s="73"/>
    </row>
    <row r="1376" spans="1:6" x14ac:dyDescent="0.25">
      <c r="A1376">
        <f t="shared" si="42"/>
        <v>0</v>
      </c>
      <c r="B1376" s="3">
        <f t="shared" si="43"/>
        <v>0</v>
      </c>
      <c r="C1376" s="72"/>
      <c r="D1376" s="72"/>
      <c r="E1376" s="73"/>
      <c r="F1376" s="73"/>
    </row>
    <row r="1377" spans="1:6" x14ac:dyDescent="0.25">
      <c r="A1377">
        <f t="shared" si="42"/>
        <v>0</v>
      </c>
      <c r="B1377" s="3">
        <f t="shared" si="43"/>
        <v>0</v>
      </c>
      <c r="C1377" s="72"/>
      <c r="D1377" s="72"/>
      <c r="E1377" s="73"/>
      <c r="F1377" s="73"/>
    </row>
    <row r="1378" spans="1:6" x14ac:dyDescent="0.25">
      <c r="A1378">
        <f t="shared" si="42"/>
        <v>0</v>
      </c>
      <c r="B1378" s="3">
        <f t="shared" si="43"/>
        <v>0</v>
      </c>
      <c r="C1378" s="72"/>
      <c r="D1378" s="72"/>
      <c r="E1378" s="73"/>
      <c r="F1378" s="73"/>
    </row>
    <row r="1379" spans="1:6" x14ac:dyDescent="0.25">
      <c r="A1379">
        <f t="shared" si="42"/>
        <v>0</v>
      </c>
      <c r="B1379" s="3">
        <f t="shared" si="43"/>
        <v>0</v>
      </c>
      <c r="C1379" s="72"/>
      <c r="D1379" s="72"/>
      <c r="E1379" s="73"/>
      <c r="F1379" s="73"/>
    </row>
    <row r="1380" spans="1:6" x14ac:dyDescent="0.25">
      <c r="A1380">
        <f t="shared" si="42"/>
        <v>0</v>
      </c>
      <c r="B1380" s="3">
        <f t="shared" si="43"/>
        <v>0</v>
      </c>
      <c r="C1380" s="72"/>
      <c r="D1380" s="72"/>
      <c r="E1380" s="73"/>
      <c r="F1380" s="73"/>
    </row>
    <row r="1381" spans="1:6" x14ac:dyDescent="0.25">
      <c r="A1381">
        <f t="shared" si="42"/>
        <v>0</v>
      </c>
      <c r="B1381" s="3">
        <f t="shared" si="43"/>
        <v>0</v>
      </c>
      <c r="C1381" s="72"/>
      <c r="D1381" s="72"/>
      <c r="E1381" s="73"/>
      <c r="F1381" s="73"/>
    </row>
    <row r="1382" spans="1:6" x14ac:dyDescent="0.25">
      <c r="A1382">
        <f t="shared" si="42"/>
        <v>0</v>
      </c>
      <c r="B1382" s="3">
        <f t="shared" si="43"/>
        <v>0</v>
      </c>
      <c r="C1382" s="72"/>
      <c r="D1382" s="72"/>
      <c r="E1382" s="73"/>
      <c r="F1382" s="73"/>
    </row>
    <row r="1383" spans="1:6" x14ac:dyDescent="0.25">
      <c r="A1383">
        <f t="shared" si="42"/>
        <v>0</v>
      </c>
      <c r="B1383" s="3">
        <f t="shared" si="43"/>
        <v>0</v>
      </c>
      <c r="C1383" s="72"/>
      <c r="D1383" s="72"/>
      <c r="E1383" s="73"/>
      <c r="F1383" s="73"/>
    </row>
    <row r="1384" spans="1:6" x14ac:dyDescent="0.25">
      <c r="A1384">
        <f t="shared" si="42"/>
        <v>0</v>
      </c>
      <c r="B1384" s="3">
        <f t="shared" si="43"/>
        <v>0</v>
      </c>
      <c r="C1384" s="72"/>
      <c r="D1384" s="72"/>
      <c r="E1384" s="73"/>
      <c r="F1384" s="73"/>
    </row>
    <row r="1385" spans="1:6" x14ac:dyDescent="0.25">
      <c r="A1385">
        <f t="shared" si="42"/>
        <v>0</v>
      </c>
      <c r="B1385" s="3">
        <f t="shared" si="43"/>
        <v>0</v>
      </c>
      <c r="C1385" s="72"/>
      <c r="D1385" s="72"/>
      <c r="E1385" s="73"/>
      <c r="F1385" s="73"/>
    </row>
    <row r="1386" spans="1:6" x14ac:dyDescent="0.25">
      <c r="A1386">
        <f t="shared" si="42"/>
        <v>0</v>
      </c>
      <c r="B1386" s="3">
        <f t="shared" si="43"/>
        <v>0</v>
      </c>
      <c r="C1386" s="72"/>
      <c r="D1386" s="72"/>
      <c r="E1386" s="73"/>
      <c r="F1386" s="73"/>
    </row>
    <row r="1387" spans="1:6" x14ac:dyDescent="0.25">
      <c r="A1387">
        <f t="shared" si="42"/>
        <v>0</v>
      </c>
      <c r="B1387" s="3">
        <f t="shared" si="43"/>
        <v>0</v>
      </c>
      <c r="C1387" s="72"/>
      <c r="D1387" s="72"/>
      <c r="E1387" s="73"/>
      <c r="F1387" s="73"/>
    </row>
    <row r="1388" spans="1:6" x14ac:dyDescent="0.25">
      <c r="A1388">
        <f t="shared" si="42"/>
        <v>0</v>
      </c>
      <c r="B1388" s="3">
        <f t="shared" si="43"/>
        <v>0</v>
      </c>
      <c r="C1388" s="72"/>
      <c r="D1388" s="72"/>
      <c r="E1388" s="73"/>
      <c r="F1388" s="73"/>
    </row>
    <row r="1389" spans="1:6" x14ac:dyDescent="0.25">
      <c r="A1389">
        <f t="shared" si="42"/>
        <v>0</v>
      </c>
      <c r="B1389" s="3">
        <f t="shared" si="43"/>
        <v>0</v>
      </c>
      <c r="C1389" s="72"/>
      <c r="D1389" s="72"/>
      <c r="E1389" s="73"/>
      <c r="F1389" s="73"/>
    </row>
    <row r="1390" spans="1:6" x14ac:dyDescent="0.25">
      <c r="A1390">
        <f t="shared" si="42"/>
        <v>0</v>
      </c>
      <c r="B1390" s="3">
        <f t="shared" si="43"/>
        <v>0</v>
      </c>
      <c r="C1390" s="72"/>
      <c r="D1390" s="72"/>
      <c r="E1390" s="73"/>
      <c r="F1390" s="73"/>
    </row>
    <row r="1391" spans="1:6" x14ac:dyDescent="0.25">
      <c r="A1391">
        <f t="shared" si="42"/>
        <v>0</v>
      </c>
      <c r="B1391" s="3">
        <f t="shared" si="43"/>
        <v>0</v>
      </c>
      <c r="C1391" s="72"/>
      <c r="D1391" s="72"/>
      <c r="E1391" s="73"/>
      <c r="F1391" s="73"/>
    </row>
    <row r="1392" spans="1:6" x14ac:dyDescent="0.25">
      <c r="A1392">
        <f t="shared" si="42"/>
        <v>0</v>
      </c>
      <c r="B1392" s="3">
        <f t="shared" si="43"/>
        <v>0</v>
      </c>
      <c r="C1392" s="72"/>
      <c r="D1392" s="72"/>
      <c r="E1392" s="73"/>
      <c r="F1392" s="73"/>
    </row>
    <row r="1393" spans="1:6" x14ac:dyDescent="0.25">
      <c r="A1393">
        <f t="shared" si="42"/>
        <v>0</v>
      </c>
      <c r="B1393" s="3">
        <f t="shared" si="43"/>
        <v>0</v>
      </c>
      <c r="C1393" s="72"/>
      <c r="D1393" s="72"/>
      <c r="E1393" s="73"/>
      <c r="F1393" s="73"/>
    </row>
    <row r="1394" spans="1:6" x14ac:dyDescent="0.25">
      <c r="A1394">
        <f t="shared" si="42"/>
        <v>0</v>
      </c>
      <c r="B1394" s="3">
        <f t="shared" si="43"/>
        <v>0</v>
      </c>
      <c r="C1394" s="72"/>
      <c r="D1394" s="72"/>
      <c r="E1394" s="73"/>
      <c r="F1394" s="73"/>
    </row>
    <row r="1395" spans="1:6" x14ac:dyDescent="0.25">
      <c r="A1395">
        <f t="shared" si="42"/>
        <v>0</v>
      </c>
      <c r="B1395" s="3">
        <f t="shared" si="43"/>
        <v>0</v>
      </c>
      <c r="C1395" s="72"/>
      <c r="D1395" s="72"/>
      <c r="E1395" s="73"/>
      <c r="F1395" s="73"/>
    </row>
    <row r="1396" spans="1:6" x14ac:dyDescent="0.25">
      <c r="A1396">
        <f t="shared" si="42"/>
        <v>0</v>
      </c>
      <c r="B1396" s="3">
        <f t="shared" si="43"/>
        <v>0</v>
      </c>
      <c r="C1396" s="72"/>
      <c r="D1396" s="72"/>
      <c r="E1396" s="73"/>
      <c r="F1396" s="73"/>
    </row>
    <row r="1397" spans="1:6" x14ac:dyDescent="0.25">
      <c r="A1397">
        <f t="shared" si="42"/>
        <v>0</v>
      </c>
      <c r="B1397" s="3">
        <f t="shared" si="43"/>
        <v>0</v>
      </c>
      <c r="C1397" s="72"/>
      <c r="D1397" s="72"/>
      <c r="E1397" s="73"/>
      <c r="F1397" s="73"/>
    </row>
    <row r="1398" spans="1:6" x14ac:dyDescent="0.25">
      <c r="A1398">
        <f t="shared" si="42"/>
        <v>0</v>
      </c>
      <c r="B1398" s="3">
        <f t="shared" si="43"/>
        <v>0</v>
      </c>
      <c r="C1398" s="72"/>
      <c r="D1398" s="72"/>
      <c r="E1398" s="73"/>
      <c r="F1398" s="73"/>
    </row>
    <row r="1399" spans="1:6" x14ac:dyDescent="0.25">
      <c r="A1399">
        <f t="shared" si="42"/>
        <v>0</v>
      </c>
      <c r="B1399" s="3">
        <f t="shared" si="43"/>
        <v>0</v>
      </c>
      <c r="C1399" s="72"/>
      <c r="D1399" s="72"/>
      <c r="E1399" s="73"/>
      <c r="F1399" s="73"/>
    </row>
    <row r="1400" spans="1:6" x14ac:dyDescent="0.25">
      <c r="A1400">
        <f t="shared" si="42"/>
        <v>0</v>
      </c>
      <c r="B1400" s="3">
        <f t="shared" si="43"/>
        <v>0</v>
      </c>
      <c r="C1400" s="72"/>
      <c r="D1400" s="72"/>
      <c r="E1400" s="73"/>
      <c r="F1400" s="73"/>
    </row>
    <row r="1401" spans="1:6" x14ac:dyDescent="0.25">
      <c r="A1401">
        <f t="shared" si="42"/>
        <v>0</v>
      </c>
      <c r="B1401" s="3">
        <f t="shared" si="43"/>
        <v>0</v>
      </c>
      <c r="C1401" s="72"/>
      <c r="D1401" s="72"/>
      <c r="E1401" s="73"/>
      <c r="F1401" s="73"/>
    </row>
    <row r="1402" spans="1:6" x14ac:dyDescent="0.25">
      <c r="A1402">
        <f t="shared" si="42"/>
        <v>0</v>
      </c>
      <c r="B1402" s="3">
        <f t="shared" si="43"/>
        <v>0</v>
      </c>
      <c r="C1402" s="72"/>
      <c r="D1402" s="72"/>
      <c r="E1402" s="73"/>
      <c r="F1402" s="73"/>
    </row>
    <row r="1403" spans="1:6" x14ac:dyDescent="0.25">
      <c r="A1403">
        <f t="shared" si="42"/>
        <v>0</v>
      </c>
      <c r="B1403" s="3">
        <f t="shared" si="43"/>
        <v>0</v>
      </c>
      <c r="C1403" s="72"/>
      <c r="D1403" s="72"/>
      <c r="E1403" s="73"/>
      <c r="F1403" s="73"/>
    </row>
    <row r="1404" spans="1:6" x14ac:dyDescent="0.25">
      <c r="A1404">
        <f t="shared" si="42"/>
        <v>0</v>
      </c>
      <c r="B1404" s="3">
        <f t="shared" si="43"/>
        <v>0</v>
      </c>
      <c r="C1404" s="72"/>
      <c r="D1404" s="72"/>
      <c r="E1404" s="73"/>
      <c r="F1404" s="73"/>
    </row>
    <row r="1405" spans="1:6" x14ac:dyDescent="0.25">
      <c r="A1405">
        <f t="shared" si="42"/>
        <v>0</v>
      </c>
      <c r="B1405" s="3">
        <f t="shared" si="43"/>
        <v>0</v>
      </c>
      <c r="C1405" s="72"/>
      <c r="D1405" s="72"/>
      <c r="E1405" s="73"/>
      <c r="F1405" s="73"/>
    </row>
    <row r="1406" spans="1:6" x14ac:dyDescent="0.25">
      <c r="A1406">
        <f t="shared" si="42"/>
        <v>0</v>
      </c>
      <c r="B1406" s="3">
        <f t="shared" si="43"/>
        <v>0</v>
      </c>
      <c r="C1406" s="72"/>
      <c r="D1406" s="72"/>
      <c r="E1406" s="73"/>
      <c r="F1406" s="73"/>
    </row>
    <row r="1407" spans="1:6" x14ac:dyDescent="0.25">
      <c r="A1407">
        <f t="shared" si="42"/>
        <v>0</v>
      </c>
      <c r="B1407" s="3">
        <f t="shared" si="43"/>
        <v>0</v>
      </c>
      <c r="C1407" s="72"/>
      <c r="D1407" s="72"/>
      <c r="E1407" s="73"/>
      <c r="F1407" s="73"/>
    </row>
    <row r="1408" spans="1:6" x14ac:dyDescent="0.25">
      <c r="A1408">
        <f t="shared" si="42"/>
        <v>0</v>
      </c>
      <c r="B1408" s="3">
        <f t="shared" si="43"/>
        <v>0</v>
      </c>
      <c r="C1408" s="72"/>
      <c r="D1408" s="72"/>
      <c r="E1408" s="73"/>
      <c r="F1408" s="73"/>
    </row>
    <row r="1409" spans="1:6" x14ac:dyDescent="0.25">
      <c r="A1409">
        <f t="shared" si="42"/>
        <v>0</v>
      </c>
      <c r="B1409" s="3">
        <f t="shared" si="43"/>
        <v>0</v>
      </c>
      <c r="C1409" s="72"/>
      <c r="D1409" s="72"/>
      <c r="E1409" s="73"/>
      <c r="F1409" s="73"/>
    </row>
    <row r="1410" spans="1:6" x14ac:dyDescent="0.25">
      <c r="A1410">
        <f t="shared" si="42"/>
        <v>0</v>
      </c>
      <c r="B1410" s="3">
        <f t="shared" si="43"/>
        <v>0</v>
      </c>
      <c r="C1410" s="72"/>
      <c r="D1410" s="72"/>
      <c r="E1410" s="73"/>
      <c r="F1410" s="73"/>
    </row>
    <row r="1411" spans="1:6" x14ac:dyDescent="0.25">
      <c r="A1411">
        <f t="shared" si="42"/>
        <v>0</v>
      </c>
      <c r="B1411" s="3">
        <f t="shared" si="43"/>
        <v>0</v>
      </c>
      <c r="C1411" s="72"/>
      <c r="D1411" s="72"/>
      <c r="E1411" s="73"/>
      <c r="F1411" s="73"/>
    </row>
    <row r="1412" spans="1:6" x14ac:dyDescent="0.25">
      <c r="A1412">
        <f t="shared" si="42"/>
        <v>0</v>
      </c>
      <c r="B1412" s="3">
        <f t="shared" si="43"/>
        <v>0</v>
      </c>
      <c r="C1412" s="72"/>
      <c r="D1412" s="72"/>
      <c r="E1412" s="73"/>
      <c r="F1412" s="73"/>
    </row>
    <row r="1413" spans="1:6" x14ac:dyDescent="0.25">
      <c r="A1413">
        <f t="shared" si="42"/>
        <v>0</v>
      </c>
      <c r="B1413" s="3">
        <f t="shared" si="43"/>
        <v>0</v>
      </c>
      <c r="C1413" s="72"/>
      <c r="D1413" s="72"/>
      <c r="E1413" s="73"/>
      <c r="F1413" s="73"/>
    </row>
    <row r="1414" spans="1:6" x14ac:dyDescent="0.25">
      <c r="A1414">
        <f t="shared" si="42"/>
        <v>0</v>
      </c>
      <c r="B1414" s="3">
        <f t="shared" si="43"/>
        <v>0</v>
      </c>
      <c r="C1414" s="72"/>
      <c r="D1414" s="72"/>
      <c r="E1414" s="73"/>
      <c r="F1414" s="73"/>
    </row>
    <row r="1415" spans="1:6" x14ac:dyDescent="0.25">
      <c r="A1415">
        <f t="shared" ref="A1415:A1478" si="44">IF(ISNUMBER(C1415),C1415*F1415,)</f>
        <v>0</v>
      </c>
      <c r="B1415" s="3">
        <f t="shared" ref="B1415:B1478" si="45">IF(C1415&lt;&gt;"",1,0)</f>
        <v>0</v>
      </c>
      <c r="C1415" s="72"/>
      <c r="D1415" s="72"/>
      <c r="E1415" s="73"/>
      <c r="F1415" s="73"/>
    </row>
    <row r="1416" spans="1:6" x14ac:dyDescent="0.25">
      <c r="A1416">
        <f t="shared" si="44"/>
        <v>0</v>
      </c>
      <c r="B1416" s="3">
        <f t="shared" si="45"/>
        <v>0</v>
      </c>
      <c r="C1416" s="72"/>
      <c r="D1416" s="72"/>
      <c r="E1416" s="73"/>
      <c r="F1416" s="73"/>
    </row>
    <row r="1417" spans="1:6" x14ac:dyDescent="0.25">
      <c r="A1417">
        <f t="shared" si="44"/>
        <v>0</v>
      </c>
      <c r="B1417" s="3">
        <f t="shared" si="45"/>
        <v>0</v>
      </c>
      <c r="C1417" s="72"/>
      <c r="D1417" s="72"/>
      <c r="E1417" s="73"/>
      <c r="F1417" s="73"/>
    </row>
    <row r="1418" spans="1:6" x14ac:dyDescent="0.25">
      <c r="A1418">
        <f t="shared" si="44"/>
        <v>0</v>
      </c>
      <c r="B1418" s="3">
        <f t="shared" si="45"/>
        <v>0</v>
      </c>
      <c r="C1418" s="72"/>
      <c r="D1418" s="72"/>
      <c r="E1418" s="73"/>
      <c r="F1418" s="73"/>
    </row>
    <row r="1419" spans="1:6" x14ac:dyDescent="0.25">
      <c r="A1419">
        <f t="shared" si="44"/>
        <v>0</v>
      </c>
      <c r="B1419" s="3">
        <f t="shared" si="45"/>
        <v>0</v>
      </c>
      <c r="C1419" s="72"/>
      <c r="D1419" s="72"/>
      <c r="E1419" s="73"/>
      <c r="F1419" s="73"/>
    </row>
    <row r="1420" spans="1:6" x14ac:dyDescent="0.25">
      <c r="A1420">
        <f t="shared" si="44"/>
        <v>0</v>
      </c>
      <c r="B1420" s="3">
        <f t="shared" si="45"/>
        <v>0</v>
      </c>
      <c r="C1420" s="72"/>
      <c r="D1420" s="72"/>
      <c r="E1420" s="73"/>
      <c r="F1420" s="73"/>
    </row>
    <row r="1421" spans="1:6" x14ac:dyDescent="0.25">
      <c r="A1421">
        <f t="shared" si="44"/>
        <v>0</v>
      </c>
      <c r="B1421" s="3">
        <f t="shared" si="45"/>
        <v>0</v>
      </c>
      <c r="C1421" s="72"/>
      <c r="D1421" s="72"/>
      <c r="E1421" s="73"/>
      <c r="F1421" s="73"/>
    </row>
    <row r="1422" spans="1:6" x14ac:dyDescent="0.25">
      <c r="A1422">
        <f t="shared" si="44"/>
        <v>0</v>
      </c>
      <c r="B1422" s="3">
        <f t="shared" si="45"/>
        <v>0</v>
      </c>
      <c r="C1422" s="72"/>
      <c r="D1422" s="72"/>
      <c r="E1422" s="73"/>
      <c r="F1422" s="73"/>
    </row>
    <row r="1423" spans="1:6" x14ac:dyDescent="0.25">
      <c r="A1423">
        <f t="shared" si="44"/>
        <v>0</v>
      </c>
      <c r="B1423" s="3">
        <f t="shared" si="45"/>
        <v>0</v>
      </c>
      <c r="C1423" s="72"/>
      <c r="D1423" s="72"/>
      <c r="E1423" s="73"/>
      <c r="F1423" s="73"/>
    </row>
    <row r="1424" spans="1:6" x14ac:dyDescent="0.25">
      <c r="A1424">
        <f t="shared" si="44"/>
        <v>0</v>
      </c>
      <c r="B1424" s="3">
        <f t="shared" si="45"/>
        <v>0</v>
      </c>
      <c r="C1424" s="72"/>
      <c r="D1424" s="72"/>
      <c r="E1424" s="73"/>
      <c r="F1424" s="73"/>
    </row>
    <row r="1425" spans="1:6" x14ac:dyDescent="0.25">
      <c r="A1425">
        <f t="shared" si="44"/>
        <v>0</v>
      </c>
      <c r="B1425" s="3">
        <f t="shared" si="45"/>
        <v>0</v>
      </c>
      <c r="C1425" s="72"/>
      <c r="D1425" s="72"/>
      <c r="E1425" s="73"/>
      <c r="F1425" s="73"/>
    </row>
    <row r="1426" spans="1:6" x14ac:dyDescent="0.25">
      <c r="A1426">
        <f t="shared" si="44"/>
        <v>0</v>
      </c>
      <c r="B1426" s="3">
        <f t="shared" si="45"/>
        <v>0</v>
      </c>
      <c r="C1426" s="72"/>
      <c r="D1426" s="72"/>
      <c r="E1426" s="73"/>
      <c r="F1426" s="73"/>
    </row>
    <row r="1427" spans="1:6" x14ac:dyDescent="0.25">
      <c r="A1427">
        <f t="shared" si="44"/>
        <v>0</v>
      </c>
      <c r="B1427" s="3">
        <f t="shared" si="45"/>
        <v>0</v>
      </c>
      <c r="C1427" s="72"/>
      <c r="D1427" s="72"/>
      <c r="E1427" s="73"/>
      <c r="F1427" s="73"/>
    </row>
    <row r="1428" spans="1:6" x14ac:dyDescent="0.25">
      <c r="A1428">
        <f t="shared" si="44"/>
        <v>0</v>
      </c>
      <c r="B1428" s="3">
        <f t="shared" si="45"/>
        <v>0</v>
      </c>
      <c r="C1428" s="72"/>
      <c r="D1428" s="72"/>
      <c r="E1428" s="73"/>
      <c r="F1428" s="73"/>
    </row>
    <row r="1429" spans="1:6" x14ac:dyDescent="0.25">
      <c r="A1429">
        <f t="shared" si="44"/>
        <v>0</v>
      </c>
      <c r="B1429" s="3">
        <f t="shared" si="45"/>
        <v>0</v>
      </c>
      <c r="C1429" s="72"/>
      <c r="D1429" s="72"/>
      <c r="E1429" s="73"/>
      <c r="F1429" s="73"/>
    </row>
    <row r="1430" spans="1:6" x14ac:dyDescent="0.25">
      <c r="A1430">
        <f t="shared" si="44"/>
        <v>0</v>
      </c>
      <c r="B1430" s="3">
        <f t="shared" si="45"/>
        <v>0</v>
      </c>
      <c r="C1430" s="72"/>
      <c r="D1430" s="72"/>
      <c r="E1430" s="73"/>
      <c r="F1430" s="73"/>
    </row>
    <row r="1431" spans="1:6" x14ac:dyDescent="0.25">
      <c r="A1431">
        <f t="shared" si="44"/>
        <v>0</v>
      </c>
      <c r="B1431" s="3">
        <f t="shared" si="45"/>
        <v>0</v>
      </c>
      <c r="C1431" s="72"/>
      <c r="D1431" s="72"/>
      <c r="E1431" s="73"/>
      <c r="F1431" s="73"/>
    </row>
    <row r="1432" spans="1:6" x14ac:dyDescent="0.25">
      <c r="A1432">
        <f t="shared" si="44"/>
        <v>0</v>
      </c>
      <c r="B1432" s="3">
        <f t="shared" si="45"/>
        <v>0</v>
      </c>
      <c r="C1432" s="72"/>
      <c r="D1432" s="72"/>
      <c r="E1432" s="73"/>
      <c r="F1432" s="73"/>
    </row>
    <row r="1433" spans="1:6" x14ac:dyDescent="0.25">
      <c r="A1433">
        <f t="shared" si="44"/>
        <v>0</v>
      </c>
      <c r="B1433" s="3">
        <f t="shared" si="45"/>
        <v>0</v>
      </c>
      <c r="C1433" s="72"/>
      <c r="D1433" s="72"/>
      <c r="E1433" s="73"/>
      <c r="F1433" s="73"/>
    </row>
    <row r="1434" spans="1:6" x14ac:dyDescent="0.25">
      <c r="A1434">
        <f t="shared" si="44"/>
        <v>0</v>
      </c>
      <c r="B1434" s="3">
        <f t="shared" si="45"/>
        <v>0</v>
      </c>
      <c r="C1434" s="72"/>
      <c r="D1434" s="72"/>
      <c r="E1434" s="73"/>
      <c r="F1434" s="73"/>
    </row>
    <row r="1435" spans="1:6" x14ac:dyDescent="0.25">
      <c r="A1435">
        <f t="shared" si="44"/>
        <v>0</v>
      </c>
      <c r="B1435" s="3">
        <f t="shared" si="45"/>
        <v>0</v>
      </c>
      <c r="C1435" s="72"/>
      <c r="D1435" s="72"/>
      <c r="E1435" s="73"/>
      <c r="F1435" s="73"/>
    </row>
    <row r="1436" spans="1:6" x14ac:dyDescent="0.25">
      <c r="A1436">
        <f t="shared" si="44"/>
        <v>0</v>
      </c>
      <c r="B1436" s="3">
        <f t="shared" si="45"/>
        <v>0</v>
      </c>
      <c r="C1436" s="72"/>
      <c r="D1436" s="72"/>
      <c r="E1436" s="73"/>
      <c r="F1436" s="73"/>
    </row>
    <row r="1437" spans="1:6" x14ac:dyDescent="0.25">
      <c r="A1437">
        <f t="shared" si="44"/>
        <v>0</v>
      </c>
      <c r="B1437" s="3">
        <f t="shared" si="45"/>
        <v>0</v>
      </c>
      <c r="C1437" s="72"/>
      <c r="D1437" s="72"/>
      <c r="E1437" s="73"/>
      <c r="F1437" s="73"/>
    </row>
    <row r="1438" spans="1:6" x14ac:dyDescent="0.25">
      <c r="A1438">
        <f t="shared" si="44"/>
        <v>0</v>
      </c>
      <c r="B1438" s="3">
        <f t="shared" si="45"/>
        <v>0</v>
      </c>
      <c r="C1438" s="72"/>
      <c r="D1438" s="72"/>
      <c r="E1438" s="73"/>
      <c r="F1438" s="73"/>
    </row>
    <row r="1439" spans="1:6" x14ac:dyDescent="0.25">
      <c r="A1439">
        <f t="shared" si="44"/>
        <v>0</v>
      </c>
      <c r="B1439" s="3">
        <f t="shared" si="45"/>
        <v>0</v>
      </c>
      <c r="C1439" s="72"/>
      <c r="D1439" s="72"/>
      <c r="E1439" s="73"/>
      <c r="F1439" s="73"/>
    </row>
    <row r="1440" spans="1:6" x14ac:dyDescent="0.25">
      <c r="A1440">
        <f t="shared" si="44"/>
        <v>0</v>
      </c>
      <c r="B1440" s="3">
        <f t="shared" si="45"/>
        <v>0</v>
      </c>
      <c r="C1440" s="72"/>
      <c r="D1440" s="72"/>
      <c r="E1440" s="73"/>
      <c r="F1440" s="73"/>
    </row>
    <row r="1441" spans="1:6" x14ac:dyDescent="0.25">
      <c r="A1441">
        <f t="shared" si="44"/>
        <v>0</v>
      </c>
      <c r="B1441" s="3">
        <f t="shared" si="45"/>
        <v>0</v>
      </c>
      <c r="C1441" s="72"/>
      <c r="D1441" s="72"/>
      <c r="E1441" s="73"/>
      <c r="F1441" s="73"/>
    </row>
    <row r="1442" spans="1:6" x14ac:dyDescent="0.25">
      <c r="A1442">
        <f t="shared" si="44"/>
        <v>0</v>
      </c>
      <c r="B1442" s="3">
        <f t="shared" si="45"/>
        <v>0</v>
      </c>
      <c r="C1442" s="72"/>
      <c r="D1442" s="72"/>
      <c r="E1442" s="73"/>
      <c r="F1442" s="73"/>
    </row>
    <row r="1443" spans="1:6" x14ac:dyDescent="0.25">
      <c r="A1443">
        <f t="shared" si="44"/>
        <v>0</v>
      </c>
      <c r="B1443" s="3">
        <f t="shared" si="45"/>
        <v>0</v>
      </c>
      <c r="C1443" s="72"/>
      <c r="D1443" s="72"/>
      <c r="E1443" s="73"/>
      <c r="F1443" s="73"/>
    </row>
    <row r="1444" spans="1:6" x14ac:dyDescent="0.25">
      <c r="A1444">
        <f t="shared" si="44"/>
        <v>0</v>
      </c>
      <c r="B1444" s="3">
        <f t="shared" si="45"/>
        <v>0</v>
      </c>
      <c r="C1444" s="72"/>
      <c r="D1444" s="72"/>
      <c r="E1444" s="73"/>
      <c r="F1444" s="73"/>
    </row>
    <row r="1445" spans="1:6" x14ac:dyDescent="0.25">
      <c r="A1445">
        <f t="shared" si="44"/>
        <v>0</v>
      </c>
      <c r="B1445" s="3">
        <f t="shared" si="45"/>
        <v>0</v>
      </c>
      <c r="C1445" s="72"/>
      <c r="D1445" s="72"/>
      <c r="E1445" s="73"/>
      <c r="F1445" s="73"/>
    </row>
    <row r="1446" spans="1:6" x14ac:dyDescent="0.25">
      <c r="A1446">
        <f t="shared" si="44"/>
        <v>0</v>
      </c>
      <c r="B1446" s="3">
        <f t="shared" si="45"/>
        <v>0</v>
      </c>
      <c r="C1446" s="72"/>
      <c r="D1446" s="72"/>
      <c r="E1446" s="73"/>
      <c r="F1446" s="73"/>
    </row>
    <row r="1447" spans="1:6" x14ac:dyDescent="0.25">
      <c r="A1447">
        <f t="shared" si="44"/>
        <v>0</v>
      </c>
      <c r="B1447" s="3">
        <f t="shared" si="45"/>
        <v>0</v>
      </c>
      <c r="C1447" s="72"/>
      <c r="D1447" s="72"/>
      <c r="E1447" s="73"/>
      <c r="F1447" s="73"/>
    </row>
    <row r="1448" spans="1:6" x14ac:dyDescent="0.25">
      <c r="A1448">
        <f t="shared" si="44"/>
        <v>0</v>
      </c>
      <c r="B1448" s="3">
        <f t="shared" si="45"/>
        <v>0</v>
      </c>
      <c r="C1448" s="72"/>
      <c r="D1448" s="72"/>
      <c r="E1448" s="73"/>
      <c r="F1448" s="73"/>
    </row>
    <row r="1449" spans="1:6" x14ac:dyDescent="0.25">
      <c r="A1449">
        <f t="shared" si="44"/>
        <v>0</v>
      </c>
      <c r="B1449" s="3">
        <f t="shared" si="45"/>
        <v>0</v>
      </c>
      <c r="C1449" s="72"/>
      <c r="D1449" s="72"/>
      <c r="E1449" s="73"/>
      <c r="F1449" s="73"/>
    </row>
    <row r="1450" spans="1:6" x14ac:dyDescent="0.25">
      <c r="A1450">
        <f t="shared" si="44"/>
        <v>0</v>
      </c>
      <c r="B1450" s="3">
        <f t="shared" si="45"/>
        <v>0</v>
      </c>
      <c r="C1450" s="72"/>
      <c r="D1450" s="72"/>
      <c r="E1450" s="73"/>
      <c r="F1450" s="73"/>
    </row>
    <row r="1451" spans="1:6" x14ac:dyDescent="0.25">
      <c r="A1451">
        <f t="shared" si="44"/>
        <v>0</v>
      </c>
      <c r="B1451" s="3">
        <f t="shared" si="45"/>
        <v>0</v>
      </c>
      <c r="C1451" s="72"/>
      <c r="D1451" s="72"/>
      <c r="E1451" s="73"/>
      <c r="F1451" s="73"/>
    </row>
    <row r="1452" spans="1:6" x14ac:dyDescent="0.25">
      <c r="A1452">
        <f t="shared" si="44"/>
        <v>0</v>
      </c>
      <c r="B1452" s="3">
        <f t="shared" si="45"/>
        <v>0</v>
      </c>
      <c r="C1452" s="72"/>
      <c r="D1452" s="72"/>
      <c r="E1452" s="73"/>
      <c r="F1452" s="73"/>
    </row>
    <row r="1453" spans="1:6" x14ac:dyDescent="0.25">
      <c r="A1453">
        <f t="shared" si="44"/>
        <v>0</v>
      </c>
      <c r="B1453" s="3">
        <f t="shared" si="45"/>
        <v>0</v>
      </c>
      <c r="C1453" s="72"/>
      <c r="D1453" s="72"/>
      <c r="E1453" s="73"/>
      <c r="F1453" s="73"/>
    </row>
    <row r="1454" spans="1:6" x14ac:dyDescent="0.25">
      <c r="A1454">
        <f t="shared" si="44"/>
        <v>0</v>
      </c>
      <c r="B1454" s="3">
        <f t="shared" si="45"/>
        <v>0</v>
      </c>
      <c r="C1454" s="72"/>
      <c r="D1454" s="72"/>
      <c r="E1454" s="73"/>
      <c r="F1454" s="73"/>
    </row>
    <row r="1455" spans="1:6" x14ac:dyDescent="0.25">
      <c r="A1455">
        <f t="shared" si="44"/>
        <v>0</v>
      </c>
      <c r="B1455" s="3">
        <f t="shared" si="45"/>
        <v>0</v>
      </c>
      <c r="C1455" s="72"/>
      <c r="D1455" s="72"/>
      <c r="E1455" s="73"/>
      <c r="F1455" s="73"/>
    </row>
    <row r="1456" spans="1:6" x14ac:dyDescent="0.25">
      <c r="A1456">
        <f t="shared" si="44"/>
        <v>0</v>
      </c>
      <c r="B1456" s="3">
        <f t="shared" si="45"/>
        <v>0</v>
      </c>
      <c r="C1456" s="72"/>
      <c r="D1456" s="72"/>
      <c r="E1456" s="73"/>
      <c r="F1456" s="73"/>
    </row>
    <row r="1457" spans="1:6" x14ac:dyDescent="0.25">
      <c r="A1457">
        <f t="shared" si="44"/>
        <v>0</v>
      </c>
      <c r="B1457" s="3">
        <f t="shared" si="45"/>
        <v>0</v>
      </c>
      <c r="C1457" s="72"/>
      <c r="D1457" s="72"/>
      <c r="E1457" s="73"/>
      <c r="F1457" s="73"/>
    </row>
    <row r="1458" spans="1:6" x14ac:dyDescent="0.25">
      <c r="A1458">
        <f t="shared" si="44"/>
        <v>0</v>
      </c>
      <c r="B1458" s="3">
        <f t="shared" si="45"/>
        <v>0</v>
      </c>
      <c r="C1458" s="72"/>
      <c r="D1458" s="72"/>
      <c r="E1458" s="73"/>
      <c r="F1458" s="73"/>
    </row>
    <row r="1459" spans="1:6" x14ac:dyDescent="0.25">
      <c r="A1459">
        <f t="shared" si="44"/>
        <v>0</v>
      </c>
      <c r="B1459" s="3">
        <f t="shared" si="45"/>
        <v>0</v>
      </c>
      <c r="C1459" s="72"/>
      <c r="D1459" s="72"/>
      <c r="E1459" s="73"/>
      <c r="F1459" s="73"/>
    </row>
    <row r="1460" spans="1:6" x14ac:dyDescent="0.25">
      <c r="A1460">
        <f t="shared" si="44"/>
        <v>0</v>
      </c>
      <c r="B1460" s="3">
        <f t="shared" si="45"/>
        <v>0</v>
      </c>
      <c r="C1460" s="72"/>
      <c r="D1460" s="72"/>
      <c r="E1460" s="73"/>
      <c r="F1460" s="73"/>
    </row>
    <row r="1461" spans="1:6" x14ac:dyDescent="0.25">
      <c r="A1461">
        <f t="shared" si="44"/>
        <v>0</v>
      </c>
      <c r="B1461" s="3">
        <f t="shared" si="45"/>
        <v>0</v>
      </c>
      <c r="C1461" s="72"/>
      <c r="D1461" s="72"/>
      <c r="E1461" s="73"/>
      <c r="F1461" s="73"/>
    </row>
    <row r="1462" spans="1:6" x14ac:dyDescent="0.25">
      <c r="A1462">
        <f t="shared" si="44"/>
        <v>0</v>
      </c>
      <c r="B1462" s="3">
        <f t="shared" si="45"/>
        <v>0</v>
      </c>
      <c r="C1462" s="72"/>
      <c r="D1462" s="72"/>
      <c r="E1462" s="73"/>
      <c r="F1462" s="73"/>
    </row>
    <row r="1463" spans="1:6" x14ac:dyDescent="0.25">
      <c r="A1463">
        <f t="shared" si="44"/>
        <v>0</v>
      </c>
      <c r="B1463" s="3">
        <f t="shared" si="45"/>
        <v>0</v>
      </c>
      <c r="C1463" s="72"/>
      <c r="D1463" s="72"/>
      <c r="E1463" s="73"/>
      <c r="F1463" s="73"/>
    </row>
    <row r="1464" spans="1:6" x14ac:dyDescent="0.25">
      <c r="A1464">
        <f t="shared" si="44"/>
        <v>0</v>
      </c>
      <c r="B1464" s="3">
        <f t="shared" si="45"/>
        <v>0</v>
      </c>
      <c r="C1464" s="72"/>
      <c r="D1464" s="72"/>
      <c r="E1464" s="73"/>
      <c r="F1464" s="73"/>
    </row>
    <row r="1465" spans="1:6" x14ac:dyDescent="0.25">
      <c r="A1465">
        <f t="shared" si="44"/>
        <v>0</v>
      </c>
      <c r="B1465" s="3">
        <f t="shared" si="45"/>
        <v>0</v>
      </c>
      <c r="C1465" s="72"/>
      <c r="D1465" s="72"/>
      <c r="E1465" s="73"/>
      <c r="F1465" s="73"/>
    </row>
    <row r="1466" spans="1:6" x14ac:dyDescent="0.25">
      <c r="A1466">
        <f t="shared" si="44"/>
        <v>0</v>
      </c>
      <c r="B1466" s="3">
        <f t="shared" si="45"/>
        <v>0</v>
      </c>
      <c r="C1466" s="72"/>
      <c r="D1466" s="72"/>
      <c r="E1466" s="73"/>
      <c r="F1466" s="73"/>
    </row>
    <row r="1467" spans="1:6" x14ac:dyDescent="0.25">
      <c r="A1467">
        <f t="shared" si="44"/>
        <v>0</v>
      </c>
      <c r="B1467" s="3">
        <f t="shared" si="45"/>
        <v>0</v>
      </c>
      <c r="C1467" s="72"/>
      <c r="D1467" s="72"/>
      <c r="E1467" s="73"/>
      <c r="F1467" s="73"/>
    </row>
    <row r="1468" spans="1:6" x14ac:dyDescent="0.25">
      <c r="A1468">
        <f t="shared" si="44"/>
        <v>0</v>
      </c>
      <c r="B1468" s="3">
        <f t="shared" si="45"/>
        <v>0</v>
      </c>
      <c r="C1468" s="72"/>
      <c r="D1468" s="72"/>
      <c r="E1468" s="73"/>
      <c r="F1468" s="73"/>
    </row>
    <row r="1469" spans="1:6" x14ac:dyDescent="0.25">
      <c r="A1469">
        <f t="shared" si="44"/>
        <v>0</v>
      </c>
      <c r="B1469" s="3">
        <f t="shared" si="45"/>
        <v>0</v>
      </c>
      <c r="C1469" s="72"/>
      <c r="D1469" s="72"/>
      <c r="E1469" s="73"/>
      <c r="F1469" s="73"/>
    </row>
    <row r="1470" spans="1:6" x14ac:dyDescent="0.25">
      <c r="A1470">
        <f t="shared" si="44"/>
        <v>0</v>
      </c>
      <c r="B1470" s="3">
        <f t="shared" si="45"/>
        <v>0</v>
      </c>
      <c r="C1470" s="72"/>
      <c r="D1470" s="72"/>
      <c r="E1470" s="73"/>
      <c r="F1470" s="73"/>
    </row>
    <row r="1471" spans="1:6" x14ac:dyDescent="0.25">
      <c r="A1471">
        <f t="shared" si="44"/>
        <v>0</v>
      </c>
      <c r="B1471" s="3">
        <f t="shared" si="45"/>
        <v>0</v>
      </c>
      <c r="C1471" s="72"/>
      <c r="D1471" s="72"/>
      <c r="E1471" s="73"/>
      <c r="F1471" s="73"/>
    </row>
    <row r="1472" spans="1:6" x14ac:dyDescent="0.25">
      <c r="A1472">
        <f t="shared" si="44"/>
        <v>0</v>
      </c>
      <c r="B1472" s="3">
        <f t="shared" si="45"/>
        <v>0</v>
      </c>
      <c r="C1472" s="72"/>
      <c r="D1472" s="72"/>
      <c r="E1472" s="73"/>
      <c r="F1472" s="73"/>
    </row>
    <row r="1473" spans="1:6" x14ac:dyDescent="0.25">
      <c r="A1473">
        <f t="shared" si="44"/>
        <v>0</v>
      </c>
      <c r="B1473" s="3">
        <f t="shared" si="45"/>
        <v>0</v>
      </c>
      <c r="C1473" s="72"/>
      <c r="D1473" s="72"/>
      <c r="E1473" s="73"/>
      <c r="F1473" s="73"/>
    </row>
    <row r="1474" spans="1:6" x14ac:dyDescent="0.25">
      <c r="A1474">
        <f t="shared" si="44"/>
        <v>0</v>
      </c>
      <c r="B1474" s="3">
        <f t="shared" si="45"/>
        <v>0</v>
      </c>
      <c r="C1474" s="72"/>
      <c r="D1474" s="72"/>
      <c r="E1474" s="73"/>
      <c r="F1474" s="73"/>
    </row>
    <row r="1475" spans="1:6" x14ac:dyDescent="0.25">
      <c r="A1475">
        <f t="shared" si="44"/>
        <v>0</v>
      </c>
      <c r="B1475" s="3">
        <f t="shared" si="45"/>
        <v>0</v>
      </c>
      <c r="C1475" s="72"/>
      <c r="D1475" s="72"/>
      <c r="E1475" s="73"/>
      <c r="F1475" s="73"/>
    </row>
    <row r="1476" spans="1:6" x14ac:dyDescent="0.25">
      <c r="A1476">
        <f t="shared" si="44"/>
        <v>0</v>
      </c>
      <c r="B1476" s="3">
        <f t="shared" si="45"/>
        <v>0</v>
      </c>
      <c r="C1476" s="72"/>
      <c r="D1476" s="72"/>
      <c r="E1476" s="73"/>
      <c r="F1476" s="73"/>
    </row>
    <row r="1477" spans="1:6" x14ac:dyDescent="0.25">
      <c r="A1477">
        <f t="shared" si="44"/>
        <v>0</v>
      </c>
      <c r="B1477" s="3">
        <f t="shared" si="45"/>
        <v>0</v>
      </c>
      <c r="C1477" s="72"/>
      <c r="D1477" s="72"/>
      <c r="E1477" s="73"/>
      <c r="F1477" s="73"/>
    </row>
    <row r="1478" spans="1:6" x14ac:dyDescent="0.25">
      <c r="A1478">
        <f t="shared" si="44"/>
        <v>0</v>
      </c>
      <c r="B1478" s="3">
        <f t="shared" si="45"/>
        <v>0</v>
      </c>
      <c r="C1478" s="72"/>
      <c r="D1478" s="72"/>
      <c r="E1478" s="73"/>
      <c r="F1478" s="73"/>
    </row>
    <row r="1479" spans="1:6" x14ac:dyDescent="0.25">
      <c r="A1479">
        <f t="shared" ref="A1479:A1542" si="46">IF(ISNUMBER(C1479),C1479*F1479,)</f>
        <v>0</v>
      </c>
      <c r="B1479" s="3">
        <f t="shared" ref="B1479:B1542" si="47">IF(C1479&lt;&gt;"",1,0)</f>
        <v>0</v>
      </c>
      <c r="C1479" s="72"/>
      <c r="D1479" s="72"/>
      <c r="E1479" s="73"/>
      <c r="F1479" s="73"/>
    </row>
    <row r="1480" spans="1:6" x14ac:dyDescent="0.25">
      <c r="A1480">
        <f t="shared" si="46"/>
        <v>0</v>
      </c>
      <c r="B1480" s="3">
        <f t="shared" si="47"/>
        <v>0</v>
      </c>
      <c r="C1480" s="72"/>
      <c r="D1480" s="72"/>
      <c r="E1480" s="73"/>
      <c r="F1480" s="73"/>
    </row>
    <row r="1481" spans="1:6" x14ac:dyDescent="0.25">
      <c r="A1481">
        <f t="shared" si="46"/>
        <v>0</v>
      </c>
      <c r="B1481" s="3">
        <f t="shared" si="47"/>
        <v>0</v>
      </c>
      <c r="C1481" s="72"/>
      <c r="D1481" s="72"/>
      <c r="E1481" s="73"/>
      <c r="F1481" s="73"/>
    </row>
    <row r="1482" spans="1:6" x14ac:dyDescent="0.25">
      <c r="A1482">
        <f t="shared" si="46"/>
        <v>0</v>
      </c>
      <c r="B1482" s="3">
        <f t="shared" si="47"/>
        <v>0</v>
      </c>
      <c r="C1482" s="72"/>
      <c r="D1482" s="72"/>
      <c r="E1482" s="73"/>
      <c r="F1482" s="73"/>
    </row>
    <row r="1483" spans="1:6" x14ac:dyDescent="0.25">
      <c r="A1483">
        <f t="shared" si="46"/>
        <v>0</v>
      </c>
      <c r="B1483" s="3">
        <f t="shared" si="47"/>
        <v>0</v>
      </c>
      <c r="C1483" s="72"/>
      <c r="D1483" s="72"/>
      <c r="E1483" s="73"/>
      <c r="F1483" s="73"/>
    </row>
    <row r="1484" spans="1:6" x14ac:dyDescent="0.25">
      <c r="A1484">
        <f t="shared" si="46"/>
        <v>0</v>
      </c>
      <c r="B1484" s="3">
        <f t="shared" si="47"/>
        <v>0</v>
      </c>
      <c r="C1484" s="72"/>
      <c r="D1484" s="72"/>
      <c r="E1484" s="73"/>
      <c r="F1484" s="73"/>
    </row>
    <row r="1485" spans="1:6" x14ac:dyDescent="0.25">
      <c r="A1485">
        <f t="shared" si="46"/>
        <v>0</v>
      </c>
      <c r="B1485" s="3">
        <f t="shared" si="47"/>
        <v>0</v>
      </c>
      <c r="C1485" s="72"/>
      <c r="D1485" s="72"/>
      <c r="E1485" s="73"/>
      <c r="F1485" s="73"/>
    </row>
    <row r="1486" spans="1:6" x14ac:dyDescent="0.25">
      <c r="A1486">
        <f t="shared" si="46"/>
        <v>0</v>
      </c>
      <c r="B1486" s="3">
        <f t="shared" si="47"/>
        <v>0</v>
      </c>
      <c r="C1486" s="72"/>
      <c r="D1486" s="72"/>
      <c r="E1486" s="73"/>
      <c r="F1486" s="73"/>
    </row>
    <row r="1487" spans="1:6" x14ac:dyDescent="0.25">
      <c r="A1487">
        <f t="shared" si="46"/>
        <v>0</v>
      </c>
      <c r="B1487" s="3">
        <f t="shared" si="47"/>
        <v>0</v>
      </c>
      <c r="C1487" s="72"/>
      <c r="D1487" s="72"/>
      <c r="E1487" s="73"/>
      <c r="F1487" s="73"/>
    </row>
    <row r="1488" spans="1:6" x14ac:dyDescent="0.25">
      <c r="A1488">
        <f t="shared" si="46"/>
        <v>0</v>
      </c>
      <c r="B1488" s="3">
        <f t="shared" si="47"/>
        <v>0</v>
      </c>
      <c r="C1488" s="72"/>
      <c r="D1488" s="72"/>
      <c r="E1488" s="73"/>
      <c r="F1488" s="73"/>
    </row>
    <row r="1489" spans="1:6" x14ac:dyDescent="0.25">
      <c r="A1489">
        <f t="shared" si="46"/>
        <v>0</v>
      </c>
      <c r="B1489" s="3">
        <f t="shared" si="47"/>
        <v>0</v>
      </c>
      <c r="C1489" s="72"/>
      <c r="D1489" s="72"/>
      <c r="E1489" s="73"/>
      <c r="F1489" s="73"/>
    </row>
    <row r="1490" spans="1:6" x14ac:dyDescent="0.25">
      <c r="A1490">
        <f t="shared" si="46"/>
        <v>0</v>
      </c>
      <c r="B1490" s="3">
        <f t="shared" si="47"/>
        <v>0</v>
      </c>
      <c r="C1490" s="72"/>
      <c r="D1490" s="72"/>
      <c r="E1490" s="73"/>
      <c r="F1490" s="73"/>
    </row>
    <row r="1491" spans="1:6" x14ac:dyDescent="0.25">
      <c r="A1491">
        <f t="shared" si="46"/>
        <v>0</v>
      </c>
      <c r="B1491" s="3">
        <f t="shared" si="47"/>
        <v>0</v>
      </c>
      <c r="C1491" s="72"/>
      <c r="D1491" s="72"/>
      <c r="E1491" s="73"/>
      <c r="F1491" s="73"/>
    </row>
    <row r="1492" spans="1:6" x14ac:dyDescent="0.25">
      <c r="A1492">
        <f t="shared" si="46"/>
        <v>0</v>
      </c>
      <c r="B1492" s="3">
        <f t="shared" si="47"/>
        <v>0</v>
      </c>
      <c r="C1492" s="72"/>
      <c r="D1492" s="72"/>
      <c r="E1492" s="73"/>
      <c r="F1492" s="73"/>
    </row>
    <row r="1493" spans="1:6" x14ac:dyDescent="0.25">
      <c r="A1493">
        <f t="shared" si="46"/>
        <v>0</v>
      </c>
      <c r="B1493" s="3">
        <f t="shared" si="47"/>
        <v>0</v>
      </c>
      <c r="C1493" s="72"/>
      <c r="D1493" s="72"/>
      <c r="E1493" s="73"/>
      <c r="F1493" s="73"/>
    </row>
    <row r="1494" spans="1:6" x14ac:dyDescent="0.25">
      <c r="A1494">
        <f t="shared" si="46"/>
        <v>0</v>
      </c>
      <c r="B1494" s="3">
        <f t="shared" si="47"/>
        <v>0</v>
      </c>
      <c r="C1494" s="72"/>
      <c r="D1494" s="72"/>
      <c r="E1494" s="73"/>
      <c r="F1494" s="73"/>
    </row>
    <row r="1495" spans="1:6" x14ac:dyDescent="0.25">
      <c r="A1495">
        <f t="shared" si="46"/>
        <v>0</v>
      </c>
      <c r="B1495" s="3">
        <f t="shared" si="47"/>
        <v>0</v>
      </c>
      <c r="C1495" s="72"/>
      <c r="D1495" s="72"/>
      <c r="E1495" s="73"/>
      <c r="F1495" s="73"/>
    </row>
    <row r="1496" spans="1:6" x14ac:dyDescent="0.25">
      <c r="A1496">
        <f t="shared" si="46"/>
        <v>0</v>
      </c>
      <c r="B1496" s="3">
        <f t="shared" si="47"/>
        <v>0</v>
      </c>
      <c r="C1496" s="72"/>
      <c r="D1496" s="72"/>
      <c r="E1496" s="73"/>
      <c r="F1496" s="73"/>
    </row>
    <row r="1497" spans="1:6" x14ac:dyDescent="0.25">
      <c r="A1497">
        <f t="shared" si="46"/>
        <v>0</v>
      </c>
      <c r="B1497" s="3">
        <f t="shared" si="47"/>
        <v>0</v>
      </c>
      <c r="C1497" s="72"/>
      <c r="D1497" s="72"/>
      <c r="E1497" s="73"/>
      <c r="F1497" s="73"/>
    </row>
    <row r="1498" spans="1:6" x14ac:dyDescent="0.25">
      <c r="A1498">
        <f t="shared" si="46"/>
        <v>0</v>
      </c>
      <c r="B1498" s="3">
        <f t="shared" si="47"/>
        <v>0</v>
      </c>
      <c r="C1498" s="72"/>
      <c r="D1498" s="72"/>
      <c r="E1498" s="73"/>
      <c r="F1498" s="73"/>
    </row>
    <row r="1499" spans="1:6" x14ac:dyDescent="0.25">
      <c r="A1499">
        <f t="shared" si="46"/>
        <v>0</v>
      </c>
      <c r="B1499" s="3">
        <f t="shared" si="47"/>
        <v>0</v>
      </c>
      <c r="C1499" s="72"/>
      <c r="D1499" s="72"/>
      <c r="E1499" s="73"/>
      <c r="F1499" s="73"/>
    </row>
    <row r="1500" spans="1:6" x14ac:dyDescent="0.25">
      <c r="A1500">
        <f t="shared" si="46"/>
        <v>0</v>
      </c>
      <c r="B1500" s="3">
        <f t="shared" si="47"/>
        <v>0</v>
      </c>
      <c r="C1500" s="72"/>
      <c r="D1500" s="72"/>
      <c r="E1500" s="73"/>
      <c r="F1500" s="73"/>
    </row>
    <row r="1501" spans="1:6" x14ac:dyDescent="0.25">
      <c r="A1501">
        <f t="shared" si="46"/>
        <v>0</v>
      </c>
      <c r="B1501" s="3">
        <f t="shared" si="47"/>
        <v>0</v>
      </c>
      <c r="C1501" s="72"/>
      <c r="D1501" s="72"/>
      <c r="E1501" s="73"/>
      <c r="F1501" s="73"/>
    </row>
    <row r="1502" spans="1:6" x14ac:dyDescent="0.25">
      <c r="A1502">
        <f t="shared" si="46"/>
        <v>0</v>
      </c>
      <c r="B1502" s="3">
        <f t="shared" si="47"/>
        <v>0</v>
      </c>
      <c r="C1502" s="72"/>
      <c r="D1502" s="72"/>
      <c r="E1502" s="73"/>
      <c r="F1502" s="73"/>
    </row>
    <row r="1503" spans="1:6" x14ac:dyDescent="0.25">
      <c r="A1503">
        <f t="shared" si="46"/>
        <v>0</v>
      </c>
      <c r="B1503" s="3">
        <f t="shared" si="47"/>
        <v>0</v>
      </c>
      <c r="C1503" s="72"/>
      <c r="D1503" s="72"/>
      <c r="E1503" s="73"/>
      <c r="F1503" s="73"/>
    </row>
    <row r="1504" spans="1:6" x14ac:dyDescent="0.25">
      <c r="A1504">
        <f t="shared" si="46"/>
        <v>0</v>
      </c>
      <c r="B1504" s="3">
        <f t="shared" si="47"/>
        <v>0</v>
      </c>
      <c r="C1504" s="72"/>
      <c r="D1504" s="72"/>
      <c r="E1504" s="73"/>
      <c r="F1504" s="73"/>
    </row>
    <row r="1505" spans="1:6" x14ac:dyDescent="0.25">
      <c r="A1505">
        <f t="shared" si="46"/>
        <v>0</v>
      </c>
      <c r="B1505" s="3">
        <f t="shared" si="47"/>
        <v>0</v>
      </c>
      <c r="C1505" s="72"/>
      <c r="D1505" s="72"/>
      <c r="E1505" s="73"/>
      <c r="F1505" s="73"/>
    </row>
    <row r="1506" spans="1:6" x14ac:dyDescent="0.25">
      <c r="A1506">
        <f t="shared" si="46"/>
        <v>0</v>
      </c>
      <c r="B1506" s="3">
        <f t="shared" si="47"/>
        <v>0</v>
      </c>
      <c r="C1506" s="72"/>
      <c r="D1506" s="72"/>
      <c r="E1506" s="73"/>
      <c r="F1506" s="73"/>
    </row>
    <row r="1507" spans="1:6" x14ac:dyDescent="0.25">
      <c r="A1507">
        <f t="shared" si="46"/>
        <v>0</v>
      </c>
      <c r="B1507" s="3">
        <f t="shared" si="47"/>
        <v>0</v>
      </c>
      <c r="C1507" s="72"/>
      <c r="D1507" s="72"/>
      <c r="E1507" s="73"/>
      <c r="F1507" s="73"/>
    </row>
    <row r="1508" spans="1:6" x14ac:dyDescent="0.25">
      <c r="A1508">
        <f t="shared" si="46"/>
        <v>0</v>
      </c>
      <c r="B1508" s="3">
        <f t="shared" si="47"/>
        <v>0</v>
      </c>
      <c r="C1508" s="72"/>
      <c r="D1508" s="72"/>
      <c r="E1508" s="73"/>
      <c r="F1508" s="73"/>
    </row>
    <row r="1509" spans="1:6" x14ac:dyDescent="0.25">
      <c r="A1509">
        <f t="shared" si="46"/>
        <v>0</v>
      </c>
      <c r="B1509" s="3">
        <f t="shared" si="47"/>
        <v>0</v>
      </c>
      <c r="C1509" s="72"/>
      <c r="D1509" s="72"/>
      <c r="E1509" s="73"/>
      <c r="F1509" s="73"/>
    </row>
    <row r="1510" spans="1:6" x14ac:dyDescent="0.25">
      <c r="A1510">
        <f t="shared" si="46"/>
        <v>0</v>
      </c>
      <c r="B1510" s="3">
        <f t="shared" si="47"/>
        <v>0</v>
      </c>
      <c r="C1510" s="72"/>
      <c r="D1510" s="72"/>
      <c r="E1510" s="73"/>
      <c r="F1510" s="73"/>
    </row>
    <row r="1511" spans="1:6" x14ac:dyDescent="0.25">
      <c r="A1511">
        <f t="shared" si="46"/>
        <v>0</v>
      </c>
      <c r="B1511" s="3">
        <f t="shared" si="47"/>
        <v>0</v>
      </c>
      <c r="C1511" s="72"/>
      <c r="D1511" s="72"/>
      <c r="E1511" s="73"/>
      <c r="F1511" s="73"/>
    </row>
    <row r="1512" spans="1:6" x14ac:dyDescent="0.25">
      <c r="A1512">
        <f t="shared" si="46"/>
        <v>0</v>
      </c>
      <c r="B1512" s="3">
        <f t="shared" si="47"/>
        <v>0</v>
      </c>
      <c r="C1512" s="72"/>
      <c r="D1512" s="72"/>
      <c r="E1512" s="73"/>
      <c r="F1512" s="73"/>
    </row>
    <row r="1513" spans="1:6" x14ac:dyDescent="0.25">
      <c r="A1513">
        <f t="shared" si="46"/>
        <v>0</v>
      </c>
      <c r="B1513" s="3">
        <f t="shared" si="47"/>
        <v>0</v>
      </c>
      <c r="C1513" s="72"/>
      <c r="D1513" s="72"/>
      <c r="E1513" s="73"/>
      <c r="F1513" s="73"/>
    </row>
    <row r="1514" spans="1:6" x14ac:dyDescent="0.25">
      <c r="A1514">
        <f t="shared" si="46"/>
        <v>0</v>
      </c>
      <c r="B1514" s="3">
        <f t="shared" si="47"/>
        <v>0</v>
      </c>
      <c r="C1514" s="72"/>
      <c r="D1514" s="72"/>
      <c r="E1514" s="73"/>
      <c r="F1514" s="73"/>
    </row>
    <row r="1515" spans="1:6" x14ac:dyDescent="0.25">
      <c r="A1515">
        <f t="shared" si="46"/>
        <v>0</v>
      </c>
      <c r="B1515" s="3">
        <f t="shared" si="47"/>
        <v>0</v>
      </c>
      <c r="C1515" s="72"/>
      <c r="D1515" s="72"/>
      <c r="E1515" s="73"/>
      <c r="F1515" s="73"/>
    </row>
    <row r="1516" spans="1:6" x14ac:dyDescent="0.25">
      <c r="A1516">
        <f t="shared" si="46"/>
        <v>0</v>
      </c>
      <c r="B1516" s="3">
        <f t="shared" si="47"/>
        <v>0</v>
      </c>
      <c r="C1516" s="72"/>
      <c r="D1516" s="72"/>
      <c r="E1516" s="73"/>
      <c r="F1516" s="73"/>
    </row>
    <row r="1517" spans="1:6" x14ac:dyDescent="0.25">
      <c r="A1517">
        <f t="shared" si="46"/>
        <v>0</v>
      </c>
      <c r="B1517" s="3">
        <f t="shared" si="47"/>
        <v>0</v>
      </c>
      <c r="C1517" s="72"/>
      <c r="D1517" s="72"/>
      <c r="E1517" s="73"/>
      <c r="F1517" s="73"/>
    </row>
    <row r="1518" spans="1:6" x14ac:dyDescent="0.25">
      <c r="A1518">
        <f t="shared" si="46"/>
        <v>0</v>
      </c>
      <c r="B1518" s="3">
        <f t="shared" si="47"/>
        <v>0</v>
      </c>
      <c r="C1518" s="72"/>
      <c r="D1518" s="72"/>
      <c r="E1518" s="73"/>
      <c r="F1518" s="73"/>
    </row>
    <row r="1519" spans="1:6" x14ac:dyDescent="0.25">
      <c r="A1519">
        <f t="shared" si="46"/>
        <v>0</v>
      </c>
      <c r="B1519" s="3">
        <f t="shared" si="47"/>
        <v>0</v>
      </c>
      <c r="C1519" s="72"/>
      <c r="D1519" s="72"/>
      <c r="E1519" s="73"/>
      <c r="F1519" s="73"/>
    </row>
    <row r="1520" spans="1:6" x14ac:dyDescent="0.25">
      <c r="A1520">
        <f t="shared" si="46"/>
        <v>0</v>
      </c>
      <c r="B1520" s="3">
        <f t="shared" si="47"/>
        <v>0</v>
      </c>
      <c r="C1520" s="72"/>
      <c r="D1520" s="72"/>
      <c r="E1520" s="73"/>
      <c r="F1520" s="73"/>
    </row>
    <row r="1521" spans="1:6" x14ac:dyDescent="0.25">
      <c r="A1521">
        <f t="shared" si="46"/>
        <v>0</v>
      </c>
      <c r="B1521" s="3">
        <f t="shared" si="47"/>
        <v>0</v>
      </c>
      <c r="C1521" s="72"/>
      <c r="D1521" s="72"/>
      <c r="E1521" s="73"/>
      <c r="F1521" s="73"/>
    </row>
    <row r="1522" spans="1:6" x14ac:dyDescent="0.25">
      <c r="A1522">
        <f t="shared" si="46"/>
        <v>0</v>
      </c>
      <c r="B1522" s="3">
        <f t="shared" si="47"/>
        <v>0</v>
      </c>
      <c r="C1522" s="72"/>
      <c r="D1522" s="72"/>
      <c r="E1522" s="73"/>
      <c r="F1522" s="73"/>
    </row>
    <row r="1523" spans="1:6" x14ac:dyDescent="0.25">
      <c r="A1523">
        <f t="shared" si="46"/>
        <v>0</v>
      </c>
      <c r="B1523" s="3">
        <f t="shared" si="47"/>
        <v>0</v>
      </c>
      <c r="C1523" s="72"/>
      <c r="D1523" s="72"/>
      <c r="E1523" s="73"/>
      <c r="F1523" s="73"/>
    </row>
    <row r="1524" spans="1:6" x14ac:dyDescent="0.25">
      <c r="A1524">
        <f t="shared" si="46"/>
        <v>0</v>
      </c>
      <c r="B1524" s="3">
        <f t="shared" si="47"/>
        <v>0</v>
      </c>
      <c r="C1524" s="72"/>
      <c r="D1524" s="72"/>
      <c r="E1524" s="73"/>
      <c r="F1524" s="73"/>
    </row>
    <row r="1525" spans="1:6" x14ac:dyDescent="0.25">
      <c r="A1525">
        <f t="shared" si="46"/>
        <v>0</v>
      </c>
      <c r="B1525" s="3">
        <f t="shared" si="47"/>
        <v>0</v>
      </c>
      <c r="C1525" s="72"/>
      <c r="D1525" s="72"/>
      <c r="E1525" s="73"/>
      <c r="F1525" s="73"/>
    </row>
    <row r="1526" spans="1:6" x14ac:dyDescent="0.25">
      <c r="A1526">
        <f t="shared" si="46"/>
        <v>0</v>
      </c>
      <c r="B1526" s="3">
        <f t="shared" si="47"/>
        <v>0</v>
      </c>
      <c r="C1526" s="72"/>
      <c r="D1526" s="72"/>
      <c r="E1526" s="73"/>
      <c r="F1526" s="73"/>
    </row>
    <row r="1527" spans="1:6" x14ac:dyDescent="0.25">
      <c r="A1527">
        <f t="shared" si="46"/>
        <v>0</v>
      </c>
      <c r="B1527" s="3">
        <f t="shared" si="47"/>
        <v>0</v>
      </c>
      <c r="C1527" s="72"/>
      <c r="D1527" s="72"/>
      <c r="E1527" s="73"/>
      <c r="F1527" s="73"/>
    </row>
    <row r="1528" spans="1:6" x14ac:dyDescent="0.25">
      <c r="A1528">
        <f t="shared" si="46"/>
        <v>0</v>
      </c>
      <c r="B1528" s="3">
        <f t="shared" si="47"/>
        <v>0</v>
      </c>
      <c r="C1528" s="72"/>
      <c r="D1528" s="72"/>
      <c r="E1528" s="73"/>
      <c r="F1528" s="73"/>
    </row>
    <row r="1529" spans="1:6" x14ac:dyDescent="0.25">
      <c r="A1529">
        <f t="shared" si="46"/>
        <v>0</v>
      </c>
      <c r="B1529" s="3">
        <f t="shared" si="47"/>
        <v>0</v>
      </c>
      <c r="C1529" s="72"/>
      <c r="D1529" s="72"/>
      <c r="E1529" s="73"/>
      <c r="F1529" s="73"/>
    </row>
    <row r="1530" spans="1:6" x14ac:dyDescent="0.25">
      <c r="A1530">
        <f t="shared" si="46"/>
        <v>0</v>
      </c>
      <c r="B1530" s="3">
        <f t="shared" si="47"/>
        <v>0</v>
      </c>
      <c r="C1530" s="72"/>
      <c r="D1530" s="72"/>
      <c r="E1530" s="73"/>
      <c r="F1530" s="73"/>
    </row>
    <row r="1531" spans="1:6" x14ac:dyDescent="0.25">
      <c r="A1531">
        <f t="shared" si="46"/>
        <v>0</v>
      </c>
      <c r="B1531" s="3">
        <f t="shared" si="47"/>
        <v>0</v>
      </c>
      <c r="C1531" s="72"/>
      <c r="D1531" s="72"/>
      <c r="E1531" s="73"/>
      <c r="F1531" s="73"/>
    </row>
    <row r="1532" spans="1:6" x14ac:dyDescent="0.25">
      <c r="A1532">
        <f t="shared" si="46"/>
        <v>0</v>
      </c>
      <c r="B1532" s="3">
        <f t="shared" si="47"/>
        <v>0</v>
      </c>
      <c r="C1532" s="72"/>
      <c r="D1532" s="72"/>
      <c r="E1532" s="73"/>
      <c r="F1532" s="73"/>
    </row>
    <row r="1533" spans="1:6" x14ac:dyDescent="0.25">
      <c r="A1533">
        <f t="shared" si="46"/>
        <v>0</v>
      </c>
      <c r="B1533" s="3">
        <f t="shared" si="47"/>
        <v>0</v>
      </c>
      <c r="C1533" s="72"/>
      <c r="D1533" s="72"/>
      <c r="E1533" s="73"/>
      <c r="F1533" s="73"/>
    </row>
    <row r="1534" spans="1:6" x14ac:dyDescent="0.25">
      <c r="A1534">
        <f t="shared" si="46"/>
        <v>0</v>
      </c>
      <c r="B1534" s="3">
        <f t="shared" si="47"/>
        <v>0</v>
      </c>
      <c r="C1534" s="72"/>
      <c r="D1534" s="72"/>
      <c r="E1534" s="73"/>
      <c r="F1534" s="73"/>
    </row>
    <row r="1535" spans="1:6" x14ac:dyDescent="0.25">
      <c r="A1535">
        <f t="shared" si="46"/>
        <v>0</v>
      </c>
      <c r="B1535" s="3">
        <f t="shared" si="47"/>
        <v>0</v>
      </c>
      <c r="C1535" s="72"/>
      <c r="D1535" s="72"/>
      <c r="E1535" s="73"/>
      <c r="F1535" s="73"/>
    </row>
    <row r="1536" spans="1:6" x14ac:dyDescent="0.25">
      <c r="A1536">
        <f t="shared" si="46"/>
        <v>0</v>
      </c>
      <c r="B1536" s="3">
        <f t="shared" si="47"/>
        <v>0</v>
      </c>
      <c r="C1536" s="72"/>
      <c r="D1536" s="72"/>
      <c r="E1536" s="73"/>
      <c r="F1536" s="73"/>
    </row>
    <row r="1537" spans="1:6" x14ac:dyDescent="0.25">
      <c r="A1537">
        <f t="shared" si="46"/>
        <v>0</v>
      </c>
      <c r="B1537" s="3">
        <f t="shared" si="47"/>
        <v>0</v>
      </c>
      <c r="C1537" s="72"/>
      <c r="D1537" s="72"/>
      <c r="E1537" s="73"/>
      <c r="F1537" s="73"/>
    </row>
    <row r="1538" spans="1:6" x14ac:dyDescent="0.25">
      <c r="A1538">
        <f t="shared" si="46"/>
        <v>0</v>
      </c>
      <c r="B1538" s="3">
        <f t="shared" si="47"/>
        <v>0</v>
      </c>
      <c r="C1538" s="72"/>
      <c r="D1538" s="72"/>
      <c r="E1538" s="73"/>
      <c r="F1538" s="73"/>
    </row>
    <row r="1539" spans="1:6" x14ac:dyDescent="0.25">
      <c r="A1539">
        <f t="shared" si="46"/>
        <v>0</v>
      </c>
      <c r="B1539" s="3">
        <f t="shared" si="47"/>
        <v>0</v>
      </c>
      <c r="C1539" s="72"/>
      <c r="D1539" s="72"/>
      <c r="E1539" s="73"/>
      <c r="F1539" s="73"/>
    </row>
    <row r="1540" spans="1:6" x14ac:dyDescent="0.25">
      <c r="A1540">
        <f t="shared" si="46"/>
        <v>0</v>
      </c>
      <c r="B1540" s="3">
        <f t="shared" si="47"/>
        <v>0</v>
      </c>
      <c r="C1540" s="72"/>
      <c r="D1540" s="72"/>
      <c r="E1540" s="73"/>
      <c r="F1540" s="73"/>
    </row>
    <row r="1541" spans="1:6" x14ac:dyDescent="0.25">
      <c r="A1541">
        <f t="shared" si="46"/>
        <v>0</v>
      </c>
      <c r="B1541" s="3">
        <f t="shared" si="47"/>
        <v>0</v>
      </c>
      <c r="C1541" s="72"/>
      <c r="D1541" s="72"/>
      <c r="E1541" s="73"/>
      <c r="F1541" s="73"/>
    </row>
    <row r="1542" spans="1:6" x14ac:dyDescent="0.25">
      <c r="A1542">
        <f t="shared" si="46"/>
        <v>0</v>
      </c>
      <c r="B1542" s="3">
        <f t="shared" si="47"/>
        <v>0</v>
      </c>
      <c r="C1542" s="72"/>
      <c r="D1542" s="72"/>
      <c r="E1542" s="73"/>
      <c r="F1542" s="73"/>
    </row>
    <row r="1543" spans="1:6" x14ac:dyDescent="0.25">
      <c r="A1543">
        <f t="shared" ref="A1543:A1606" si="48">IF(ISNUMBER(C1543),C1543*F1543,)</f>
        <v>0</v>
      </c>
      <c r="B1543" s="3">
        <f t="shared" ref="B1543:B1606" si="49">IF(C1543&lt;&gt;"",1,0)</f>
        <v>0</v>
      </c>
      <c r="C1543" s="72"/>
      <c r="D1543" s="72"/>
      <c r="E1543" s="73"/>
      <c r="F1543" s="73"/>
    </row>
    <row r="1544" spans="1:6" x14ac:dyDescent="0.25">
      <c r="A1544">
        <f t="shared" si="48"/>
        <v>0</v>
      </c>
      <c r="B1544" s="3">
        <f t="shared" si="49"/>
        <v>0</v>
      </c>
      <c r="C1544" s="72"/>
      <c r="D1544" s="72"/>
      <c r="E1544" s="73"/>
      <c r="F1544" s="73"/>
    </row>
    <row r="1545" spans="1:6" x14ac:dyDescent="0.25">
      <c r="A1545">
        <f t="shared" si="48"/>
        <v>0</v>
      </c>
      <c r="B1545" s="3">
        <f t="shared" si="49"/>
        <v>0</v>
      </c>
      <c r="C1545" s="72"/>
      <c r="D1545" s="72"/>
      <c r="E1545" s="73"/>
      <c r="F1545" s="73"/>
    </row>
    <row r="1546" spans="1:6" x14ac:dyDescent="0.25">
      <c r="A1546">
        <f t="shared" si="48"/>
        <v>0</v>
      </c>
      <c r="B1546" s="3">
        <f t="shared" si="49"/>
        <v>0</v>
      </c>
      <c r="C1546" s="72"/>
      <c r="D1546" s="72"/>
      <c r="E1546" s="73"/>
      <c r="F1546" s="73"/>
    </row>
    <row r="1547" spans="1:6" x14ac:dyDescent="0.25">
      <c r="A1547">
        <f t="shared" si="48"/>
        <v>0</v>
      </c>
      <c r="B1547" s="3">
        <f t="shared" si="49"/>
        <v>0</v>
      </c>
      <c r="C1547" s="72"/>
      <c r="D1547" s="72"/>
      <c r="E1547" s="73"/>
      <c r="F1547" s="73"/>
    </row>
    <row r="1548" spans="1:6" x14ac:dyDescent="0.25">
      <c r="A1548">
        <f t="shared" si="48"/>
        <v>0</v>
      </c>
      <c r="B1548" s="3">
        <f t="shared" si="49"/>
        <v>0</v>
      </c>
      <c r="C1548" s="72"/>
      <c r="D1548" s="72"/>
      <c r="E1548" s="73"/>
      <c r="F1548" s="73"/>
    </row>
    <row r="1549" spans="1:6" x14ac:dyDescent="0.25">
      <c r="A1549">
        <f t="shared" si="48"/>
        <v>0</v>
      </c>
      <c r="B1549" s="3">
        <f t="shared" si="49"/>
        <v>0</v>
      </c>
      <c r="C1549" s="72"/>
      <c r="D1549" s="72"/>
      <c r="E1549" s="73"/>
      <c r="F1549" s="73"/>
    </row>
    <row r="1550" spans="1:6" x14ac:dyDescent="0.25">
      <c r="A1550">
        <f t="shared" si="48"/>
        <v>0</v>
      </c>
      <c r="B1550" s="3">
        <f t="shared" si="49"/>
        <v>0</v>
      </c>
      <c r="C1550" s="72"/>
      <c r="D1550" s="72"/>
      <c r="E1550" s="73"/>
      <c r="F1550" s="73"/>
    </row>
    <row r="1551" spans="1:6" x14ac:dyDescent="0.25">
      <c r="A1551">
        <f t="shared" si="48"/>
        <v>0</v>
      </c>
      <c r="B1551" s="3">
        <f t="shared" si="49"/>
        <v>0</v>
      </c>
      <c r="C1551" s="72"/>
      <c r="D1551" s="72"/>
      <c r="E1551" s="73"/>
      <c r="F1551" s="73"/>
    </row>
    <row r="1552" spans="1:6" x14ac:dyDescent="0.25">
      <c r="A1552">
        <f t="shared" si="48"/>
        <v>0</v>
      </c>
      <c r="B1552" s="3">
        <f t="shared" si="49"/>
        <v>0</v>
      </c>
      <c r="C1552" s="72"/>
      <c r="D1552" s="72"/>
      <c r="E1552" s="73"/>
      <c r="F1552" s="73"/>
    </row>
    <row r="1553" spans="1:6" x14ac:dyDescent="0.25">
      <c r="A1553">
        <f t="shared" si="48"/>
        <v>0</v>
      </c>
      <c r="B1553" s="3">
        <f t="shared" si="49"/>
        <v>0</v>
      </c>
      <c r="C1553" s="72"/>
      <c r="D1553" s="72"/>
      <c r="E1553" s="73"/>
      <c r="F1553" s="73"/>
    </row>
    <row r="1554" spans="1:6" x14ac:dyDescent="0.25">
      <c r="A1554">
        <f t="shared" si="48"/>
        <v>0</v>
      </c>
      <c r="B1554" s="3">
        <f t="shared" si="49"/>
        <v>0</v>
      </c>
      <c r="C1554" s="72"/>
      <c r="D1554" s="72"/>
      <c r="E1554" s="73"/>
      <c r="F1554" s="73"/>
    </row>
    <row r="1555" spans="1:6" x14ac:dyDescent="0.25">
      <c r="A1555">
        <f t="shared" si="48"/>
        <v>0</v>
      </c>
      <c r="B1555" s="3">
        <f t="shared" si="49"/>
        <v>0</v>
      </c>
      <c r="C1555" s="72"/>
      <c r="D1555" s="72"/>
      <c r="E1555" s="73"/>
      <c r="F1555" s="73"/>
    </row>
    <row r="1556" spans="1:6" x14ac:dyDescent="0.25">
      <c r="A1556">
        <f t="shared" si="48"/>
        <v>0</v>
      </c>
      <c r="B1556" s="3">
        <f t="shared" si="49"/>
        <v>0</v>
      </c>
      <c r="C1556" s="72"/>
      <c r="D1556" s="72"/>
      <c r="E1556" s="73"/>
      <c r="F1556" s="73"/>
    </row>
    <row r="1557" spans="1:6" x14ac:dyDescent="0.25">
      <c r="A1557">
        <f t="shared" si="48"/>
        <v>0</v>
      </c>
      <c r="B1557" s="3">
        <f t="shared" si="49"/>
        <v>0</v>
      </c>
      <c r="C1557" s="72"/>
      <c r="D1557" s="72"/>
      <c r="E1557" s="73"/>
      <c r="F1557" s="73"/>
    </row>
    <row r="1558" spans="1:6" x14ac:dyDescent="0.25">
      <c r="A1558">
        <f t="shared" si="48"/>
        <v>0</v>
      </c>
      <c r="B1558" s="3">
        <f t="shared" si="49"/>
        <v>0</v>
      </c>
      <c r="C1558" s="72"/>
      <c r="D1558" s="72"/>
      <c r="E1558" s="73"/>
      <c r="F1558" s="73"/>
    </row>
    <row r="1559" spans="1:6" x14ac:dyDescent="0.25">
      <c r="A1559">
        <f t="shared" si="48"/>
        <v>0</v>
      </c>
      <c r="B1559" s="3">
        <f t="shared" si="49"/>
        <v>0</v>
      </c>
      <c r="C1559" s="72"/>
      <c r="D1559" s="72"/>
      <c r="E1559" s="73"/>
      <c r="F1559" s="73"/>
    </row>
    <row r="1560" spans="1:6" x14ac:dyDescent="0.25">
      <c r="A1560">
        <f t="shared" si="48"/>
        <v>0</v>
      </c>
      <c r="B1560" s="3">
        <f t="shared" si="49"/>
        <v>0</v>
      </c>
      <c r="C1560" s="72"/>
      <c r="D1560" s="72"/>
      <c r="E1560" s="73"/>
      <c r="F1560" s="73"/>
    </row>
    <row r="1561" spans="1:6" x14ac:dyDescent="0.25">
      <c r="A1561">
        <f t="shared" si="48"/>
        <v>0</v>
      </c>
      <c r="B1561" s="3">
        <f t="shared" si="49"/>
        <v>0</v>
      </c>
      <c r="C1561" s="72"/>
      <c r="D1561" s="72"/>
      <c r="E1561" s="73"/>
      <c r="F1561" s="73"/>
    </row>
    <row r="1562" spans="1:6" x14ac:dyDescent="0.25">
      <c r="A1562">
        <f t="shared" si="48"/>
        <v>0</v>
      </c>
      <c r="B1562" s="3">
        <f t="shared" si="49"/>
        <v>0</v>
      </c>
      <c r="C1562" s="72"/>
      <c r="D1562" s="72"/>
      <c r="E1562" s="73"/>
      <c r="F1562" s="73"/>
    </row>
    <row r="1563" spans="1:6" x14ac:dyDescent="0.25">
      <c r="A1563">
        <f t="shared" si="48"/>
        <v>0</v>
      </c>
      <c r="B1563" s="3">
        <f t="shared" si="49"/>
        <v>0</v>
      </c>
      <c r="C1563" s="72"/>
      <c r="D1563" s="72"/>
      <c r="E1563" s="73"/>
      <c r="F1563" s="73"/>
    </row>
    <row r="1564" spans="1:6" x14ac:dyDescent="0.25">
      <c r="A1564">
        <f t="shared" si="48"/>
        <v>0</v>
      </c>
      <c r="B1564" s="3">
        <f t="shared" si="49"/>
        <v>0</v>
      </c>
      <c r="C1564" s="72"/>
      <c r="D1564" s="72"/>
      <c r="E1564" s="73"/>
      <c r="F1564" s="73"/>
    </row>
    <row r="1565" spans="1:6" x14ac:dyDescent="0.25">
      <c r="A1565">
        <f t="shared" si="48"/>
        <v>0</v>
      </c>
      <c r="B1565" s="3">
        <f t="shared" si="49"/>
        <v>0</v>
      </c>
      <c r="C1565" s="72"/>
      <c r="D1565" s="72"/>
      <c r="E1565" s="73"/>
      <c r="F1565" s="73"/>
    </row>
    <row r="1566" spans="1:6" x14ac:dyDescent="0.25">
      <c r="A1566">
        <f t="shared" si="48"/>
        <v>0</v>
      </c>
      <c r="B1566" s="3">
        <f t="shared" si="49"/>
        <v>0</v>
      </c>
      <c r="C1566" s="72"/>
      <c r="D1566" s="72"/>
      <c r="E1566" s="73"/>
      <c r="F1566" s="73"/>
    </row>
    <row r="1567" spans="1:6" x14ac:dyDescent="0.25">
      <c r="A1567">
        <f t="shared" si="48"/>
        <v>0</v>
      </c>
      <c r="B1567" s="3">
        <f t="shared" si="49"/>
        <v>0</v>
      </c>
      <c r="C1567" s="72"/>
      <c r="D1567" s="72"/>
      <c r="E1567" s="73"/>
      <c r="F1567" s="73"/>
    </row>
    <row r="1568" spans="1:6" x14ac:dyDescent="0.25">
      <c r="A1568">
        <f t="shared" si="48"/>
        <v>0</v>
      </c>
      <c r="B1568" s="3">
        <f t="shared" si="49"/>
        <v>0</v>
      </c>
      <c r="C1568" s="72"/>
      <c r="D1568" s="72"/>
      <c r="E1568" s="73"/>
      <c r="F1568" s="73"/>
    </row>
    <row r="1569" spans="1:6" x14ac:dyDescent="0.25">
      <c r="A1569">
        <f t="shared" si="48"/>
        <v>0</v>
      </c>
      <c r="B1569" s="3">
        <f t="shared" si="49"/>
        <v>0</v>
      </c>
      <c r="C1569" s="72"/>
      <c r="D1569" s="72"/>
      <c r="E1569" s="73"/>
      <c r="F1569" s="73"/>
    </row>
    <row r="1570" spans="1:6" x14ac:dyDescent="0.25">
      <c r="A1570">
        <f t="shared" si="48"/>
        <v>0</v>
      </c>
      <c r="B1570" s="3">
        <f t="shared" si="49"/>
        <v>0</v>
      </c>
      <c r="C1570" s="72"/>
      <c r="D1570" s="72"/>
      <c r="E1570" s="73"/>
      <c r="F1570" s="73"/>
    </row>
    <row r="1571" spans="1:6" x14ac:dyDescent="0.25">
      <c r="A1571">
        <f t="shared" si="48"/>
        <v>0</v>
      </c>
      <c r="B1571" s="3">
        <f t="shared" si="49"/>
        <v>0</v>
      </c>
      <c r="C1571" s="72"/>
      <c r="D1571" s="72"/>
      <c r="E1571" s="73"/>
      <c r="F1571" s="73"/>
    </row>
    <row r="1572" spans="1:6" x14ac:dyDescent="0.25">
      <c r="A1572">
        <f t="shared" si="48"/>
        <v>0</v>
      </c>
      <c r="B1572" s="3">
        <f t="shared" si="49"/>
        <v>0</v>
      </c>
      <c r="C1572" s="72"/>
      <c r="D1572" s="72"/>
      <c r="E1572" s="73"/>
      <c r="F1572" s="73"/>
    </row>
    <row r="1573" spans="1:6" x14ac:dyDescent="0.25">
      <c r="A1573">
        <f t="shared" si="48"/>
        <v>0</v>
      </c>
      <c r="B1573" s="3">
        <f t="shared" si="49"/>
        <v>0</v>
      </c>
      <c r="C1573" s="72"/>
      <c r="D1573" s="72"/>
      <c r="E1573" s="73"/>
      <c r="F1573" s="73"/>
    </row>
    <row r="1574" spans="1:6" x14ac:dyDescent="0.25">
      <c r="A1574">
        <f t="shared" si="48"/>
        <v>0</v>
      </c>
      <c r="B1574" s="3">
        <f t="shared" si="49"/>
        <v>0</v>
      </c>
      <c r="C1574" s="72"/>
      <c r="D1574" s="72"/>
      <c r="E1574" s="73"/>
      <c r="F1574" s="73"/>
    </row>
    <row r="1575" spans="1:6" x14ac:dyDescent="0.25">
      <c r="A1575">
        <f t="shared" si="48"/>
        <v>0</v>
      </c>
      <c r="B1575" s="3">
        <f t="shared" si="49"/>
        <v>0</v>
      </c>
      <c r="C1575" s="72"/>
      <c r="D1575" s="72"/>
      <c r="E1575" s="73"/>
      <c r="F1575" s="73"/>
    </row>
    <row r="1576" spans="1:6" x14ac:dyDescent="0.25">
      <c r="A1576">
        <f t="shared" si="48"/>
        <v>0</v>
      </c>
      <c r="B1576" s="3">
        <f t="shared" si="49"/>
        <v>0</v>
      </c>
      <c r="C1576" s="72"/>
      <c r="D1576" s="72"/>
      <c r="E1576" s="73"/>
      <c r="F1576" s="73"/>
    </row>
    <row r="1577" spans="1:6" x14ac:dyDescent="0.25">
      <c r="A1577">
        <f t="shared" si="48"/>
        <v>0</v>
      </c>
      <c r="B1577" s="3">
        <f t="shared" si="49"/>
        <v>0</v>
      </c>
      <c r="C1577" s="72"/>
      <c r="D1577" s="72"/>
      <c r="E1577" s="73"/>
      <c r="F1577" s="73"/>
    </row>
    <row r="1578" spans="1:6" x14ac:dyDescent="0.25">
      <c r="A1578">
        <f t="shared" si="48"/>
        <v>0</v>
      </c>
      <c r="B1578" s="3">
        <f t="shared" si="49"/>
        <v>0</v>
      </c>
      <c r="C1578" s="72"/>
      <c r="D1578" s="72"/>
      <c r="E1578" s="73"/>
      <c r="F1578" s="73"/>
    </row>
    <row r="1579" spans="1:6" x14ac:dyDescent="0.25">
      <c r="A1579">
        <f t="shared" si="48"/>
        <v>0</v>
      </c>
      <c r="B1579" s="3">
        <f t="shared" si="49"/>
        <v>0</v>
      </c>
      <c r="C1579" s="72"/>
      <c r="D1579" s="72"/>
      <c r="E1579" s="73"/>
      <c r="F1579" s="73"/>
    </row>
    <row r="1580" spans="1:6" x14ac:dyDescent="0.25">
      <c r="A1580">
        <f t="shared" si="48"/>
        <v>0</v>
      </c>
      <c r="B1580" s="3">
        <f t="shared" si="49"/>
        <v>0</v>
      </c>
      <c r="C1580" s="72"/>
      <c r="D1580" s="72"/>
      <c r="E1580" s="73"/>
      <c r="F1580" s="73"/>
    </row>
    <row r="1581" spans="1:6" x14ac:dyDescent="0.25">
      <c r="A1581">
        <f t="shared" si="48"/>
        <v>0</v>
      </c>
      <c r="B1581" s="3">
        <f t="shared" si="49"/>
        <v>0</v>
      </c>
      <c r="C1581" s="72"/>
      <c r="D1581" s="72"/>
      <c r="E1581" s="73"/>
      <c r="F1581" s="73"/>
    </row>
    <row r="1582" spans="1:6" x14ac:dyDescent="0.25">
      <c r="A1582">
        <f t="shared" si="48"/>
        <v>0</v>
      </c>
      <c r="B1582" s="3">
        <f t="shared" si="49"/>
        <v>0</v>
      </c>
      <c r="C1582" s="72"/>
      <c r="D1582" s="72"/>
      <c r="E1582" s="73"/>
      <c r="F1582" s="73"/>
    </row>
    <row r="1583" spans="1:6" x14ac:dyDescent="0.25">
      <c r="A1583">
        <f t="shared" si="48"/>
        <v>0</v>
      </c>
      <c r="B1583" s="3">
        <f t="shared" si="49"/>
        <v>0</v>
      </c>
      <c r="C1583" s="72"/>
      <c r="D1583" s="72"/>
      <c r="E1583" s="73"/>
      <c r="F1583" s="73"/>
    </row>
    <row r="1584" spans="1:6" x14ac:dyDescent="0.25">
      <c r="A1584">
        <f t="shared" si="48"/>
        <v>0</v>
      </c>
      <c r="B1584" s="3">
        <f t="shared" si="49"/>
        <v>0</v>
      </c>
      <c r="C1584" s="72"/>
      <c r="D1584" s="72"/>
      <c r="E1584" s="73"/>
      <c r="F1584" s="73"/>
    </row>
    <row r="1585" spans="1:6" x14ac:dyDescent="0.25">
      <c r="A1585">
        <f t="shared" si="48"/>
        <v>0</v>
      </c>
      <c r="B1585" s="3">
        <f t="shared" si="49"/>
        <v>0</v>
      </c>
      <c r="C1585" s="72"/>
      <c r="D1585" s="72"/>
      <c r="E1585" s="73"/>
      <c r="F1585" s="73"/>
    </row>
    <row r="1586" spans="1:6" x14ac:dyDescent="0.25">
      <c r="A1586">
        <f t="shared" si="48"/>
        <v>0</v>
      </c>
      <c r="B1586" s="3">
        <f t="shared" si="49"/>
        <v>0</v>
      </c>
      <c r="C1586" s="72"/>
      <c r="D1586" s="72"/>
      <c r="E1586" s="73"/>
      <c r="F1586" s="73"/>
    </row>
    <row r="1587" spans="1:6" x14ac:dyDescent="0.25">
      <c r="A1587">
        <f t="shared" si="48"/>
        <v>0</v>
      </c>
      <c r="B1587" s="3">
        <f t="shared" si="49"/>
        <v>0</v>
      </c>
      <c r="C1587" s="72"/>
      <c r="D1587" s="72"/>
      <c r="E1587" s="73"/>
      <c r="F1587" s="73"/>
    </row>
    <row r="1588" spans="1:6" x14ac:dyDescent="0.25">
      <c r="A1588">
        <f t="shared" si="48"/>
        <v>0</v>
      </c>
      <c r="B1588" s="3">
        <f t="shared" si="49"/>
        <v>0</v>
      </c>
      <c r="C1588" s="72"/>
      <c r="D1588" s="72"/>
      <c r="E1588" s="73"/>
      <c r="F1588" s="73"/>
    </row>
    <row r="1589" spans="1:6" x14ac:dyDescent="0.25">
      <c r="A1589">
        <f t="shared" si="48"/>
        <v>0</v>
      </c>
      <c r="B1589" s="3">
        <f t="shared" si="49"/>
        <v>0</v>
      </c>
      <c r="C1589" s="72"/>
      <c r="D1589" s="72"/>
      <c r="E1589" s="73"/>
      <c r="F1589" s="73"/>
    </row>
    <row r="1590" spans="1:6" x14ac:dyDescent="0.25">
      <c r="A1590">
        <f t="shared" si="48"/>
        <v>0</v>
      </c>
      <c r="B1590" s="3">
        <f t="shared" si="49"/>
        <v>0</v>
      </c>
      <c r="C1590" s="72"/>
      <c r="D1590" s="72"/>
      <c r="E1590" s="73"/>
      <c r="F1590" s="73"/>
    </row>
    <row r="1591" spans="1:6" x14ac:dyDescent="0.25">
      <c r="A1591">
        <f t="shared" si="48"/>
        <v>0</v>
      </c>
      <c r="B1591" s="3">
        <f t="shared" si="49"/>
        <v>0</v>
      </c>
      <c r="C1591" s="72"/>
      <c r="D1591" s="72"/>
      <c r="E1591" s="73"/>
      <c r="F1591" s="73"/>
    </row>
    <row r="1592" spans="1:6" x14ac:dyDescent="0.25">
      <c r="A1592">
        <f t="shared" si="48"/>
        <v>0</v>
      </c>
      <c r="B1592" s="3">
        <f t="shared" si="49"/>
        <v>0</v>
      </c>
      <c r="C1592" s="72"/>
      <c r="D1592" s="72"/>
      <c r="E1592" s="73"/>
      <c r="F1592" s="73"/>
    </row>
    <row r="1593" spans="1:6" x14ac:dyDescent="0.25">
      <c r="A1593">
        <f t="shared" si="48"/>
        <v>0</v>
      </c>
      <c r="B1593" s="3">
        <f t="shared" si="49"/>
        <v>0</v>
      </c>
      <c r="C1593" s="72"/>
      <c r="D1593" s="72"/>
      <c r="E1593" s="73"/>
      <c r="F1593" s="73"/>
    </row>
    <row r="1594" spans="1:6" x14ac:dyDescent="0.25">
      <c r="A1594">
        <f t="shared" si="48"/>
        <v>0</v>
      </c>
      <c r="B1594" s="3">
        <f t="shared" si="49"/>
        <v>0</v>
      </c>
      <c r="C1594" s="72"/>
      <c r="D1594" s="72"/>
      <c r="E1594" s="73"/>
      <c r="F1594" s="73"/>
    </row>
    <row r="1595" spans="1:6" x14ac:dyDescent="0.25">
      <c r="A1595">
        <f t="shared" si="48"/>
        <v>0</v>
      </c>
      <c r="B1595" s="3">
        <f t="shared" si="49"/>
        <v>0</v>
      </c>
      <c r="C1595" s="72"/>
      <c r="D1595" s="72"/>
      <c r="E1595" s="73"/>
      <c r="F1595" s="73"/>
    </row>
    <row r="1596" spans="1:6" x14ac:dyDescent="0.25">
      <c r="A1596">
        <f t="shared" si="48"/>
        <v>0</v>
      </c>
      <c r="B1596" s="3">
        <f t="shared" si="49"/>
        <v>0</v>
      </c>
      <c r="C1596" s="72"/>
      <c r="D1596" s="72"/>
      <c r="E1596" s="73"/>
      <c r="F1596" s="73"/>
    </row>
    <row r="1597" spans="1:6" x14ac:dyDescent="0.25">
      <c r="A1597">
        <f t="shared" si="48"/>
        <v>0</v>
      </c>
      <c r="B1597" s="3">
        <f t="shared" si="49"/>
        <v>0</v>
      </c>
      <c r="C1597" s="72"/>
      <c r="D1597" s="72"/>
      <c r="E1597" s="73"/>
      <c r="F1597" s="73"/>
    </row>
    <row r="1598" spans="1:6" x14ac:dyDescent="0.25">
      <c r="A1598">
        <f t="shared" si="48"/>
        <v>0</v>
      </c>
      <c r="B1598" s="3">
        <f t="shared" si="49"/>
        <v>0</v>
      </c>
      <c r="C1598" s="72"/>
      <c r="D1598" s="72"/>
      <c r="E1598" s="73"/>
      <c r="F1598" s="73"/>
    </row>
    <row r="1599" spans="1:6" x14ac:dyDescent="0.25">
      <c r="A1599">
        <f t="shared" si="48"/>
        <v>0</v>
      </c>
      <c r="B1599" s="3">
        <f t="shared" si="49"/>
        <v>0</v>
      </c>
      <c r="C1599" s="72"/>
      <c r="D1599" s="72"/>
      <c r="E1599" s="73"/>
      <c r="F1599" s="73"/>
    </row>
    <row r="1600" spans="1:6" x14ac:dyDescent="0.25">
      <c r="A1600">
        <f t="shared" si="48"/>
        <v>0</v>
      </c>
      <c r="B1600" s="3">
        <f t="shared" si="49"/>
        <v>0</v>
      </c>
      <c r="C1600" s="72"/>
      <c r="D1600" s="72"/>
      <c r="E1600" s="73"/>
      <c r="F1600" s="73"/>
    </row>
    <row r="1601" spans="1:6" x14ac:dyDescent="0.25">
      <c r="A1601">
        <f t="shared" si="48"/>
        <v>0</v>
      </c>
      <c r="B1601" s="3">
        <f t="shared" si="49"/>
        <v>0</v>
      </c>
      <c r="C1601" s="72"/>
      <c r="D1601" s="72"/>
      <c r="E1601" s="73"/>
      <c r="F1601" s="73"/>
    </row>
    <row r="1602" spans="1:6" x14ac:dyDescent="0.25">
      <c r="A1602">
        <f t="shared" si="48"/>
        <v>0</v>
      </c>
      <c r="B1602" s="3">
        <f t="shared" si="49"/>
        <v>0</v>
      </c>
      <c r="C1602" s="72"/>
      <c r="D1602" s="72"/>
      <c r="E1602" s="73"/>
      <c r="F1602" s="73"/>
    </row>
    <row r="1603" spans="1:6" x14ac:dyDescent="0.25">
      <c r="A1603">
        <f t="shared" si="48"/>
        <v>0</v>
      </c>
      <c r="B1603" s="3">
        <f t="shared" si="49"/>
        <v>0</v>
      </c>
      <c r="C1603" s="72"/>
      <c r="D1603" s="72"/>
      <c r="E1603" s="73"/>
      <c r="F1603" s="73"/>
    </row>
    <row r="1604" spans="1:6" x14ac:dyDescent="0.25">
      <c r="A1604">
        <f t="shared" si="48"/>
        <v>0</v>
      </c>
      <c r="B1604" s="3">
        <f t="shared" si="49"/>
        <v>0</v>
      </c>
      <c r="C1604" s="72"/>
      <c r="D1604" s="72"/>
      <c r="E1604" s="73"/>
      <c r="F1604" s="73"/>
    </row>
    <row r="1605" spans="1:6" x14ac:dyDescent="0.25">
      <c r="A1605">
        <f t="shared" si="48"/>
        <v>0</v>
      </c>
      <c r="B1605" s="3">
        <f t="shared" si="49"/>
        <v>0</v>
      </c>
      <c r="C1605" s="72"/>
      <c r="D1605" s="72"/>
      <c r="E1605" s="73"/>
      <c r="F1605" s="73"/>
    </row>
    <row r="1606" spans="1:6" x14ac:dyDescent="0.25">
      <c r="A1606">
        <f t="shared" si="48"/>
        <v>0</v>
      </c>
      <c r="B1606" s="3">
        <f t="shared" si="49"/>
        <v>0</v>
      </c>
      <c r="C1606" s="72"/>
      <c r="D1606" s="72"/>
      <c r="E1606" s="73"/>
      <c r="F1606" s="73"/>
    </row>
    <row r="1607" spans="1:6" x14ac:dyDescent="0.25">
      <c r="A1607">
        <f t="shared" ref="A1607:A1670" si="50">IF(ISNUMBER(C1607),C1607*F1607,)</f>
        <v>0</v>
      </c>
      <c r="B1607" s="3">
        <f t="shared" ref="B1607:B1670" si="51">IF(C1607&lt;&gt;"",1,0)</f>
        <v>0</v>
      </c>
      <c r="C1607" s="72"/>
      <c r="D1607" s="72"/>
      <c r="E1607" s="73"/>
      <c r="F1607" s="73"/>
    </row>
    <row r="1608" spans="1:6" x14ac:dyDescent="0.25">
      <c r="A1608">
        <f t="shared" si="50"/>
        <v>0</v>
      </c>
      <c r="B1608" s="3">
        <f t="shared" si="51"/>
        <v>0</v>
      </c>
      <c r="C1608" s="72"/>
      <c r="D1608" s="72"/>
      <c r="E1608" s="73"/>
      <c r="F1608" s="73"/>
    </row>
    <row r="1609" spans="1:6" x14ac:dyDescent="0.25">
      <c r="A1609">
        <f t="shared" si="50"/>
        <v>0</v>
      </c>
      <c r="B1609" s="3">
        <f t="shared" si="51"/>
        <v>0</v>
      </c>
      <c r="C1609" s="72"/>
      <c r="D1609" s="72"/>
      <c r="E1609" s="73"/>
      <c r="F1609" s="73"/>
    </row>
    <row r="1610" spans="1:6" x14ac:dyDescent="0.25">
      <c r="A1610">
        <f t="shared" si="50"/>
        <v>0</v>
      </c>
      <c r="B1610" s="3">
        <f t="shared" si="51"/>
        <v>0</v>
      </c>
      <c r="C1610" s="72"/>
      <c r="D1610" s="72"/>
      <c r="E1610" s="73"/>
      <c r="F1610" s="73"/>
    </row>
    <row r="1611" spans="1:6" x14ac:dyDescent="0.25">
      <c r="A1611">
        <f t="shared" si="50"/>
        <v>0</v>
      </c>
      <c r="B1611" s="3">
        <f t="shared" si="51"/>
        <v>0</v>
      </c>
      <c r="C1611" s="72"/>
      <c r="D1611" s="72"/>
      <c r="E1611" s="73"/>
      <c r="F1611" s="73"/>
    </row>
    <row r="1612" spans="1:6" x14ac:dyDescent="0.25">
      <c r="A1612">
        <f t="shared" si="50"/>
        <v>0</v>
      </c>
      <c r="B1612" s="3">
        <f t="shared" si="51"/>
        <v>0</v>
      </c>
      <c r="C1612" s="72"/>
      <c r="D1612" s="72"/>
      <c r="E1612" s="73"/>
      <c r="F1612" s="73"/>
    </row>
    <row r="1613" spans="1:6" x14ac:dyDescent="0.25">
      <c r="A1613">
        <f t="shared" si="50"/>
        <v>0</v>
      </c>
      <c r="B1613" s="3">
        <f t="shared" si="51"/>
        <v>0</v>
      </c>
      <c r="C1613" s="72"/>
      <c r="D1613" s="72"/>
      <c r="E1613" s="73"/>
      <c r="F1613" s="73"/>
    </row>
    <row r="1614" spans="1:6" x14ac:dyDescent="0.25">
      <c r="A1614">
        <f t="shared" si="50"/>
        <v>0</v>
      </c>
      <c r="B1614" s="3">
        <f t="shared" si="51"/>
        <v>0</v>
      </c>
      <c r="C1614" s="72"/>
      <c r="D1614" s="72"/>
      <c r="E1614" s="73"/>
      <c r="F1614" s="73"/>
    </row>
    <row r="1615" spans="1:6" x14ac:dyDescent="0.25">
      <c r="A1615">
        <f t="shared" si="50"/>
        <v>0</v>
      </c>
      <c r="B1615" s="3">
        <f t="shared" si="51"/>
        <v>0</v>
      </c>
      <c r="C1615" s="72"/>
      <c r="D1615" s="72"/>
      <c r="E1615" s="73"/>
      <c r="F1615" s="73"/>
    </row>
    <row r="1616" spans="1:6" x14ac:dyDescent="0.25">
      <c r="A1616">
        <f t="shared" si="50"/>
        <v>0</v>
      </c>
      <c r="B1616" s="3">
        <f t="shared" si="51"/>
        <v>0</v>
      </c>
      <c r="C1616" s="72"/>
      <c r="D1616" s="72"/>
      <c r="E1616" s="73"/>
      <c r="F1616" s="73"/>
    </row>
    <row r="1617" spans="1:6" x14ac:dyDescent="0.25">
      <c r="A1617">
        <f t="shared" si="50"/>
        <v>0</v>
      </c>
      <c r="B1617" s="3">
        <f t="shared" si="51"/>
        <v>0</v>
      </c>
      <c r="C1617" s="72"/>
      <c r="D1617" s="72"/>
      <c r="E1617" s="73"/>
      <c r="F1617" s="73"/>
    </row>
    <row r="1618" spans="1:6" x14ac:dyDescent="0.25">
      <c r="A1618">
        <f t="shared" si="50"/>
        <v>0</v>
      </c>
      <c r="B1618" s="3">
        <f t="shared" si="51"/>
        <v>0</v>
      </c>
      <c r="C1618" s="72"/>
      <c r="D1618" s="72"/>
      <c r="E1618" s="73"/>
      <c r="F1618" s="73"/>
    </row>
    <row r="1619" spans="1:6" x14ac:dyDescent="0.25">
      <c r="A1619">
        <f t="shared" si="50"/>
        <v>0</v>
      </c>
      <c r="B1619" s="3">
        <f t="shared" si="51"/>
        <v>0</v>
      </c>
      <c r="C1619" s="72"/>
      <c r="D1619" s="72"/>
      <c r="E1619" s="73"/>
      <c r="F1619" s="73"/>
    </row>
    <row r="1620" spans="1:6" x14ac:dyDescent="0.25">
      <c r="A1620">
        <f t="shared" si="50"/>
        <v>0</v>
      </c>
      <c r="B1620" s="3">
        <f t="shared" si="51"/>
        <v>0</v>
      </c>
      <c r="C1620" s="72"/>
      <c r="D1620" s="72"/>
      <c r="E1620" s="73"/>
      <c r="F1620" s="73"/>
    </row>
    <row r="1621" spans="1:6" x14ac:dyDescent="0.25">
      <c r="A1621">
        <f t="shared" si="50"/>
        <v>0</v>
      </c>
      <c r="B1621" s="3">
        <f t="shared" si="51"/>
        <v>0</v>
      </c>
      <c r="C1621" s="72"/>
      <c r="D1621" s="72"/>
      <c r="E1621" s="73"/>
      <c r="F1621" s="73"/>
    </row>
    <row r="1622" spans="1:6" x14ac:dyDescent="0.25">
      <c r="A1622">
        <f t="shared" si="50"/>
        <v>0</v>
      </c>
      <c r="B1622" s="3">
        <f t="shared" si="51"/>
        <v>0</v>
      </c>
      <c r="C1622" s="72"/>
      <c r="D1622" s="72"/>
      <c r="E1622" s="73"/>
      <c r="F1622" s="73"/>
    </row>
    <row r="1623" spans="1:6" x14ac:dyDescent="0.25">
      <c r="A1623">
        <f t="shared" si="50"/>
        <v>0</v>
      </c>
      <c r="B1623" s="3">
        <f t="shared" si="51"/>
        <v>0</v>
      </c>
      <c r="C1623" s="72"/>
      <c r="D1623" s="72"/>
      <c r="E1623" s="73"/>
      <c r="F1623" s="73"/>
    </row>
    <row r="1624" spans="1:6" x14ac:dyDescent="0.25">
      <c r="A1624">
        <f t="shared" si="50"/>
        <v>0</v>
      </c>
      <c r="B1624" s="3">
        <f t="shared" si="51"/>
        <v>0</v>
      </c>
      <c r="C1624" s="72"/>
      <c r="D1624" s="72"/>
      <c r="E1624" s="73"/>
      <c r="F1624" s="73"/>
    </row>
    <row r="1625" spans="1:6" x14ac:dyDescent="0.25">
      <c r="A1625">
        <f t="shared" si="50"/>
        <v>0</v>
      </c>
      <c r="B1625" s="3">
        <f t="shared" si="51"/>
        <v>0</v>
      </c>
      <c r="C1625" s="72"/>
      <c r="D1625" s="72"/>
      <c r="E1625" s="73"/>
      <c r="F1625" s="73"/>
    </row>
    <row r="1626" spans="1:6" x14ac:dyDescent="0.25">
      <c r="A1626">
        <f t="shared" si="50"/>
        <v>0</v>
      </c>
      <c r="B1626" s="3">
        <f t="shared" si="51"/>
        <v>0</v>
      </c>
      <c r="C1626" s="72"/>
      <c r="D1626" s="72"/>
      <c r="E1626" s="73"/>
      <c r="F1626" s="73"/>
    </row>
    <row r="1627" spans="1:6" x14ac:dyDescent="0.25">
      <c r="A1627">
        <f t="shared" si="50"/>
        <v>0</v>
      </c>
      <c r="B1627" s="3">
        <f t="shared" si="51"/>
        <v>0</v>
      </c>
      <c r="C1627" s="72"/>
      <c r="D1627" s="72"/>
      <c r="E1627" s="73"/>
      <c r="F1627" s="73"/>
    </row>
    <row r="1628" spans="1:6" x14ac:dyDescent="0.25">
      <c r="A1628">
        <f t="shared" si="50"/>
        <v>0</v>
      </c>
      <c r="B1628" s="3">
        <f t="shared" si="51"/>
        <v>0</v>
      </c>
      <c r="C1628" s="72"/>
      <c r="D1628" s="72"/>
      <c r="E1628" s="73"/>
      <c r="F1628" s="73"/>
    </row>
    <row r="1629" spans="1:6" x14ac:dyDescent="0.25">
      <c r="A1629">
        <f t="shared" si="50"/>
        <v>0</v>
      </c>
      <c r="B1629" s="3">
        <f t="shared" si="51"/>
        <v>0</v>
      </c>
      <c r="C1629" s="72"/>
      <c r="D1629" s="72"/>
      <c r="E1629" s="73"/>
      <c r="F1629" s="73"/>
    </row>
    <row r="1630" spans="1:6" x14ac:dyDescent="0.25">
      <c r="A1630">
        <f t="shared" si="50"/>
        <v>0</v>
      </c>
      <c r="B1630" s="3">
        <f t="shared" si="51"/>
        <v>0</v>
      </c>
      <c r="C1630" s="72"/>
      <c r="D1630" s="72"/>
      <c r="E1630" s="73"/>
      <c r="F1630" s="73"/>
    </row>
    <row r="1631" spans="1:6" x14ac:dyDescent="0.25">
      <c r="A1631">
        <f t="shared" si="50"/>
        <v>0</v>
      </c>
      <c r="B1631" s="3">
        <f t="shared" si="51"/>
        <v>0</v>
      </c>
      <c r="C1631" s="72"/>
      <c r="D1631" s="72"/>
      <c r="E1631" s="73"/>
      <c r="F1631" s="73"/>
    </row>
    <row r="1632" spans="1:6" x14ac:dyDescent="0.25">
      <c r="A1632">
        <f t="shared" si="50"/>
        <v>0</v>
      </c>
      <c r="B1632" s="3">
        <f t="shared" si="51"/>
        <v>0</v>
      </c>
      <c r="C1632" s="72"/>
      <c r="D1632" s="72"/>
      <c r="E1632" s="73"/>
      <c r="F1632" s="73"/>
    </row>
    <row r="1633" spans="1:6" x14ac:dyDescent="0.25">
      <c r="A1633">
        <f t="shared" si="50"/>
        <v>0</v>
      </c>
      <c r="B1633" s="3">
        <f t="shared" si="51"/>
        <v>0</v>
      </c>
      <c r="C1633" s="72"/>
      <c r="D1633" s="72"/>
      <c r="E1633" s="73"/>
      <c r="F1633" s="73"/>
    </row>
    <row r="1634" spans="1:6" x14ac:dyDescent="0.25">
      <c r="A1634">
        <f t="shared" si="50"/>
        <v>0</v>
      </c>
      <c r="B1634" s="3">
        <f t="shared" si="51"/>
        <v>0</v>
      </c>
      <c r="C1634" s="72"/>
      <c r="D1634" s="72"/>
      <c r="E1634" s="73"/>
      <c r="F1634" s="73"/>
    </row>
    <row r="1635" spans="1:6" x14ac:dyDescent="0.25">
      <c r="A1635">
        <f t="shared" si="50"/>
        <v>0</v>
      </c>
      <c r="B1635" s="3">
        <f t="shared" si="51"/>
        <v>0</v>
      </c>
      <c r="C1635" s="72"/>
      <c r="D1635" s="72"/>
      <c r="E1635" s="73"/>
      <c r="F1635" s="73"/>
    </row>
    <row r="1636" spans="1:6" x14ac:dyDescent="0.25">
      <c r="A1636">
        <f t="shared" si="50"/>
        <v>0</v>
      </c>
      <c r="B1636" s="3">
        <f t="shared" si="51"/>
        <v>0</v>
      </c>
      <c r="C1636" s="72"/>
      <c r="D1636" s="72"/>
      <c r="E1636" s="73"/>
      <c r="F1636" s="73"/>
    </row>
    <row r="1637" spans="1:6" x14ac:dyDescent="0.25">
      <c r="A1637">
        <f t="shared" si="50"/>
        <v>0</v>
      </c>
      <c r="B1637" s="3">
        <f t="shared" si="51"/>
        <v>0</v>
      </c>
      <c r="C1637" s="72"/>
      <c r="D1637" s="72"/>
      <c r="E1637" s="73"/>
      <c r="F1637" s="73"/>
    </row>
    <row r="1638" spans="1:6" x14ac:dyDescent="0.25">
      <c r="A1638">
        <f t="shared" si="50"/>
        <v>0</v>
      </c>
      <c r="B1638" s="3">
        <f t="shared" si="51"/>
        <v>0</v>
      </c>
      <c r="C1638" s="72"/>
      <c r="D1638" s="72"/>
      <c r="E1638" s="73"/>
      <c r="F1638" s="73"/>
    </row>
    <row r="1639" spans="1:6" x14ac:dyDescent="0.25">
      <c r="A1639">
        <f t="shared" si="50"/>
        <v>0</v>
      </c>
      <c r="B1639" s="3">
        <f t="shared" si="51"/>
        <v>0</v>
      </c>
      <c r="C1639" s="72"/>
      <c r="D1639" s="72"/>
      <c r="E1639" s="73"/>
      <c r="F1639" s="73"/>
    </row>
    <row r="1640" spans="1:6" x14ac:dyDescent="0.25">
      <c r="A1640">
        <f t="shared" si="50"/>
        <v>0</v>
      </c>
      <c r="B1640" s="3">
        <f t="shared" si="51"/>
        <v>0</v>
      </c>
      <c r="C1640" s="72"/>
      <c r="D1640" s="72"/>
      <c r="E1640" s="73"/>
      <c r="F1640" s="73"/>
    </row>
    <row r="1641" spans="1:6" x14ac:dyDescent="0.25">
      <c r="A1641">
        <f t="shared" si="50"/>
        <v>0</v>
      </c>
      <c r="B1641" s="3">
        <f t="shared" si="51"/>
        <v>0</v>
      </c>
      <c r="C1641" s="72"/>
      <c r="D1641" s="72"/>
      <c r="E1641" s="73"/>
      <c r="F1641" s="73"/>
    </row>
    <row r="1642" spans="1:6" x14ac:dyDescent="0.25">
      <c r="A1642">
        <f t="shared" si="50"/>
        <v>0</v>
      </c>
      <c r="B1642" s="3">
        <f t="shared" si="51"/>
        <v>0</v>
      </c>
      <c r="C1642" s="72"/>
      <c r="D1642" s="72"/>
      <c r="E1642" s="73"/>
      <c r="F1642" s="73"/>
    </row>
    <row r="1643" spans="1:6" x14ac:dyDescent="0.25">
      <c r="A1643">
        <f t="shared" si="50"/>
        <v>0</v>
      </c>
      <c r="B1643" s="3">
        <f t="shared" si="51"/>
        <v>0</v>
      </c>
      <c r="C1643" s="72"/>
      <c r="D1643" s="72"/>
      <c r="E1643" s="73"/>
      <c r="F1643" s="73"/>
    </row>
    <row r="1644" spans="1:6" x14ac:dyDescent="0.25">
      <c r="A1644">
        <f t="shared" si="50"/>
        <v>0</v>
      </c>
      <c r="B1644" s="3">
        <f t="shared" si="51"/>
        <v>0</v>
      </c>
      <c r="C1644" s="72"/>
      <c r="D1644" s="72"/>
      <c r="E1644" s="73"/>
      <c r="F1644" s="73"/>
    </row>
    <row r="1645" spans="1:6" x14ac:dyDescent="0.25">
      <c r="A1645">
        <f t="shared" si="50"/>
        <v>0</v>
      </c>
      <c r="B1645" s="3">
        <f t="shared" si="51"/>
        <v>0</v>
      </c>
      <c r="C1645" s="72"/>
      <c r="D1645" s="72"/>
      <c r="E1645" s="73"/>
      <c r="F1645" s="73"/>
    </row>
    <row r="1646" spans="1:6" x14ac:dyDescent="0.25">
      <c r="A1646">
        <f t="shared" si="50"/>
        <v>0</v>
      </c>
      <c r="B1646" s="3">
        <f t="shared" si="51"/>
        <v>0</v>
      </c>
      <c r="C1646" s="72"/>
      <c r="D1646" s="72"/>
      <c r="E1646" s="73"/>
      <c r="F1646" s="73"/>
    </row>
    <row r="1647" spans="1:6" x14ac:dyDescent="0.25">
      <c r="A1647">
        <f t="shared" si="50"/>
        <v>0</v>
      </c>
      <c r="B1647" s="3">
        <f t="shared" si="51"/>
        <v>0</v>
      </c>
      <c r="C1647" s="72"/>
      <c r="D1647" s="72"/>
      <c r="E1647" s="73"/>
      <c r="F1647" s="73"/>
    </row>
    <row r="1648" spans="1:6" x14ac:dyDescent="0.25">
      <c r="A1648">
        <f t="shared" si="50"/>
        <v>0</v>
      </c>
      <c r="B1648" s="3">
        <f t="shared" si="51"/>
        <v>0</v>
      </c>
      <c r="C1648" s="72"/>
      <c r="D1648" s="72"/>
      <c r="E1648" s="73"/>
      <c r="F1648" s="73"/>
    </row>
    <row r="1649" spans="1:6" x14ac:dyDescent="0.25">
      <c r="A1649">
        <f t="shared" si="50"/>
        <v>0</v>
      </c>
      <c r="B1649" s="3">
        <f t="shared" si="51"/>
        <v>0</v>
      </c>
      <c r="C1649" s="72"/>
      <c r="D1649" s="72"/>
      <c r="E1649" s="73"/>
      <c r="F1649" s="73"/>
    </row>
    <row r="1650" spans="1:6" x14ac:dyDescent="0.25">
      <c r="A1650">
        <f t="shared" si="50"/>
        <v>0</v>
      </c>
      <c r="B1650" s="3">
        <f t="shared" si="51"/>
        <v>0</v>
      </c>
      <c r="C1650" s="72"/>
      <c r="D1650" s="72"/>
      <c r="E1650" s="73"/>
      <c r="F1650" s="73"/>
    </row>
    <row r="1651" spans="1:6" x14ac:dyDescent="0.25">
      <c r="A1651">
        <f t="shared" si="50"/>
        <v>0</v>
      </c>
      <c r="B1651" s="3">
        <f t="shared" si="51"/>
        <v>0</v>
      </c>
      <c r="C1651" s="72"/>
      <c r="D1651" s="72"/>
      <c r="E1651" s="73"/>
      <c r="F1651" s="73"/>
    </row>
    <row r="1652" spans="1:6" x14ac:dyDescent="0.25">
      <c r="A1652">
        <f t="shared" si="50"/>
        <v>0</v>
      </c>
      <c r="B1652" s="3">
        <f t="shared" si="51"/>
        <v>0</v>
      </c>
      <c r="C1652" s="72"/>
      <c r="D1652" s="72"/>
      <c r="E1652" s="73"/>
      <c r="F1652" s="73"/>
    </row>
    <row r="1653" spans="1:6" x14ac:dyDescent="0.25">
      <c r="A1653">
        <f t="shared" si="50"/>
        <v>0</v>
      </c>
      <c r="B1653" s="3">
        <f t="shared" si="51"/>
        <v>0</v>
      </c>
      <c r="C1653" s="72"/>
      <c r="D1653" s="72"/>
      <c r="E1653" s="73"/>
      <c r="F1653" s="73"/>
    </row>
    <row r="1654" spans="1:6" x14ac:dyDescent="0.25">
      <c r="A1654">
        <f t="shared" si="50"/>
        <v>0</v>
      </c>
      <c r="B1654" s="3">
        <f t="shared" si="51"/>
        <v>0</v>
      </c>
      <c r="C1654" s="72"/>
      <c r="D1654" s="72"/>
      <c r="E1654" s="73"/>
      <c r="F1654" s="73"/>
    </row>
    <row r="1655" spans="1:6" x14ac:dyDescent="0.25">
      <c r="A1655">
        <f t="shared" si="50"/>
        <v>0</v>
      </c>
      <c r="B1655" s="3">
        <f t="shared" si="51"/>
        <v>0</v>
      </c>
      <c r="C1655" s="72"/>
      <c r="D1655" s="72"/>
      <c r="E1655" s="73"/>
      <c r="F1655" s="73"/>
    </row>
    <row r="1656" spans="1:6" x14ac:dyDescent="0.25">
      <c r="A1656">
        <f t="shared" si="50"/>
        <v>0</v>
      </c>
      <c r="B1656" s="3">
        <f t="shared" si="51"/>
        <v>0</v>
      </c>
      <c r="C1656" s="72"/>
      <c r="D1656" s="72"/>
      <c r="E1656" s="73"/>
      <c r="F1656" s="73"/>
    </row>
    <row r="1657" spans="1:6" x14ac:dyDescent="0.25">
      <c r="A1657">
        <f t="shared" si="50"/>
        <v>0</v>
      </c>
      <c r="B1657" s="3">
        <f t="shared" si="51"/>
        <v>0</v>
      </c>
      <c r="C1657" s="72"/>
      <c r="D1657" s="72"/>
      <c r="E1657" s="73"/>
      <c r="F1657" s="73"/>
    </row>
    <row r="1658" spans="1:6" x14ac:dyDescent="0.25">
      <c r="A1658">
        <f t="shared" si="50"/>
        <v>0</v>
      </c>
      <c r="B1658" s="3">
        <f t="shared" si="51"/>
        <v>0</v>
      </c>
      <c r="C1658" s="72"/>
      <c r="D1658" s="72"/>
      <c r="E1658" s="73"/>
      <c r="F1658" s="73"/>
    </row>
    <row r="1659" spans="1:6" x14ac:dyDescent="0.25">
      <c r="A1659">
        <f t="shared" si="50"/>
        <v>0</v>
      </c>
      <c r="B1659" s="3">
        <f t="shared" si="51"/>
        <v>0</v>
      </c>
      <c r="C1659" s="72"/>
      <c r="D1659" s="72"/>
      <c r="E1659" s="73"/>
      <c r="F1659" s="73"/>
    </row>
    <row r="1660" spans="1:6" x14ac:dyDescent="0.25">
      <c r="A1660">
        <f t="shared" si="50"/>
        <v>0</v>
      </c>
      <c r="B1660" s="3">
        <f t="shared" si="51"/>
        <v>0</v>
      </c>
      <c r="C1660" s="72"/>
      <c r="D1660" s="72"/>
      <c r="E1660" s="73"/>
      <c r="F1660" s="73"/>
    </row>
    <row r="1661" spans="1:6" x14ac:dyDescent="0.25">
      <c r="A1661">
        <f t="shared" si="50"/>
        <v>0</v>
      </c>
      <c r="B1661" s="3">
        <f t="shared" si="51"/>
        <v>0</v>
      </c>
      <c r="C1661" s="72"/>
      <c r="D1661" s="72"/>
      <c r="E1661" s="73"/>
      <c r="F1661" s="73"/>
    </row>
    <row r="1662" spans="1:6" x14ac:dyDescent="0.25">
      <c r="A1662">
        <f t="shared" si="50"/>
        <v>0</v>
      </c>
      <c r="B1662" s="3">
        <f t="shared" si="51"/>
        <v>0</v>
      </c>
      <c r="C1662" s="72"/>
      <c r="D1662" s="72"/>
      <c r="E1662" s="73"/>
      <c r="F1662" s="73"/>
    </row>
    <row r="1663" spans="1:6" x14ac:dyDescent="0.25">
      <c r="A1663">
        <f t="shared" si="50"/>
        <v>0</v>
      </c>
      <c r="B1663" s="3">
        <f t="shared" si="51"/>
        <v>0</v>
      </c>
      <c r="C1663" s="72"/>
      <c r="D1663" s="72"/>
      <c r="E1663" s="73"/>
      <c r="F1663" s="73"/>
    </row>
    <row r="1664" spans="1:6" x14ac:dyDescent="0.25">
      <c r="A1664">
        <f t="shared" si="50"/>
        <v>0</v>
      </c>
      <c r="B1664" s="3">
        <f t="shared" si="51"/>
        <v>0</v>
      </c>
      <c r="C1664" s="72"/>
      <c r="D1664" s="72"/>
      <c r="E1664" s="73"/>
      <c r="F1664" s="73"/>
    </row>
    <row r="1665" spans="1:6" x14ac:dyDescent="0.25">
      <c r="A1665">
        <f t="shared" si="50"/>
        <v>0</v>
      </c>
      <c r="B1665" s="3">
        <f t="shared" si="51"/>
        <v>0</v>
      </c>
      <c r="C1665" s="72"/>
      <c r="D1665" s="72"/>
      <c r="E1665" s="73"/>
      <c r="F1665" s="73"/>
    </row>
    <row r="1666" spans="1:6" x14ac:dyDescent="0.25">
      <c r="A1666">
        <f t="shared" si="50"/>
        <v>0</v>
      </c>
      <c r="B1666" s="3">
        <f t="shared" si="51"/>
        <v>0</v>
      </c>
      <c r="C1666" s="72"/>
      <c r="D1666" s="72"/>
      <c r="E1666" s="73"/>
      <c r="F1666" s="73"/>
    </row>
    <row r="1667" spans="1:6" x14ac:dyDescent="0.25">
      <c r="A1667">
        <f t="shared" si="50"/>
        <v>0</v>
      </c>
      <c r="B1667" s="3">
        <f t="shared" si="51"/>
        <v>0</v>
      </c>
      <c r="C1667" s="72"/>
      <c r="D1667" s="72"/>
      <c r="E1667" s="73"/>
      <c r="F1667" s="73"/>
    </row>
    <row r="1668" spans="1:6" x14ac:dyDescent="0.25">
      <c r="A1668">
        <f t="shared" si="50"/>
        <v>0</v>
      </c>
      <c r="B1668" s="3">
        <f t="shared" si="51"/>
        <v>0</v>
      </c>
      <c r="C1668" s="72"/>
      <c r="D1668" s="72"/>
      <c r="E1668" s="73"/>
      <c r="F1668" s="73"/>
    </row>
    <row r="1669" spans="1:6" x14ac:dyDescent="0.25">
      <c r="A1669">
        <f t="shared" si="50"/>
        <v>0</v>
      </c>
      <c r="B1669" s="3">
        <f t="shared" si="51"/>
        <v>0</v>
      </c>
      <c r="C1669" s="72"/>
      <c r="D1669" s="72"/>
      <c r="E1669" s="73"/>
      <c r="F1669" s="73"/>
    </row>
    <row r="1670" spans="1:6" x14ac:dyDescent="0.25">
      <c r="A1670">
        <f t="shared" si="50"/>
        <v>0</v>
      </c>
      <c r="B1670" s="3">
        <f t="shared" si="51"/>
        <v>0</v>
      </c>
      <c r="C1670" s="72"/>
      <c r="D1670" s="72"/>
      <c r="E1670" s="73"/>
      <c r="F1670" s="73"/>
    </row>
    <row r="1671" spans="1:6" x14ac:dyDescent="0.25">
      <c r="A1671">
        <f t="shared" ref="A1671:A1734" si="52">IF(ISNUMBER(C1671),C1671*F1671,)</f>
        <v>0</v>
      </c>
      <c r="B1671" s="3">
        <f t="shared" ref="B1671:B1734" si="53">IF(C1671&lt;&gt;"",1,0)</f>
        <v>0</v>
      </c>
      <c r="C1671" s="72"/>
      <c r="D1671" s="72"/>
      <c r="E1671" s="73"/>
      <c r="F1671" s="73"/>
    </row>
    <row r="1672" spans="1:6" x14ac:dyDescent="0.25">
      <c r="A1672">
        <f t="shared" si="52"/>
        <v>0</v>
      </c>
      <c r="B1672" s="3">
        <f t="shared" si="53"/>
        <v>0</v>
      </c>
      <c r="C1672" s="72"/>
      <c r="D1672" s="72"/>
      <c r="E1672" s="73"/>
      <c r="F1672" s="73"/>
    </row>
    <row r="1673" spans="1:6" x14ac:dyDescent="0.25">
      <c r="A1673">
        <f t="shared" si="52"/>
        <v>0</v>
      </c>
      <c r="B1673" s="3">
        <f t="shared" si="53"/>
        <v>0</v>
      </c>
      <c r="C1673" s="72"/>
      <c r="D1673" s="72"/>
      <c r="E1673" s="73"/>
      <c r="F1673" s="73"/>
    </row>
    <row r="1674" spans="1:6" x14ac:dyDescent="0.25">
      <c r="A1674">
        <f t="shared" si="52"/>
        <v>0</v>
      </c>
      <c r="B1674" s="3">
        <f t="shared" si="53"/>
        <v>0</v>
      </c>
      <c r="C1674" s="72"/>
      <c r="D1674" s="72"/>
      <c r="E1674" s="73"/>
      <c r="F1674" s="73"/>
    </row>
    <row r="1675" spans="1:6" x14ac:dyDescent="0.25">
      <c r="A1675">
        <f t="shared" si="52"/>
        <v>0</v>
      </c>
      <c r="B1675" s="3">
        <f t="shared" si="53"/>
        <v>0</v>
      </c>
      <c r="C1675" s="72"/>
      <c r="D1675" s="72"/>
      <c r="E1675" s="73"/>
      <c r="F1675" s="73"/>
    </row>
    <row r="1676" spans="1:6" x14ac:dyDescent="0.25">
      <c r="A1676">
        <f t="shared" si="52"/>
        <v>0</v>
      </c>
      <c r="B1676" s="3">
        <f t="shared" si="53"/>
        <v>0</v>
      </c>
      <c r="C1676" s="72"/>
      <c r="D1676" s="72"/>
      <c r="E1676" s="73"/>
      <c r="F1676" s="73"/>
    </row>
    <row r="1677" spans="1:6" x14ac:dyDescent="0.25">
      <c r="A1677">
        <f t="shared" si="52"/>
        <v>0</v>
      </c>
      <c r="B1677" s="3">
        <f t="shared" si="53"/>
        <v>0</v>
      </c>
      <c r="C1677" s="72"/>
      <c r="D1677" s="72"/>
      <c r="E1677" s="73"/>
      <c r="F1677" s="73"/>
    </row>
    <row r="1678" spans="1:6" x14ac:dyDescent="0.25">
      <c r="A1678">
        <f t="shared" si="52"/>
        <v>0</v>
      </c>
      <c r="B1678" s="3">
        <f t="shared" si="53"/>
        <v>0</v>
      </c>
      <c r="C1678" s="72"/>
      <c r="D1678" s="72"/>
      <c r="E1678" s="73"/>
      <c r="F1678" s="73"/>
    </row>
    <row r="1679" spans="1:6" x14ac:dyDescent="0.25">
      <c r="A1679">
        <f t="shared" si="52"/>
        <v>0</v>
      </c>
      <c r="B1679" s="3">
        <f t="shared" si="53"/>
        <v>0</v>
      </c>
      <c r="C1679" s="72"/>
      <c r="D1679" s="72"/>
      <c r="E1679" s="73"/>
      <c r="F1679" s="73"/>
    </row>
    <row r="1680" spans="1:6" x14ac:dyDescent="0.25">
      <c r="A1680">
        <f t="shared" si="52"/>
        <v>0</v>
      </c>
      <c r="B1680" s="3">
        <f t="shared" si="53"/>
        <v>0</v>
      </c>
      <c r="C1680" s="72"/>
      <c r="D1680" s="72"/>
      <c r="E1680" s="73"/>
      <c r="F1680" s="73"/>
    </row>
    <row r="1681" spans="1:6" x14ac:dyDescent="0.25">
      <c r="A1681">
        <f t="shared" si="52"/>
        <v>0</v>
      </c>
      <c r="B1681" s="3">
        <f t="shared" si="53"/>
        <v>0</v>
      </c>
      <c r="C1681" s="72"/>
      <c r="D1681" s="72"/>
      <c r="E1681" s="73"/>
      <c r="F1681" s="73"/>
    </row>
    <row r="1682" spans="1:6" x14ac:dyDescent="0.25">
      <c r="A1682">
        <f t="shared" si="52"/>
        <v>0</v>
      </c>
      <c r="B1682" s="3">
        <f t="shared" si="53"/>
        <v>0</v>
      </c>
      <c r="C1682" s="72"/>
      <c r="D1682" s="72"/>
      <c r="E1682" s="73"/>
      <c r="F1682" s="73"/>
    </row>
    <row r="1683" spans="1:6" x14ac:dyDescent="0.25">
      <c r="A1683">
        <f t="shared" si="52"/>
        <v>0</v>
      </c>
      <c r="B1683" s="3">
        <f t="shared" si="53"/>
        <v>0</v>
      </c>
      <c r="C1683" s="72"/>
      <c r="D1683" s="72"/>
      <c r="E1683" s="73"/>
      <c r="F1683" s="73"/>
    </row>
    <row r="1684" spans="1:6" x14ac:dyDescent="0.25">
      <c r="A1684">
        <f t="shared" si="52"/>
        <v>0</v>
      </c>
      <c r="B1684" s="3">
        <f t="shared" si="53"/>
        <v>0</v>
      </c>
      <c r="C1684" s="72"/>
      <c r="D1684" s="72"/>
      <c r="E1684" s="73"/>
      <c r="F1684" s="73"/>
    </row>
    <row r="1685" spans="1:6" x14ac:dyDescent="0.25">
      <c r="A1685">
        <f t="shared" si="52"/>
        <v>0</v>
      </c>
      <c r="B1685" s="3">
        <f t="shared" si="53"/>
        <v>0</v>
      </c>
      <c r="C1685" s="72"/>
      <c r="D1685" s="72"/>
      <c r="E1685" s="73"/>
      <c r="F1685" s="73"/>
    </row>
    <row r="1686" spans="1:6" x14ac:dyDescent="0.25">
      <c r="A1686">
        <f t="shared" si="52"/>
        <v>0</v>
      </c>
      <c r="B1686" s="3">
        <f t="shared" si="53"/>
        <v>0</v>
      </c>
      <c r="C1686" s="72"/>
      <c r="D1686" s="72"/>
      <c r="E1686" s="73"/>
      <c r="F1686" s="73"/>
    </row>
    <row r="1687" spans="1:6" x14ac:dyDescent="0.25">
      <c r="A1687">
        <f t="shared" si="52"/>
        <v>0</v>
      </c>
      <c r="B1687" s="3">
        <f t="shared" si="53"/>
        <v>0</v>
      </c>
      <c r="C1687" s="72"/>
      <c r="D1687" s="72"/>
      <c r="E1687" s="73"/>
      <c r="F1687" s="73"/>
    </row>
    <row r="1688" spans="1:6" x14ac:dyDescent="0.25">
      <c r="A1688">
        <f t="shared" si="52"/>
        <v>0</v>
      </c>
      <c r="B1688" s="3">
        <f t="shared" si="53"/>
        <v>0</v>
      </c>
      <c r="C1688" s="72"/>
      <c r="D1688" s="72"/>
      <c r="E1688" s="73"/>
      <c r="F1688" s="73"/>
    </row>
    <row r="1689" spans="1:6" x14ac:dyDescent="0.25">
      <c r="A1689">
        <f t="shared" si="52"/>
        <v>0</v>
      </c>
      <c r="B1689" s="3">
        <f t="shared" si="53"/>
        <v>0</v>
      </c>
      <c r="C1689" s="72"/>
      <c r="D1689" s="72"/>
      <c r="E1689" s="73"/>
      <c r="F1689" s="73"/>
    </row>
    <row r="1690" spans="1:6" x14ac:dyDescent="0.25">
      <c r="A1690">
        <f t="shared" si="52"/>
        <v>0</v>
      </c>
      <c r="B1690" s="3">
        <f t="shared" si="53"/>
        <v>0</v>
      </c>
      <c r="C1690" s="72"/>
      <c r="D1690" s="72"/>
      <c r="E1690" s="73"/>
      <c r="F1690" s="73"/>
    </row>
    <row r="1691" spans="1:6" x14ac:dyDescent="0.25">
      <c r="A1691">
        <f t="shared" si="52"/>
        <v>0</v>
      </c>
      <c r="B1691" s="3">
        <f t="shared" si="53"/>
        <v>0</v>
      </c>
      <c r="C1691" s="72"/>
      <c r="D1691" s="72"/>
      <c r="E1691" s="73"/>
      <c r="F1691" s="73"/>
    </row>
    <row r="1692" spans="1:6" x14ac:dyDescent="0.25">
      <c r="A1692">
        <f t="shared" si="52"/>
        <v>0</v>
      </c>
      <c r="B1692" s="3">
        <f t="shared" si="53"/>
        <v>0</v>
      </c>
      <c r="C1692" s="72"/>
      <c r="D1692" s="72"/>
      <c r="E1692" s="73"/>
      <c r="F1692" s="73"/>
    </row>
    <row r="1693" spans="1:6" x14ac:dyDescent="0.25">
      <c r="A1693">
        <f t="shared" si="52"/>
        <v>0</v>
      </c>
      <c r="B1693" s="3">
        <f t="shared" si="53"/>
        <v>0</v>
      </c>
      <c r="C1693" s="72"/>
      <c r="D1693" s="72"/>
      <c r="E1693" s="73"/>
      <c r="F1693" s="73"/>
    </row>
    <row r="1694" spans="1:6" x14ac:dyDescent="0.25">
      <c r="A1694">
        <f t="shared" si="52"/>
        <v>0</v>
      </c>
      <c r="B1694" s="3">
        <f t="shared" si="53"/>
        <v>0</v>
      </c>
      <c r="C1694" s="72"/>
      <c r="D1694" s="72"/>
      <c r="E1694" s="73"/>
      <c r="F1694" s="73"/>
    </row>
    <row r="1695" spans="1:6" x14ac:dyDescent="0.25">
      <c r="A1695">
        <f t="shared" si="52"/>
        <v>0</v>
      </c>
      <c r="B1695" s="3">
        <f t="shared" si="53"/>
        <v>0</v>
      </c>
      <c r="C1695" s="72"/>
      <c r="D1695" s="72"/>
      <c r="E1695" s="73"/>
      <c r="F1695" s="73"/>
    </row>
    <row r="1696" spans="1:6" x14ac:dyDescent="0.25">
      <c r="A1696">
        <f t="shared" si="52"/>
        <v>0</v>
      </c>
      <c r="B1696" s="3">
        <f t="shared" si="53"/>
        <v>0</v>
      </c>
      <c r="C1696" s="72"/>
      <c r="D1696" s="72"/>
      <c r="E1696" s="73"/>
      <c r="F1696" s="73"/>
    </row>
    <row r="1697" spans="1:6" x14ac:dyDescent="0.25">
      <c r="A1697">
        <f t="shared" si="52"/>
        <v>0</v>
      </c>
      <c r="B1697" s="3">
        <f t="shared" si="53"/>
        <v>0</v>
      </c>
      <c r="C1697" s="72"/>
      <c r="D1697" s="72"/>
      <c r="E1697" s="73"/>
      <c r="F1697" s="73"/>
    </row>
    <row r="1698" spans="1:6" x14ac:dyDescent="0.25">
      <c r="A1698">
        <f t="shared" si="52"/>
        <v>0</v>
      </c>
      <c r="B1698" s="3">
        <f t="shared" si="53"/>
        <v>0</v>
      </c>
      <c r="C1698" s="72"/>
      <c r="D1698" s="72"/>
      <c r="E1698" s="73"/>
      <c r="F1698" s="73"/>
    </row>
    <row r="1699" spans="1:6" x14ac:dyDescent="0.25">
      <c r="A1699">
        <f t="shared" si="52"/>
        <v>0</v>
      </c>
      <c r="B1699" s="3">
        <f t="shared" si="53"/>
        <v>0</v>
      </c>
      <c r="C1699" s="72"/>
      <c r="D1699" s="72"/>
      <c r="E1699" s="73"/>
      <c r="F1699" s="73"/>
    </row>
    <row r="1700" spans="1:6" x14ac:dyDescent="0.25">
      <c r="A1700">
        <f t="shared" si="52"/>
        <v>0</v>
      </c>
      <c r="B1700" s="3">
        <f t="shared" si="53"/>
        <v>0</v>
      </c>
      <c r="C1700" s="72"/>
      <c r="D1700" s="72"/>
      <c r="E1700" s="73"/>
      <c r="F1700" s="73"/>
    </row>
    <row r="1701" spans="1:6" x14ac:dyDescent="0.25">
      <c r="A1701">
        <f t="shared" si="52"/>
        <v>0</v>
      </c>
      <c r="B1701" s="3">
        <f t="shared" si="53"/>
        <v>0</v>
      </c>
      <c r="C1701" s="72"/>
      <c r="D1701" s="72"/>
      <c r="E1701" s="73"/>
      <c r="F1701" s="73"/>
    </row>
    <row r="1702" spans="1:6" x14ac:dyDescent="0.25">
      <c r="A1702">
        <f t="shared" si="52"/>
        <v>0</v>
      </c>
      <c r="B1702" s="3">
        <f t="shared" si="53"/>
        <v>0</v>
      </c>
      <c r="C1702" s="72"/>
      <c r="D1702" s="72"/>
      <c r="E1702" s="73"/>
      <c r="F1702" s="73"/>
    </row>
    <row r="1703" spans="1:6" x14ac:dyDescent="0.25">
      <c r="A1703">
        <f t="shared" si="52"/>
        <v>0</v>
      </c>
      <c r="B1703" s="3">
        <f t="shared" si="53"/>
        <v>0</v>
      </c>
      <c r="C1703" s="72"/>
      <c r="D1703" s="72"/>
      <c r="E1703" s="73"/>
      <c r="F1703" s="73"/>
    </row>
    <row r="1704" spans="1:6" x14ac:dyDescent="0.25">
      <c r="A1704">
        <f t="shared" si="52"/>
        <v>0</v>
      </c>
      <c r="B1704" s="3">
        <f t="shared" si="53"/>
        <v>0</v>
      </c>
      <c r="C1704" s="72"/>
      <c r="D1704" s="72"/>
      <c r="E1704" s="73"/>
      <c r="F1704" s="73"/>
    </row>
    <row r="1705" spans="1:6" x14ac:dyDescent="0.25">
      <c r="A1705">
        <f t="shared" si="52"/>
        <v>0</v>
      </c>
      <c r="B1705" s="3">
        <f t="shared" si="53"/>
        <v>0</v>
      </c>
      <c r="C1705" s="72"/>
      <c r="D1705" s="72"/>
      <c r="E1705" s="73"/>
      <c r="F1705" s="73"/>
    </row>
    <row r="1706" spans="1:6" x14ac:dyDescent="0.25">
      <c r="A1706">
        <f t="shared" si="52"/>
        <v>0</v>
      </c>
      <c r="B1706" s="3">
        <f t="shared" si="53"/>
        <v>0</v>
      </c>
      <c r="C1706" s="72"/>
      <c r="D1706" s="72"/>
      <c r="E1706" s="73"/>
      <c r="F1706" s="73"/>
    </row>
    <row r="1707" spans="1:6" x14ac:dyDescent="0.25">
      <c r="A1707">
        <f t="shared" si="52"/>
        <v>0</v>
      </c>
      <c r="B1707" s="3">
        <f t="shared" si="53"/>
        <v>0</v>
      </c>
      <c r="C1707" s="72"/>
      <c r="D1707" s="72"/>
      <c r="E1707" s="73"/>
      <c r="F1707" s="73"/>
    </row>
    <row r="1708" spans="1:6" x14ac:dyDescent="0.25">
      <c r="A1708">
        <f t="shared" si="52"/>
        <v>0</v>
      </c>
      <c r="B1708" s="3">
        <f t="shared" si="53"/>
        <v>0</v>
      </c>
      <c r="C1708" s="72"/>
      <c r="D1708" s="72"/>
      <c r="E1708" s="73"/>
      <c r="F1708" s="73"/>
    </row>
    <row r="1709" spans="1:6" x14ac:dyDescent="0.25">
      <c r="A1709">
        <f t="shared" si="52"/>
        <v>0</v>
      </c>
      <c r="B1709" s="3">
        <f t="shared" si="53"/>
        <v>0</v>
      </c>
      <c r="C1709" s="72"/>
      <c r="D1709" s="72"/>
      <c r="E1709" s="73"/>
      <c r="F1709" s="73"/>
    </row>
    <row r="1710" spans="1:6" x14ac:dyDescent="0.25">
      <c r="A1710">
        <f t="shared" si="52"/>
        <v>0</v>
      </c>
      <c r="B1710" s="3">
        <f t="shared" si="53"/>
        <v>0</v>
      </c>
      <c r="C1710" s="72"/>
      <c r="D1710" s="72"/>
      <c r="E1710" s="73"/>
      <c r="F1710" s="73"/>
    </row>
    <row r="1711" spans="1:6" x14ac:dyDescent="0.25">
      <c r="A1711">
        <f t="shared" si="52"/>
        <v>0</v>
      </c>
      <c r="B1711" s="3">
        <f t="shared" si="53"/>
        <v>0</v>
      </c>
      <c r="C1711" s="72"/>
      <c r="D1711" s="72"/>
      <c r="E1711" s="73"/>
      <c r="F1711" s="73"/>
    </row>
    <row r="1712" spans="1:6" x14ac:dyDescent="0.25">
      <c r="A1712">
        <f t="shared" si="52"/>
        <v>0</v>
      </c>
      <c r="B1712" s="3">
        <f t="shared" si="53"/>
        <v>0</v>
      </c>
      <c r="C1712" s="72"/>
      <c r="D1712" s="72"/>
      <c r="E1712" s="73"/>
      <c r="F1712" s="73"/>
    </row>
    <row r="1713" spans="1:6" x14ac:dyDescent="0.25">
      <c r="A1713">
        <f t="shared" si="52"/>
        <v>0</v>
      </c>
      <c r="B1713" s="3">
        <f t="shared" si="53"/>
        <v>0</v>
      </c>
      <c r="C1713" s="72"/>
      <c r="D1713" s="72"/>
      <c r="E1713" s="73"/>
      <c r="F1713" s="73"/>
    </row>
    <row r="1714" spans="1:6" x14ac:dyDescent="0.25">
      <c r="A1714">
        <f t="shared" si="52"/>
        <v>0</v>
      </c>
      <c r="B1714" s="3">
        <f t="shared" si="53"/>
        <v>0</v>
      </c>
      <c r="C1714" s="72"/>
      <c r="D1714" s="72"/>
      <c r="E1714" s="73"/>
      <c r="F1714" s="73"/>
    </row>
    <row r="1715" spans="1:6" x14ac:dyDescent="0.25">
      <c r="A1715">
        <f t="shared" si="52"/>
        <v>0</v>
      </c>
      <c r="B1715" s="3">
        <f t="shared" si="53"/>
        <v>0</v>
      </c>
      <c r="C1715" s="72"/>
      <c r="D1715" s="72"/>
      <c r="E1715" s="73"/>
      <c r="F1715" s="73"/>
    </row>
    <row r="1716" spans="1:6" x14ac:dyDescent="0.25">
      <c r="A1716">
        <f t="shared" si="52"/>
        <v>0</v>
      </c>
      <c r="B1716" s="3">
        <f t="shared" si="53"/>
        <v>0</v>
      </c>
      <c r="C1716" s="72"/>
      <c r="D1716" s="72"/>
      <c r="E1716" s="73"/>
      <c r="F1716" s="73"/>
    </row>
    <row r="1717" spans="1:6" x14ac:dyDescent="0.25">
      <c r="A1717">
        <f t="shared" si="52"/>
        <v>0</v>
      </c>
      <c r="B1717" s="3">
        <f t="shared" si="53"/>
        <v>0</v>
      </c>
      <c r="C1717" s="72"/>
      <c r="D1717" s="72"/>
      <c r="E1717" s="73"/>
      <c r="F1717" s="73"/>
    </row>
    <row r="1718" spans="1:6" x14ac:dyDescent="0.25">
      <c r="A1718">
        <f t="shared" si="52"/>
        <v>0</v>
      </c>
      <c r="B1718" s="3">
        <f t="shared" si="53"/>
        <v>0</v>
      </c>
      <c r="C1718" s="72"/>
      <c r="D1718" s="72"/>
      <c r="E1718" s="73"/>
      <c r="F1718" s="73"/>
    </row>
    <row r="1719" spans="1:6" x14ac:dyDescent="0.25">
      <c r="A1719">
        <f t="shared" si="52"/>
        <v>0</v>
      </c>
      <c r="B1719" s="3">
        <f t="shared" si="53"/>
        <v>0</v>
      </c>
      <c r="C1719" s="72"/>
      <c r="D1719" s="72"/>
      <c r="E1719" s="73"/>
      <c r="F1719" s="73"/>
    </row>
    <row r="1720" spans="1:6" x14ac:dyDescent="0.25">
      <c r="A1720">
        <f t="shared" si="52"/>
        <v>0</v>
      </c>
      <c r="B1720" s="3">
        <f t="shared" si="53"/>
        <v>0</v>
      </c>
      <c r="C1720" s="72"/>
      <c r="D1720" s="72"/>
      <c r="E1720" s="73"/>
      <c r="F1720" s="73"/>
    </row>
    <row r="1721" spans="1:6" x14ac:dyDescent="0.25">
      <c r="A1721">
        <f t="shared" si="52"/>
        <v>0</v>
      </c>
      <c r="B1721" s="3">
        <f t="shared" si="53"/>
        <v>0</v>
      </c>
      <c r="C1721" s="72"/>
      <c r="D1721" s="72"/>
      <c r="E1721" s="73"/>
      <c r="F1721" s="73"/>
    </row>
    <row r="1722" spans="1:6" x14ac:dyDescent="0.25">
      <c r="A1722">
        <f t="shared" si="52"/>
        <v>0</v>
      </c>
      <c r="B1722" s="3">
        <f t="shared" si="53"/>
        <v>0</v>
      </c>
      <c r="C1722" s="72"/>
      <c r="D1722" s="72"/>
      <c r="E1722" s="73"/>
      <c r="F1722" s="73"/>
    </row>
    <row r="1723" spans="1:6" x14ac:dyDescent="0.25">
      <c r="A1723">
        <f t="shared" si="52"/>
        <v>0</v>
      </c>
      <c r="B1723" s="3">
        <f t="shared" si="53"/>
        <v>0</v>
      </c>
      <c r="C1723" s="72"/>
      <c r="D1723" s="72"/>
      <c r="E1723" s="73"/>
      <c r="F1723" s="73"/>
    </row>
    <row r="1724" spans="1:6" x14ac:dyDescent="0.25">
      <c r="A1724">
        <f t="shared" si="52"/>
        <v>0</v>
      </c>
      <c r="B1724" s="3">
        <f t="shared" si="53"/>
        <v>0</v>
      </c>
      <c r="C1724" s="72"/>
      <c r="D1724" s="72"/>
      <c r="E1724" s="73"/>
      <c r="F1724" s="73"/>
    </row>
    <row r="1725" spans="1:6" x14ac:dyDescent="0.25">
      <c r="A1725">
        <f t="shared" si="52"/>
        <v>0</v>
      </c>
      <c r="B1725" s="3">
        <f t="shared" si="53"/>
        <v>0</v>
      </c>
      <c r="C1725" s="72"/>
      <c r="D1725" s="72"/>
      <c r="E1725" s="73"/>
      <c r="F1725" s="73"/>
    </row>
    <row r="1726" spans="1:6" x14ac:dyDescent="0.25">
      <c r="A1726">
        <f t="shared" si="52"/>
        <v>0</v>
      </c>
      <c r="B1726" s="3">
        <f t="shared" si="53"/>
        <v>0</v>
      </c>
      <c r="C1726" s="72"/>
      <c r="D1726" s="72"/>
      <c r="E1726" s="73"/>
      <c r="F1726" s="73"/>
    </row>
    <row r="1727" spans="1:6" x14ac:dyDescent="0.25">
      <c r="A1727">
        <f t="shared" si="52"/>
        <v>0</v>
      </c>
      <c r="B1727" s="3">
        <f t="shared" si="53"/>
        <v>0</v>
      </c>
      <c r="C1727" s="72"/>
      <c r="D1727" s="72"/>
      <c r="E1727" s="73"/>
      <c r="F1727" s="73"/>
    </row>
    <row r="1728" spans="1:6" x14ac:dyDescent="0.25">
      <c r="A1728">
        <f t="shared" si="52"/>
        <v>0</v>
      </c>
      <c r="B1728" s="3">
        <f t="shared" si="53"/>
        <v>0</v>
      </c>
      <c r="C1728" s="72"/>
      <c r="D1728" s="72"/>
      <c r="E1728" s="73"/>
      <c r="F1728" s="73"/>
    </row>
    <row r="1729" spans="1:6" x14ac:dyDescent="0.25">
      <c r="A1729">
        <f t="shared" si="52"/>
        <v>0</v>
      </c>
      <c r="B1729" s="3">
        <f t="shared" si="53"/>
        <v>0</v>
      </c>
      <c r="C1729" s="72"/>
      <c r="D1729" s="72"/>
      <c r="E1729" s="73"/>
      <c r="F1729" s="73"/>
    </row>
    <row r="1730" spans="1:6" x14ac:dyDescent="0.25">
      <c r="A1730">
        <f t="shared" si="52"/>
        <v>0</v>
      </c>
      <c r="B1730" s="3">
        <f t="shared" si="53"/>
        <v>0</v>
      </c>
      <c r="C1730" s="72"/>
      <c r="D1730" s="72"/>
      <c r="E1730" s="73"/>
      <c r="F1730" s="73"/>
    </row>
    <row r="1731" spans="1:6" x14ac:dyDescent="0.25">
      <c r="A1731">
        <f t="shared" si="52"/>
        <v>0</v>
      </c>
      <c r="B1731" s="3">
        <f t="shared" si="53"/>
        <v>0</v>
      </c>
      <c r="C1731" s="72"/>
      <c r="D1731" s="72"/>
      <c r="E1731" s="73"/>
      <c r="F1731" s="73"/>
    </row>
    <row r="1732" spans="1:6" x14ac:dyDescent="0.25">
      <c r="A1732">
        <f t="shared" si="52"/>
        <v>0</v>
      </c>
      <c r="B1732" s="3">
        <f t="shared" si="53"/>
        <v>0</v>
      </c>
      <c r="C1732" s="72"/>
      <c r="D1732" s="72"/>
      <c r="E1732" s="73"/>
      <c r="F1732" s="73"/>
    </row>
    <row r="1733" spans="1:6" x14ac:dyDescent="0.25">
      <c r="A1733">
        <f t="shared" si="52"/>
        <v>0</v>
      </c>
      <c r="B1733" s="3">
        <f t="shared" si="53"/>
        <v>0</v>
      </c>
      <c r="C1733" s="72"/>
      <c r="D1733" s="72"/>
      <c r="E1733" s="73"/>
      <c r="F1733" s="73"/>
    </row>
    <row r="1734" spans="1:6" x14ac:dyDescent="0.25">
      <c r="A1734">
        <f t="shared" si="52"/>
        <v>0</v>
      </c>
      <c r="B1734" s="3">
        <f t="shared" si="53"/>
        <v>0</v>
      </c>
      <c r="C1734" s="72"/>
      <c r="D1734" s="72"/>
      <c r="E1734" s="73"/>
      <c r="F1734" s="73"/>
    </row>
    <row r="1735" spans="1:6" x14ac:dyDescent="0.25">
      <c r="A1735">
        <f t="shared" ref="A1735:A1798" si="54">IF(ISNUMBER(C1735),C1735*F1735,)</f>
        <v>0</v>
      </c>
      <c r="B1735" s="3">
        <f t="shared" ref="B1735:B1798" si="55">IF(C1735&lt;&gt;"",1,0)</f>
        <v>0</v>
      </c>
      <c r="C1735" s="72"/>
      <c r="D1735" s="72"/>
      <c r="E1735" s="73"/>
      <c r="F1735" s="73"/>
    </row>
    <row r="1736" spans="1:6" x14ac:dyDescent="0.25">
      <c r="A1736">
        <f t="shared" si="54"/>
        <v>0</v>
      </c>
      <c r="B1736" s="3">
        <f t="shared" si="55"/>
        <v>0</v>
      </c>
      <c r="C1736" s="72"/>
      <c r="D1736" s="72"/>
      <c r="E1736" s="73"/>
      <c r="F1736" s="73"/>
    </row>
    <row r="1737" spans="1:6" x14ac:dyDescent="0.25">
      <c r="A1737">
        <f t="shared" si="54"/>
        <v>0</v>
      </c>
      <c r="B1737" s="3">
        <f t="shared" si="55"/>
        <v>0</v>
      </c>
      <c r="C1737" s="72"/>
      <c r="D1737" s="72"/>
      <c r="E1737" s="73"/>
      <c r="F1737" s="73"/>
    </row>
    <row r="1738" spans="1:6" x14ac:dyDescent="0.25">
      <c r="A1738">
        <f t="shared" si="54"/>
        <v>0</v>
      </c>
      <c r="B1738" s="3">
        <f t="shared" si="55"/>
        <v>0</v>
      </c>
      <c r="C1738" s="72"/>
      <c r="D1738" s="72"/>
      <c r="E1738" s="73"/>
      <c r="F1738" s="73"/>
    </row>
    <row r="1739" spans="1:6" x14ac:dyDescent="0.25">
      <c r="A1739">
        <f t="shared" si="54"/>
        <v>0</v>
      </c>
      <c r="B1739" s="3">
        <f t="shared" si="55"/>
        <v>0</v>
      </c>
      <c r="C1739" s="72"/>
      <c r="D1739" s="72"/>
      <c r="E1739" s="73"/>
      <c r="F1739" s="73"/>
    </row>
    <row r="1740" spans="1:6" x14ac:dyDescent="0.25">
      <c r="A1740">
        <f t="shared" si="54"/>
        <v>0</v>
      </c>
      <c r="B1740" s="3">
        <f t="shared" si="55"/>
        <v>0</v>
      </c>
      <c r="C1740" s="72"/>
      <c r="D1740" s="72"/>
      <c r="E1740" s="73"/>
      <c r="F1740" s="73"/>
    </row>
    <row r="1741" spans="1:6" x14ac:dyDescent="0.25">
      <c r="A1741">
        <f t="shared" si="54"/>
        <v>0</v>
      </c>
      <c r="B1741" s="3">
        <f t="shared" si="55"/>
        <v>0</v>
      </c>
      <c r="C1741" s="72"/>
      <c r="D1741" s="72"/>
      <c r="E1741" s="73"/>
      <c r="F1741" s="73"/>
    </row>
    <row r="1742" spans="1:6" x14ac:dyDescent="0.25">
      <c r="A1742">
        <f t="shared" si="54"/>
        <v>0</v>
      </c>
      <c r="B1742" s="3">
        <f t="shared" si="55"/>
        <v>0</v>
      </c>
      <c r="C1742" s="72"/>
      <c r="D1742" s="72"/>
      <c r="E1742" s="73"/>
      <c r="F1742" s="73"/>
    </row>
    <row r="1743" spans="1:6" x14ac:dyDescent="0.25">
      <c r="A1743">
        <f t="shared" si="54"/>
        <v>0</v>
      </c>
      <c r="B1743" s="3">
        <f t="shared" si="55"/>
        <v>0</v>
      </c>
      <c r="C1743" s="72"/>
      <c r="D1743" s="72"/>
      <c r="E1743" s="73"/>
      <c r="F1743" s="73"/>
    </row>
    <row r="1744" spans="1:6" x14ac:dyDescent="0.25">
      <c r="A1744">
        <f t="shared" si="54"/>
        <v>0</v>
      </c>
      <c r="B1744" s="3">
        <f t="shared" si="55"/>
        <v>0</v>
      </c>
      <c r="C1744" s="72"/>
      <c r="D1744" s="72"/>
      <c r="E1744" s="73"/>
      <c r="F1744" s="73"/>
    </row>
    <row r="1745" spans="1:6" x14ac:dyDescent="0.25">
      <c r="A1745">
        <f t="shared" si="54"/>
        <v>0</v>
      </c>
      <c r="B1745" s="3">
        <f t="shared" si="55"/>
        <v>0</v>
      </c>
      <c r="C1745" s="72"/>
      <c r="D1745" s="72"/>
      <c r="E1745" s="73"/>
      <c r="F1745" s="73"/>
    </row>
    <row r="1746" spans="1:6" x14ac:dyDescent="0.25">
      <c r="A1746">
        <f t="shared" si="54"/>
        <v>0</v>
      </c>
      <c r="B1746" s="3">
        <f t="shared" si="55"/>
        <v>0</v>
      </c>
      <c r="C1746" s="72"/>
      <c r="D1746" s="72"/>
      <c r="E1746" s="73"/>
      <c r="F1746" s="73"/>
    </row>
    <row r="1747" spans="1:6" x14ac:dyDescent="0.25">
      <c r="A1747">
        <f t="shared" si="54"/>
        <v>0</v>
      </c>
      <c r="B1747" s="3">
        <f t="shared" si="55"/>
        <v>0</v>
      </c>
      <c r="C1747" s="72"/>
      <c r="D1747" s="72"/>
      <c r="E1747" s="73"/>
      <c r="F1747" s="73"/>
    </row>
    <row r="1748" spans="1:6" x14ac:dyDescent="0.25">
      <c r="A1748">
        <f t="shared" si="54"/>
        <v>0</v>
      </c>
      <c r="B1748" s="3">
        <f t="shared" si="55"/>
        <v>0</v>
      </c>
      <c r="C1748" s="72"/>
      <c r="D1748" s="72"/>
      <c r="E1748" s="73"/>
      <c r="F1748" s="73"/>
    </row>
    <row r="1749" spans="1:6" x14ac:dyDescent="0.25">
      <c r="A1749">
        <f t="shared" si="54"/>
        <v>0</v>
      </c>
      <c r="B1749" s="3">
        <f t="shared" si="55"/>
        <v>0</v>
      </c>
      <c r="C1749" s="72"/>
      <c r="D1749" s="72"/>
      <c r="E1749" s="73"/>
      <c r="F1749" s="73"/>
    </row>
    <row r="1750" spans="1:6" x14ac:dyDescent="0.25">
      <c r="A1750">
        <f t="shared" si="54"/>
        <v>0</v>
      </c>
      <c r="B1750" s="3">
        <f t="shared" si="55"/>
        <v>0</v>
      </c>
      <c r="C1750" s="72"/>
      <c r="D1750" s="72"/>
      <c r="E1750" s="73"/>
      <c r="F1750" s="73"/>
    </row>
    <row r="1751" spans="1:6" x14ac:dyDescent="0.25">
      <c r="A1751">
        <f t="shared" si="54"/>
        <v>0</v>
      </c>
      <c r="B1751" s="3">
        <f t="shared" si="55"/>
        <v>0</v>
      </c>
      <c r="C1751" s="72"/>
      <c r="D1751" s="72"/>
      <c r="E1751" s="73"/>
      <c r="F1751" s="73"/>
    </row>
    <row r="1752" spans="1:6" x14ac:dyDescent="0.25">
      <c r="A1752">
        <f t="shared" si="54"/>
        <v>0</v>
      </c>
      <c r="B1752" s="3">
        <f t="shared" si="55"/>
        <v>0</v>
      </c>
      <c r="C1752" s="72"/>
      <c r="D1752" s="72"/>
      <c r="E1752" s="73"/>
      <c r="F1752" s="73"/>
    </row>
    <row r="1753" spans="1:6" x14ac:dyDescent="0.25">
      <c r="A1753">
        <f t="shared" si="54"/>
        <v>0</v>
      </c>
      <c r="B1753" s="3">
        <f t="shared" si="55"/>
        <v>0</v>
      </c>
      <c r="C1753" s="72"/>
      <c r="D1753" s="72"/>
      <c r="E1753" s="73"/>
      <c r="F1753" s="73"/>
    </row>
    <row r="1754" spans="1:6" x14ac:dyDescent="0.25">
      <c r="A1754">
        <f t="shared" si="54"/>
        <v>0</v>
      </c>
      <c r="B1754" s="3">
        <f t="shared" si="55"/>
        <v>0</v>
      </c>
      <c r="C1754" s="72"/>
      <c r="D1754" s="72"/>
      <c r="E1754" s="73"/>
      <c r="F1754" s="73"/>
    </row>
    <row r="1755" spans="1:6" x14ac:dyDescent="0.25">
      <c r="A1755">
        <f t="shared" si="54"/>
        <v>0</v>
      </c>
      <c r="B1755" s="3">
        <f t="shared" si="55"/>
        <v>0</v>
      </c>
      <c r="C1755" s="72"/>
      <c r="D1755" s="72"/>
      <c r="E1755" s="73"/>
      <c r="F1755" s="73"/>
    </row>
    <row r="1756" spans="1:6" x14ac:dyDescent="0.25">
      <c r="A1756">
        <f t="shared" si="54"/>
        <v>0</v>
      </c>
      <c r="B1756" s="3">
        <f t="shared" si="55"/>
        <v>0</v>
      </c>
      <c r="C1756" s="72"/>
      <c r="D1756" s="72"/>
      <c r="E1756" s="73"/>
      <c r="F1756" s="73"/>
    </row>
    <row r="1757" spans="1:6" x14ac:dyDescent="0.25">
      <c r="A1757">
        <f t="shared" si="54"/>
        <v>0</v>
      </c>
      <c r="B1757" s="3">
        <f t="shared" si="55"/>
        <v>0</v>
      </c>
      <c r="C1757" s="72"/>
      <c r="D1757" s="72"/>
      <c r="E1757" s="73"/>
      <c r="F1757" s="73"/>
    </row>
    <row r="1758" spans="1:6" x14ac:dyDescent="0.25">
      <c r="A1758">
        <f t="shared" si="54"/>
        <v>0</v>
      </c>
      <c r="B1758" s="3">
        <f t="shared" si="55"/>
        <v>0</v>
      </c>
      <c r="C1758" s="72"/>
      <c r="D1758" s="72"/>
      <c r="E1758" s="73"/>
      <c r="F1758" s="73"/>
    </row>
    <row r="1759" spans="1:6" x14ac:dyDescent="0.25">
      <c r="A1759">
        <f t="shared" si="54"/>
        <v>0</v>
      </c>
      <c r="B1759" s="3">
        <f t="shared" si="55"/>
        <v>0</v>
      </c>
      <c r="C1759" s="72"/>
      <c r="D1759" s="72"/>
      <c r="E1759" s="73"/>
      <c r="F1759" s="73"/>
    </row>
    <row r="1760" spans="1:6" x14ac:dyDescent="0.25">
      <c r="A1760">
        <f t="shared" si="54"/>
        <v>0</v>
      </c>
      <c r="B1760" s="3">
        <f t="shared" si="55"/>
        <v>0</v>
      </c>
      <c r="C1760" s="72"/>
      <c r="D1760" s="72"/>
      <c r="E1760" s="73"/>
      <c r="F1760" s="73"/>
    </row>
    <row r="1761" spans="1:6" x14ac:dyDescent="0.25">
      <c r="A1761">
        <f t="shared" si="54"/>
        <v>0</v>
      </c>
      <c r="B1761" s="3">
        <f t="shared" si="55"/>
        <v>0</v>
      </c>
      <c r="C1761" s="72"/>
      <c r="D1761" s="72"/>
      <c r="E1761" s="73"/>
      <c r="F1761" s="73"/>
    </row>
    <row r="1762" spans="1:6" x14ac:dyDescent="0.25">
      <c r="A1762">
        <f t="shared" si="54"/>
        <v>0</v>
      </c>
      <c r="B1762" s="3">
        <f t="shared" si="55"/>
        <v>0</v>
      </c>
      <c r="C1762" s="72"/>
      <c r="D1762" s="72"/>
      <c r="E1762" s="73"/>
      <c r="F1762" s="73"/>
    </row>
    <row r="1763" spans="1:6" x14ac:dyDescent="0.25">
      <c r="A1763">
        <f t="shared" si="54"/>
        <v>0</v>
      </c>
      <c r="B1763" s="3">
        <f t="shared" si="55"/>
        <v>0</v>
      </c>
      <c r="C1763" s="72"/>
      <c r="D1763" s="72"/>
      <c r="E1763" s="73"/>
      <c r="F1763" s="73"/>
    </row>
    <row r="1764" spans="1:6" x14ac:dyDescent="0.25">
      <c r="A1764">
        <f t="shared" si="54"/>
        <v>0</v>
      </c>
      <c r="B1764" s="3">
        <f t="shared" si="55"/>
        <v>0</v>
      </c>
      <c r="C1764" s="72"/>
      <c r="D1764" s="72"/>
      <c r="E1764" s="73"/>
      <c r="F1764" s="73"/>
    </row>
    <row r="1765" spans="1:6" x14ac:dyDescent="0.25">
      <c r="A1765">
        <f t="shared" si="54"/>
        <v>0</v>
      </c>
      <c r="B1765" s="3">
        <f t="shared" si="55"/>
        <v>0</v>
      </c>
      <c r="C1765" s="72"/>
      <c r="D1765" s="72"/>
      <c r="E1765" s="73"/>
      <c r="F1765" s="73"/>
    </row>
    <row r="1766" spans="1:6" x14ac:dyDescent="0.25">
      <c r="A1766">
        <f t="shared" si="54"/>
        <v>0</v>
      </c>
      <c r="B1766" s="3">
        <f t="shared" si="55"/>
        <v>0</v>
      </c>
      <c r="C1766" s="72"/>
      <c r="D1766" s="72"/>
      <c r="E1766" s="73"/>
      <c r="F1766" s="73"/>
    </row>
    <row r="1767" spans="1:6" x14ac:dyDescent="0.25">
      <c r="A1767">
        <f t="shared" si="54"/>
        <v>0</v>
      </c>
      <c r="B1767" s="3">
        <f t="shared" si="55"/>
        <v>0</v>
      </c>
      <c r="C1767" s="72"/>
      <c r="D1767" s="72"/>
      <c r="E1767" s="73"/>
      <c r="F1767" s="73"/>
    </row>
    <row r="1768" spans="1:6" x14ac:dyDescent="0.25">
      <c r="A1768">
        <f t="shared" si="54"/>
        <v>0</v>
      </c>
      <c r="B1768" s="3">
        <f t="shared" si="55"/>
        <v>0</v>
      </c>
      <c r="C1768" s="72"/>
      <c r="D1768" s="72"/>
      <c r="E1768" s="73"/>
      <c r="F1768" s="73"/>
    </row>
    <row r="1769" spans="1:6" x14ac:dyDescent="0.25">
      <c r="A1769">
        <f t="shared" si="54"/>
        <v>0</v>
      </c>
      <c r="B1769" s="3">
        <f t="shared" si="55"/>
        <v>0</v>
      </c>
      <c r="C1769" s="72"/>
      <c r="D1769" s="72"/>
      <c r="E1769" s="73"/>
      <c r="F1769" s="73"/>
    </row>
    <row r="1770" spans="1:6" x14ac:dyDescent="0.25">
      <c r="A1770">
        <f t="shared" si="54"/>
        <v>0</v>
      </c>
      <c r="B1770" s="3">
        <f t="shared" si="55"/>
        <v>0</v>
      </c>
      <c r="C1770" s="72"/>
      <c r="D1770" s="72"/>
      <c r="E1770" s="73"/>
      <c r="F1770" s="73"/>
    </row>
    <row r="1771" spans="1:6" x14ac:dyDescent="0.25">
      <c r="A1771">
        <f t="shared" si="54"/>
        <v>0</v>
      </c>
      <c r="B1771" s="3">
        <f t="shared" si="55"/>
        <v>0</v>
      </c>
      <c r="C1771" s="72"/>
      <c r="D1771" s="72"/>
      <c r="E1771" s="73"/>
      <c r="F1771" s="73"/>
    </row>
    <row r="1772" spans="1:6" x14ac:dyDescent="0.25">
      <c r="A1772">
        <f t="shared" si="54"/>
        <v>0</v>
      </c>
      <c r="B1772" s="3">
        <f t="shared" si="55"/>
        <v>0</v>
      </c>
      <c r="C1772" s="72"/>
      <c r="D1772" s="72"/>
      <c r="E1772" s="73"/>
      <c r="F1772" s="73"/>
    </row>
    <row r="1773" spans="1:6" x14ac:dyDescent="0.25">
      <c r="A1773">
        <f t="shared" si="54"/>
        <v>0</v>
      </c>
      <c r="B1773" s="3">
        <f t="shared" si="55"/>
        <v>0</v>
      </c>
      <c r="C1773" s="72"/>
      <c r="D1773" s="72"/>
      <c r="E1773" s="73"/>
      <c r="F1773" s="73"/>
    </row>
    <row r="1774" spans="1:6" x14ac:dyDescent="0.25">
      <c r="A1774">
        <f t="shared" si="54"/>
        <v>0</v>
      </c>
      <c r="B1774" s="3">
        <f t="shared" si="55"/>
        <v>0</v>
      </c>
      <c r="C1774" s="72"/>
      <c r="D1774" s="72"/>
      <c r="E1774" s="73"/>
      <c r="F1774" s="73"/>
    </row>
    <row r="1775" spans="1:6" x14ac:dyDescent="0.25">
      <c r="A1775">
        <f t="shared" si="54"/>
        <v>0</v>
      </c>
      <c r="B1775" s="3">
        <f t="shared" si="55"/>
        <v>0</v>
      </c>
      <c r="C1775" s="72"/>
      <c r="D1775" s="72"/>
      <c r="E1775" s="73"/>
      <c r="F1775" s="73"/>
    </row>
    <row r="1776" spans="1:6" x14ac:dyDescent="0.25">
      <c r="A1776">
        <f t="shared" si="54"/>
        <v>0</v>
      </c>
      <c r="B1776" s="3">
        <f t="shared" si="55"/>
        <v>0</v>
      </c>
      <c r="C1776" s="72"/>
      <c r="D1776" s="72"/>
      <c r="E1776" s="73"/>
      <c r="F1776" s="73"/>
    </row>
    <row r="1777" spans="1:6" x14ac:dyDescent="0.25">
      <c r="A1777">
        <f t="shared" si="54"/>
        <v>0</v>
      </c>
      <c r="B1777" s="3">
        <f t="shared" si="55"/>
        <v>0</v>
      </c>
      <c r="C1777" s="72"/>
      <c r="D1777" s="72"/>
      <c r="E1777" s="73"/>
      <c r="F1777" s="73"/>
    </row>
    <row r="1778" spans="1:6" x14ac:dyDescent="0.25">
      <c r="A1778">
        <f t="shared" si="54"/>
        <v>0</v>
      </c>
      <c r="B1778" s="3">
        <f t="shared" si="55"/>
        <v>0</v>
      </c>
      <c r="C1778" s="72"/>
      <c r="D1778" s="72"/>
      <c r="E1778" s="73"/>
      <c r="F1778" s="73"/>
    </row>
    <row r="1779" spans="1:6" x14ac:dyDescent="0.25">
      <c r="A1779">
        <f t="shared" si="54"/>
        <v>0</v>
      </c>
      <c r="B1779" s="3">
        <f t="shared" si="55"/>
        <v>0</v>
      </c>
      <c r="C1779" s="72"/>
      <c r="D1779" s="72"/>
      <c r="E1779" s="73"/>
      <c r="F1779" s="73"/>
    </row>
    <row r="1780" spans="1:6" x14ac:dyDescent="0.25">
      <c r="A1780">
        <f t="shared" si="54"/>
        <v>0</v>
      </c>
      <c r="B1780" s="3">
        <f t="shared" si="55"/>
        <v>0</v>
      </c>
      <c r="C1780" s="72"/>
      <c r="D1780" s="72"/>
      <c r="E1780" s="73"/>
      <c r="F1780" s="73"/>
    </row>
    <row r="1781" spans="1:6" x14ac:dyDescent="0.25">
      <c r="A1781">
        <f t="shared" si="54"/>
        <v>0</v>
      </c>
      <c r="B1781" s="3">
        <f t="shared" si="55"/>
        <v>0</v>
      </c>
      <c r="C1781" s="72"/>
      <c r="D1781" s="72"/>
      <c r="E1781" s="73"/>
      <c r="F1781" s="73"/>
    </row>
    <row r="1782" spans="1:6" x14ac:dyDescent="0.25">
      <c r="A1782">
        <f t="shared" si="54"/>
        <v>0</v>
      </c>
      <c r="B1782" s="3">
        <f t="shared" si="55"/>
        <v>0</v>
      </c>
      <c r="C1782" s="72"/>
      <c r="D1782" s="72"/>
      <c r="E1782" s="73"/>
      <c r="F1782" s="73"/>
    </row>
    <row r="1783" spans="1:6" x14ac:dyDescent="0.25">
      <c r="A1783">
        <f t="shared" si="54"/>
        <v>0</v>
      </c>
      <c r="B1783" s="3">
        <f t="shared" si="55"/>
        <v>0</v>
      </c>
      <c r="C1783" s="72"/>
      <c r="D1783" s="72"/>
      <c r="E1783" s="73"/>
      <c r="F1783" s="73"/>
    </row>
    <row r="1784" spans="1:6" x14ac:dyDescent="0.25">
      <c r="A1784">
        <f t="shared" si="54"/>
        <v>0</v>
      </c>
      <c r="B1784" s="3">
        <f t="shared" si="55"/>
        <v>0</v>
      </c>
      <c r="C1784" s="72"/>
      <c r="D1784" s="72"/>
      <c r="E1784" s="73"/>
      <c r="F1784" s="73"/>
    </row>
    <row r="1785" spans="1:6" x14ac:dyDescent="0.25">
      <c r="A1785">
        <f t="shared" si="54"/>
        <v>0</v>
      </c>
      <c r="B1785" s="3">
        <f t="shared" si="55"/>
        <v>0</v>
      </c>
      <c r="C1785" s="72"/>
      <c r="D1785" s="72"/>
      <c r="E1785" s="73"/>
      <c r="F1785" s="73"/>
    </row>
    <row r="1786" spans="1:6" x14ac:dyDescent="0.25">
      <c r="A1786">
        <f t="shared" si="54"/>
        <v>0</v>
      </c>
      <c r="B1786" s="3">
        <f t="shared" si="55"/>
        <v>0</v>
      </c>
      <c r="C1786" s="72"/>
      <c r="D1786" s="72"/>
      <c r="E1786" s="73"/>
      <c r="F1786" s="73"/>
    </row>
    <row r="1787" spans="1:6" x14ac:dyDescent="0.25">
      <c r="A1787">
        <f t="shared" si="54"/>
        <v>0</v>
      </c>
      <c r="B1787" s="3">
        <f t="shared" si="55"/>
        <v>0</v>
      </c>
      <c r="C1787" s="72"/>
      <c r="D1787" s="72"/>
      <c r="E1787" s="73"/>
      <c r="F1787" s="73"/>
    </row>
    <row r="1788" spans="1:6" x14ac:dyDescent="0.25">
      <c r="A1788">
        <f t="shared" si="54"/>
        <v>0</v>
      </c>
      <c r="B1788" s="3">
        <f t="shared" si="55"/>
        <v>0</v>
      </c>
      <c r="C1788" s="72"/>
      <c r="D1788" s="72"/>
      <c r="E1788" s="73"/>
      <c r="F1788" s="73"/>
    </row>
    <row r="1789" spans="1:6" x14ac:dyDescent="0.25">
      <c r="A1789">
        <f t="shared" si="54"/>
        <v>0</v>
      </c>
      <c r="B1789" s="3">
        <f t="shared" si="55"/>
        <v>0</v>
      </c>
      <c r="C1789" s="72"/>
      <c r="D1789" s="72"/>
      <c r="E1789" s="73"/>
      <c r="F1789" s="73"/>
    </row>
    <row r="1790" spans="1:6" x14ac:dyDescent="0.25">
      <c r="A1790">
        <f t="shared" si="54"/>
        <v>0</v>
      </c>
      <c r="B1790" s="3">
        <f t="shared" si="55"/>
        <v>0</v>
      </c>
      <c r="C1790" s="72"/>
      <c r="D1790" s="72"/>
      <c r="E1790" s="73"/>
      <c r="F1790" s="73"/>
    </row>
    <row r="1791" spans="1:6" x14ac:dyDescent="0.25">
      <c r="A1791">
        <f t="shared" si="54"/>
        <v>0</v>
      </c>
      <c r="B1791" s="3">
        <f t="shared" si="55"/>
        <v>0</v>
      </c>
      <c r="C1791" s="72"/>
      <c r="D1791" s="72"/>
      <c r="E1791" s="73"/>
      <c r="F1791" s="73"/>
    </row>
    <row r="1792" spans="1:6" x14ac:dyDescent="0.25">
      <c r="A1792">
        <f t="shared" si="54"/>
        <v>0</v>
      </c>
      <c r="B1792" s="3">
        <f t="shared" si="55"/>
        <v>0</v>
      </c>
      <c r="C1792" s="72"/>
      <c r="D1792" s="72"/>
      <c r="E1792" s="73"/>
      <c r="F1792" s="73"/>
    </row>
    <row r="1793" spans="1:6" x14ac:dyDescent="0.25">
      <c r="A1793">
        <f t="shared" si="54"/>
        <v>0</v>
      </c>
      <c r="B1793" s="3">
        <f t="shared" si="55"/>
        <v>0</v>
      </c>
      <c r="C1793" s="72"/>
      <c r="D1793" s="72"/>
      <c r="E1793" s="73"/>
      <c r="F1793" s="73"/>
    </row>
    <row r="1794" spans="1:6" x14ac:dyDescent="0.25">
      <c r="A1794">
        <f t="shared" si="54"/>
        <v>0</v>
      </c>
      <c r="B1794" s="3">
        <f t="shared" si="55"/>
        <v>0</v>
      </c>
      <c r="C1794" s="72"/>
      <c r="D1794" s="72"/>
      <c r="E1794" s="73"/>
      <c r="F1794" s="73"/>
    </row>
    <row r="1795" spans="1:6" x14ac:dyDescent="0.25">
      <c r="A1795">
        <f t="shared" si="54"/>
        <v>0</v>
      </c>
      <c r="B1795" s="3">
        <f t="shared" si="55"/>
        <v>0</v>
      </c>
      <c r="C1795" s="72"/>
      <c r="D1795" s="72"/>
      <c r="E1795" s="73"/>
      <c r="F1795" s="73"/>
    </row>
    <row r="1796" spans="1:6" x14ac:dyDescent="0.25">
      <c r="A1796">
        <f t="shared" si="54"/>
        <v>0</v>
      </c>
      <c r="B1796" s="3">
        <f t="shared" si="55"/>
        <v>0</v>
      </c>
      <c r="C1796" s="72"/>
      <c r="D1796" s="72"/>
      <c r="E1796" s="73"/>
      <c r="F1796" s="73"/>
    </row>
    <row r="1797" spans="1:6" x14ac:dyDescent="0.25">
      <c r="A1797">
        <f t="shared" si="54"/>
        <v>0</v>
      </c>
      <c r="B1797" s="3">
        <f t="shared" si="55"/>
        <v>0</v>
      </c>
      <c r="C1797" s="72"/>
      <c r="D1797" s="72"/>
      <c r="E1797" s="73"/>
      <c r="F1797" s="73"/>
    </row>
    <row r="1798" spans="1:6" x14ac:dyDescent="0.25">
      <c r="A1798">
        <f t="shared" si="54"/>
        <v>0</v>
      </c>
      <c r="B1798" s="3">
        <f t="shared" si="55"/>
        <v>0</v>
      </c>
      <c r="C1798" s="72"/>
      <c r="D1798" s="72"/>
      <c r="E1798" s="73"/>
      <c r="F1798" s="73"/>
    </row>
    <row r="1799" spans="1:6" x14ac:dyDescent="0.25">
      <c r="A1799">
        <f t="shared" ref="A1799:A1862" si="56">IF(ISNUMBER(C1799),C1799*F1799,)</f>
        <v>0</v>
      </c>
      <c r="B1799" s="3">
        <f t="shared" ref="B1799:B1862" si="57">IF(C1799&lt;&gt;"",1,0)</f>
        <v>0</v>
      </c>
      <c r="C1799" s="72"/>
      <c r="D1799" s="72"/>
      <c r="E1799" s="73"/>
      <c r="F1799" s="73"/>
    </row>
    <row r="1800" spans="1:6" x14ac:dyDescent="0.25">
      <c r="A1800">
        <f t="shared" si="56"/>
        <v>0</v>
      </c>
      <c r="B1800" s="3">
        <f t="shared" si="57"/>
        <v>0</v>
      </c>
      <c r="C1800" s="72"/>
      <c r="D1800" s="72"/>
      <c r="E1800" s="73"/>
      <c r="F1800" s="73"/>
    </row>
    <row r="1801" spans="1:6" x14ac:dyDescent="0.25">
      <c r="A1801">
        <f t="shared" si="56"/>
        <v>0</v>
      </c>
      <c r="B1801" s="3">
        <f t="shared" si="57"/>
        <v>0</v>
      </c>
      <c r="C1801" s="72"/>
      <c r="D1801" s="72"/>
      <c r="E1801" s="73"/>
      <c r="F1801" s="73"/>
    </row>
    <row r="1802" spans="1:6" x14ac:dyDescent="0.25">
      <c r="A1802">
        <f t="shared" si="56"/>
        <v>0</v>
      </c>
      <c r="B1802" s="3">
        <f t="shared" si="57"/>
        <v>0</v>
      </c>
      <c r="C1802" s="72"/>
      <c r="D1802" s="72"/>
      <c r="E1802" s="73"/>
      <c r="F1802" s="73"/>
    </row>
    <row r="1803" spans="1:6" x14ac:dyDescent="0.25">
      <c r="A1803">
        <f t="shared" si="56"/>
        <v>0</v>
      </c>
      <c r="B1803" s="3">
        <f t="shared" si="57"/>
        <v>0</v>
      </c>
      <c r="C1803" s="72"/>
      <c r="D1803" s="72"/>
      <c r="E1803" s="73"/>
      <c r="F1803" s="73"/>
    </row>
    <row r="1804" spans="1:6" x14ac:dyDescent="0.25">
      <c r="A1804">
        <f t="shared" si="56"/>
        <v>0</v>
      </c>
      <c r="B1804" s="3">
        <f t="shared" si="57"/>
        <v>0</v>
      </c>
      <c r="C1804" s="72"/>
      <c r="D1804" s="72"/>
      <c r="E1804" s="73"/>
      <c r="F1804" s="73"/>
    </row>
    <row r="1805" spans="1:6" x14ac:dyDescent="0.25">
      <c r="A1805">
        <f t="shared" si="56"/>
        <v>0</v>
      </c>
      <c r="B1805" s="3">
        <f t="shared" si="57"/>
        <v>0</v>
      </c>
      <c r="C1805" s="72"/>
      <c r="D1805" s="72"/>
      <c r="E1805" s="73"/>
      <c r="F1805" s="73"/>
    </row>
    <row r="1806" spans="1:6" x14ac:dyDescent="0.25">
      <c r="A1806">
        <f t="shared" si="56"/>
        <v>0</v>
      </c>
      <c r="B1806" s="3">
        <f t="shared" si="57"/>
        <v>0</v>
      </c>
      <c r="C1806" s="72"/>
      <c r="D1806" s="72"/>
      <c r="E1806" s="73"/>
      <c r="F1806" s="73"/>
    </row>
    <row r="1807" spans="1:6" x14ac:dyDescent="0.25">
      <c r="A1807">
        <f t="shared" si="56"/>
        <v>0</v>
      </c>
      <c r="B1807" s="3">
        <f t="shared" si="57"/>
        <v>0</v>
      </c>
      <c r="C1807" s="72"/>
      <c r="D1807" s="72"/>
      <c r="E1807" s="73"/>
      <c r="F1807" s="73"/>
    </row>
    <row r="1808" spans="1:6" x14ac:dyDescent="0.25">
      <c r="A1808">
        <f t="shared" si="56"/>
        <v>0</v>
      </c>
      <c r="B1808" s="3">
        <f t="shared" si="57"/>
        <v>0</v>
      </c>
      <c r="C1808" s="72"/>
      <c r="D1808" s="72"/>
      <c r="E1808" s="73"/>
      <c r="F1808" s="73"/>
    </row>
    <row r="1809" spans="1:6" x14ac:dyDescent="0.25">
      <c r="A1809">
        <f t="shared" si="56"/>
        <v>0</v>
      </c>
      <c r="B1809" s="3">
        <f t="shared" si="57"/>
        <v>0</v>
      </c>
      <c r="C1809" s="72"/>
      <c r="D1809" s="72"/>
      <c r="E1809" s="73"/>
      <c r="F1809" s="73"/>
    </row>
    <row r="1810" spans="1:6" x14ac:dyDescent="0.25">
      <c r="A1810">
        <f t="shared" si="56"/>
        <v>0</v>
      </c>
      <c r="B1810" s="3">
        <f t="shared" si="57"/>
        <v>0</v>
      </c>
      <c r="C1810" s="72"/>
      <c r="D1810" s="72"/>
      <c r="E1810" s="73"/>
      <c r="F1810" s="73"/>
    </row>
    <row r="1811" spans="1:6" x14ac:dyDescent="0.25">
      <c r="A1811">
        <f t="shared" si="56"/>
        <v>0</v>
      </c>
      <c r="B1811" s="3">
        <f t="shared" si="57"/>
        <v>0</v>
      </c>
      <c r="C1811" s="72"/>
      <c r="D1811" s="72"/>
      <c r="E1811" s="73"/>
      <c r="F1811" s="73"/>
    </row>
    <row r="1812" spans="1:6" x14ac:dyDescent="0.25">
      <c r="A1812">
        <f t="shared" si="56"/>
        <v>0</v>
      </c>
      <c r="B1812" s="3">
        <f t="shared" si="57"/>
        <v>0</v>
      </c>
      <c r="C1812" s="72"/>
      <c r="D1812" s="72"/>
      <c r="E1812" s="73"/>
      <c r="F1812" s="73"/>
    </row>
    <row r="1813" spans="1:6" x14ac:dyDescent="0.25">
      <c r="A1813">
        <f t="shared" si="56"/>
        <v>0</v>
      </c>
      <c r="B1813" s="3">
        <f t="shared" si="57"/>
        <v>0</v>
      </c>
      <c r="C1813" s="72"/>
      <c r="D1813" s="72"/>
      <c r="E1813" s="73"/>
      <c r="F1813" s="73"/>
    </row>
    <row r="1814" spans="1:6" x14ac:dyDescent="0.25">
      <c r="A1814">
        <f t="shared" si="56"/>
        <v>0</v>
      </c>
      <c r="B1814" s="3">
        <f t="shared" si="57"/>
        <v>0</v>
      </c>
      <c r="C1814" s="72"/>
      <c r="D1814" s="72"/>
      <c r="E1814" s="73"/>
      <c r="F1814" s="73"/>
    </row>
    <row r="1815" spans="1:6" x14ac:dyDescent="0.25">
      <c r="A1815">
        <f t="shared" si="56"/>
        <v>0</v>
      </c>
      <c r="B1815" s="3">
        <f t="shared" si="57"/>
        <v>0</v>
      </c>
      <c r="C1815" s="72"/>
      <c r="D1815" s="72"/>
      <c r="E1815" s="73"/>
      <c r="F1815" s="73"/>
    </row>
    <row r="1816" spans="1:6" x14ac:dyDescent="0.25">
      <c r="A1816">
        <f t="shared" si="56"/>
        <v>0</v>
      </c>
      <c r="B1816" s="3">
        <f t="shared" si="57"/>
        <v>0</v>
      </c>
      <c r="C1816" s="72"/>
      <c r="D1816" s="72"/>
      <c r="E1816" s="73"/>
      <c r="F1816" s="73"/>
    </row>
    <row r="1817" spans="1:6" x14ac:dyDescent="0.25">
      <c r="A1817">
        <f t="shared" si="56"/>
        <v>0</v>
      </c>
      <c r="B1817" s="3">
        <f t="shared" si="57"/>
        <v>0</v>
      </c>
      <c r="C1817" s="72"/>
      <c r="D1817" s="72"/>
      <c r="E1817" s="73"/>
      <c r="F1817" s="73"/>
    </row>
    <row r="1818" spans="1:6" x14ac:dyDescent="0.25">
      <c r="A1818">
        <f t="shared" si="56"/>
        <v>0</v>
      </c>
      <c r="B1818" s="3">
        <f t="shared" si="57"/>
        <v>0</v>
      </c>
      <c r="C1818" s="72"/>
      <c r="D1818" s="72"/>
      <c r="E1818" s="73"/>
      <c r="F1818" s="73"/>
    </row>
    <row r="1819" spans="1:6" x14ac:dyDescent="0.25">
      <c r="A1819">
        <f t="shared" si="56"/>
        <v>0</v>
      </c>
      <c r="B1819" s="3">
        <f t="shared" si="57"/>
        <v>0</v>
      </c>
      <c r="C1819" s="72"/>
      <c r="D1819" s="72"/>
      <c r="E1819" s="73"/>
      <c r="F1819" s="73"/>
    </row>
    <row r="1820" spans="1:6" x14ac:dyDescent="0.25">
      <c r="A1820">
        <f t="shared" si="56"/>
        <v>0</v>
      </c>
      <c r="B1820" s="3">
        <f t="shared" si="57"/>
        <v>0</v>
      </c>
      <c r="C1820" s="72"/>
      <c r="D1820" s="72"/>
      <c r="E1820" s="73"/>
      <c r="F1820" s="73"/>
    </row>
    <row r="1821" spans="1:6" x14ac:dyDescent="0.25">
      <c r="A1821">
        <f t="shared" si="56"/>
        <v>0</v>
      </c>
      <c r="B1821" s="3">
        <f t="shared" si="57"/>
        <v>0</v>
      </c>
      <c r="C1821" s="72"/>
      <c r="D1821" s="72"/>
      <c r="E1821" s="73"/>
      <c r="F1821" s="73"/>
    </row>
    <row r="1822" spans="1:6" x14ac:dyDescent="0.25">
      <c r="A1822">
        <f t="shared" si="56"/>
        <v>0</v>
      </c>
      <c r="B1822" s="3">
        <f t="shared" si="57"/>
        <v>0</v>
      </c>
      <c r="C1822" s="72"/>
      <c r="D1822" s="72"/>
      <c r="E1822" s="73"/>
      <c r="F1822" s="73"/>
    </row>
    <row r="1823" spans="1:6" x14ac:dyDescent="0.25">
      <c r="A1823">
        <f t="shared" si="56"/>
        <v>0</v>
      </c>
      <c r="B1823" s="3">
        <f t="shared" si="57"/>
        <v>0</v>
      </c>
      <c r="C1823" s="72"/>
      <c r="D1823" s="72"/>
      <c r="E1823" s="73"/>
      <c r="F1823" s="73"/>
    </row>
    <row r="1824" spans="1:6" x14ac:dyDescent="0.25">
      <c r="A1824">
        <f t="shared" si="56"/>
        <v>0</v>
      </c>
      <c r="B1824" s="3">
        <f t="shared" si="57"/>
        <v>0</v>
      </c>
      <c r="C1824" s="72"/>
      <c r="D1824" s="72"/>
      <c r="E1824" s="73"/>
      <c r="F1824" s="73"/>
    </row>
    <row r="1825" spans="1:6" x14ac:dyDescent="0.25">
      <c r="A1825">
        <f t="shared" si="56"/>
        <v>0</v>
      </c>
      <c r="B1825" s="3">
        <f t="shared" si="57"/>
        <v>0</v>
      </c>
      <c r="C1825" s="72"/>
      <c r="D1825" s="72"/>
      <c r="E1825" s="73"/>
      <c r="F1825" s="73"/>
    </row>
    <row r="1826" spans="1:6" x14ac:dyDescent="0.25">
      <c r="A1826">
        <f t="shared" si="56"/>
        <v>0</v>
      </c>
      <c r="B1826" s="3">
        <f t="shared" si="57"/>
        <v>0</v>
      </c>
      <c r="C1826" s="72"/>
      <c r="D1826" s="72"/>
      <c r="E1826" s="73"/>
      <c r="F1826" s="73"/>
    </row>
    <row r="1827" spans="1:6" x14ac:dyDescent="0.25">
      <c r="A1827">
        <f t="shared" si="56"/>
        <v>0</v>
      </c>
      <c r="B1827" s="3">
        <f t="shared" si="57"/>
        <v>0</v>
      </c>
      <c r="C1827" s="72"/>
      <c r="D1827" s="72"/>
      <c r="E1827" s="73"/>
      <c r="F1827" s="73"/>
    </row>
    <row r="1828" spans="1:6" x14ac:dyDescent="0.25">
      <c r="A1828">
        <f t="shared" si="56"/>
        <v>0</v>
      </c>
      <c r="B1828" s="3">
        <f t="shared" si="57"/>
        <v>0</v>
      </c>
      <c r="C1828" s="72"/>
      <c r="D1828" s="72"/>
      <c r="E1828" s="73"/>
      <c r="F1828" s="73"/>
    </row>
    <row r="1829" spans="1:6" x14ac:dyDescent="0.25">
      <c r="A1829">
        <f t="shared" si="56"/>
        <v>0</v>
      </c>
      <c r="B1829" s="3">
        <f t="shared" si="57"/>
        <v>0</v>
      </c>
      <c r="C1829" s="72"/>
      <c r="D1829" s="72"/>
      <c r="E1829" s="73"/>
      <c r="F1829" s="73"/>
    </row>
    <row r="1830" spans="1:6" x14ac:dyDescent="0.25">
      <c r="A1830">
        <f t="shared" si="56"/>
        <v>0</v>
      </c>
      <c r="B1830" s="3">
        <f t="shared" si="57"/>
        <v>0</v>
      </c>
      <c r="C1830" s="72"/>
      <c r="D1830" s="72"/>
      <c r="E1830" s="73"/>
      <c r="F1830" s="73"/>
    </row>
    <row r="1831" spans="1:6" x14ac:dyDescent="0.25">
      <c r="A1831">
        <f t="shared" si="56"/>
        <v>0</v>
      </c>
      <c r="B1831" s="3">
        <f t="shared" si="57"/>
        <v>0</v>
      </c>
      <c r="C1831" s="72"/>
      <c r="D1831" s="72"/>
      <c r="E1831" s="73"/>
      <c r="F1831" s="73"/>
    </row>
    <row r="1832" spans="1:6" x14ac:dyDescent="0.25">
      <c r="A1832">
        <f t="shared" si="56"/>
        <v>0</v>
      </c>
      <c r="B1832" s="3">
        <f t="shared" si="57"/>
        <v>0</v>
      </c>
      <c r="C1832" s="72"/>
      <c r="D1832" s="72"/>
      <c r="E1832" s="73"/>
      <c r="F1832" s="73"/>
    </row>
    <row r="1833" spans="1:6" x14ac:dyDescent="0.25">
      <c r="A1833">
        <f t="shared" si="56"/>
        <v>0</v>
      </c>
      <c r="B1833" s="3">
        <f t="shared" si="57"/>
        <v>0</v>
      </c>
      <c r="C1833" s="72"/>
      <c r="D1833" s="72"/>
      <c r="E1833" s="73"/>
      <c r="F1833" s="73"/>
    </row>
    <row r="1834" spans="1:6" x14ac:dyDescent="0.25">
      <c r="A1834">
        <f t="shared" si="56"/>
        <v>0</v>
      </c>
      <c r="B1834" s="3">
        <f t="shared" si="57"/>
        <v>0</v>
      </c>
      <c r="C1834" s="72"/>
      <c r="D1834" s="72"/>
      <c r="E1834" s="73"/>
      <c r="F1834" s="73"/>
    </row>
    <row r="1835" spans="1:6" x14ac:dyDescent="0.25">
      <c r="A1835">
        <f t="shared" si="56"/>
        <v>0</v>
      </c>
      <c r="B1835" s="3">
        <f t="shared" si="57"/>
        <v>0</v>
      </c>
      <c r="C1835" s="72"/>
      <c r="D1835" s="72"/>
      <c r="E1835" s="73"/>
      <c r="F1835" s="73"/>
    </row>
    <row r="1836" spans="1:6" x14ac:dyDescent="0.25">
      <c r="A1836">
        <f t="shared" si="56"/>
        <v>0</v>
      </c>
      <c r="B1836" s="3">
        <f t="shared" si="57"/>
        <v>0</v>
      </c>
      <c r="C1836" s="72"/>
      <c r="D1836" s="72"/>
      <c r="E1836" s="73"/>
      <c r="F1836" s="73"/>
    </row>
    <row r="1837" spans="1:6" x14ac:dyDescent="0.25">
      <c r="A1837">
        <f t="shared" si="56"/>
        <v>0</v>
      </c>
      <c r="B1837" s="3">
        <f t="shared" si="57"/>
        <v>0</v>
      </c>
      <c r="C1837" s="72"/>
      <c r="D1837" s="72"/>
      <c r="E1837" s="73"/>
      <c r="F1837" s="73"/>
    </row>
    <row r="1838" spans="1:6" x14ac:dyDescent="0.25">
      <c r="A1838">
        <f t="shared" si="56"/>
        <v>0</v>
      </c>
      <c r="B1838" s="3">
        <f t="shared" si="57"/>
        <v>0</v>
      </c>
      <c r="C1838" s="72"/>
      <c r="D1838" s="72"/>
      <c r="E1838" s="73"/>
      <c r="F1838" s="73"/>
    </row>
    <row r="1839" spans="1:6" x14ac:dyDescent="0.25">
      <c r="A1839">
        <f t="shared" si="56"/>
        <v>0</v>
      </c>
      <c r="B1839" s="3">
        <f t="shared" si="57"/>
        <v>0</v>
      </c>
      <c r="C1839" s="72"/>
      <c r="D1839" s="72"/>
      <c r="E1839" s="73"/>
      <c r="F1839" s="73"/>
    </row>
    <row r="1840" spans="1:6" x14ac:dyDescent="0.25">
      <c r="A1840">
        <f t="shared" si="56"/>
        <v>0</v>
      </c>
      <c r="B1840" s="3">
        <f t="shared" si="57"/>
        <v>0</v>
      </c>
      <c r="C1840" s="72"/>
      <c r="D1840" s="72"/>
      <c r="E1840" s="73"/>
      <c r="F1840" s="73"/>
    </row>
    <row r="1841" spans="1:6" x14ac:dyDescent="0.25">
      <c r="A1841">
        <f t="shared" si="56"/>
        <v>0</v>
      </c>
      <c r="B1841" s="3">
        <f t="shared" si="57"/>
        <v>0</v>
      </c>
      <c r="C1841" s="72"/>
      <c r="D1841" s="72"/>
      <c r="E1841" s="73"/>
      <c r="F1841" s="73"/>
    </row>
    <row r="1842" spans="1:6" x14ac:dyDescent="0.25">
      <c r="A1842">
        <f t="shared" si="56"/>
        <v>0</v>
      </c>
      <c r="B1842" s="3">
        <f t="shared" si="57"/>
        <v>0</v>
      </c>
      <c r="C1842" s="72"/>
      <c r="D1842" s="72"/>
      <c r="E1842" s="73"/>
      <c r="F1842" s="73"/>
    </row>
    <row r="1843" spans="1:6" x14ac:dyDescent="0.25">
      <c r="A1843">
        <f t="shared" si="56"/>
        <v>0</v>
      </c>
      <c r="B1843" s="3">
        <f t="shared" si="57"/>
        <v>0</v>
      </c>
      <c r="C1843" s="72"/>
      <c r="D1843" s="72"/>
      <c r="E1843" s="73"/>
      <c r="F1843" s="73"/>
    </row>
    <row r="1844" spans="1:6" x14ac:dyDescent="0.25">
      <c r="A1844">
        <f t="shared" si="56"/>
        <v>0</v>
      </c>
      <c r="B1844" s="3">
        <f t="shared" si="57"/>
        <v>0</v>
      </c>
      <c r="C1844" s="72"/>
      <c r="D1844" s="72"/>
      <c r="E1844" s="73"/>
      <c r="F1844" s="73"/>
    </row>
    <row r="1845" spans="1:6" x14ac:dyDescent="0.25">
      <c r="A1845">
        <f t="shared" si="56"/>
        <v>0</v>
      </c>
      <c r="B1845" s="3">
        <f t="shared" si="57"/>
        <v>0</v>
      </c>
      <c r="C1845" s="72"/>
      <c r="D1845" s="72"/>
      <c r="E1845" s="73"/>
      <c r="F1845" s="73"/>
    </row>
    <row r="1846" spans="1:6" x14ac:dyDescent="0.25">
      <c r="A1846">
        <f t="shared" si="56"/>
        <v>0</v>
      </c>
      <c r="B1846" s="3">
        <f t="shared" si="57"/>
        <v>0</v>
      </c>
      <c r="C1846" s="72"/>
      <c r="D1846" s="72"/>
      <c r="E1846" s="73"/>
      <c r="F1846" s="73"/>
    </row>
    <row r="1847" spans="1:6" x14ac:dyDescent="0.25">
      <c r="A1847">
        <f t="shared" si="56"/>
        <v>0</v>
      </c>
      <c r="B1847" s="3">
        <f t="shared" si="57"/>
        <v>0</v>
      </c>
      <c r="C1847" s="72"/>
      <c r="D1847" s="72"/>
      <c r="E1847" s="73"/>
      <c r="F1847" s="73"/>
    </row>
    <row r="1848" spans="1:6" x14ac:dyDescent="0.25">
      <c r="A1848">
        <f t="shared" si="56"/>
        <v>0</v>
      </c>
      <c r="B1848" s="3">
        <f t="shared" si="57"/>
        <v>0</v>
      </c>
      <c r="C1848" s="72"/>
      <c r="D1848" s="72"/>
      <c r="E1848" s="73"/>
      <c r="F1848" s="73"/>
    </row>
    <row r="1849" spans="1:6" x14ac:dyDescent="0.25">
      <c r="A1849">
        <f t="shared" si="56"/>
        <v>0</v>
      </c>
      <c r="B1849" s="3">
        <f t="shared" si="57"/>
        <v>0</v>
      </c>
      <c r="C1849" s="72"/>
      <c r="D1849" s="72"/>
      <c r="E1849" s="73"/>
      <c r="F1849" s="73"/>
    </row>
    <row r="1850" spans="1:6" x14ac:dyDescent="0.25">
      <c r="A1850">
        <f t="shared" si="56"/>
        <v>0</v>
      </c>
      <c r="B1850" s="3">
        <f t="shared" si="57"/>
        <v>0</v>
      </c>
      <c r="C1850" s="72"/>
      <c r="D1850" s="72"/>
      <c r="E1850" s="73"/>
      <c r="F1850" s="73"/>
    </row>
    <row r="1851" spans="1:6" x14ac:dyDescent="0.25">
      <c r="A1851">
        <f t="shared" si="56"/>
        <v>0</v>
      </c>
      <c r="B1851" s="3">
        <f t="shared" si="57"/>
        <v>0</v>
      </c>
      <c r="C1851" s="72"/>
      <c r="D1851" s="72"/>
      <c r="E1851" s="73"/>
      <c r="F1851" s="73"/>
    </row>
    <row r="1852" spans="1:6" x14ac:dyDescent="0.25">
      <c r="A1852">
        <f t="shared" si="56"/>
        <v>0</v>
      </c>
      <c r="B1852" s="3">
        <f t="shared" si="57"/>
        <v>0</v>
      </c>
      <c r="C1852" s="72"/>
      <c r="D1852" s="72"/>
      <c r="E1852" s="73"/>
      <c r="F1852" s="73"/>
    </row>
    <row r="1853" spans="1:6" x14ac:dyDescent="0.25">
      <c r="A1853">
        <f t="shared" si="56"/>
        <v>0</v>
      </c>
      <c r="B1853" s="3">
        <f t="shared" si="57"/>
        <v>0</v>
      </c>
      <c r="C1853" s="72"/>
      <c r="D1853" s="72"/>
      <c r="E1853" s="73"/>
      <c r="F1853" s="73"/>
    </row>
    <row r="1854" spans="1:6" x14ac:dyDescent="0.25">
      <c r="A1854">
        <f t="shared" si="56"/>
        <v>0</v>
      </c>
      <c r="B1854" s="3">
        <f t="shared" si="57"/>
        <v>0</v>
      </c>
      <c r="C1854" s="72"/>
      <c r="D1854" s="72"/>
      <c r="E1854" s="73"/>
      <c r="F1854" s="73"/>
    </row>
    <row r="1855" spans="1:6" x14ac:dyDescent="0.25">
      <c r="A1855">
        <f t="shared" si="56"/>
        <v>0</v>
      </c>
      <c r="B1855" s="3">
        <f t="shared" si="57"/>
        <v>0</v>
      </c>
      <c r="C1855" s="72"/>
      <c r="D1855" s="72"/>
      <c r="E1855" s="73"/>
      <c r="F1855" s="73"/>
    </row>
    <row r="1856" spans="1:6" x14ac:dyDescent="0.25">
      <c r="A1856">
        <f t="shared" si="56"/>
        <v>0</v>
      </c>
      <c r="B1856" s="3">
        <f t="shared" si="57"/>
        <v>0</v>
      </c>
      <c r="C1856" s="72"/>
      <c r="D1856" s="72"/>
      <c r="E1856" s="73"/>
      <c r="F1856" s="73"/>
    </row>
    <row r="1857" spans="1:6" x14ac:dyDescent="0.25">
      <c r="A1857">
        <f t="shared" si="56"/>
        <v>0</v>
      </c>
      <c r="B1857" s="3">
        <f t="shared" si="57"/>
        <v>0</v>
      </c>
      <c r="C1857" s="72"/>
      <c r="D1857" s="72"/>
      <c r="E1857" s="73"/>
      <c r="F1857" s="73"/>
    </row>
    <row r="1858" spans="1:6" x14ac:dyDescent="0.25">
      <c r="A1858">
        <f t="shared" si="56"/>
        <v>0</v>
      </c>
      <c r="B1858" s="3">
        <f t="shared" si="57"/>
        <v>0</v>
      </c>
      <c r="C1858" s="72"/>
      <c r="D1858" s="72"/>
      <c r="E1858" s="73"/>
      <c r="F1858" s="73"/>
    </row>
    <row r="1859" spans="1:6" x14ac:dyDescent="0.25">
      <c r="A1859">
        <f t="shared" si="56"/>
        <v>0</v>
      </c>
      <c r="B1859" s="3">
        <f t="shared" si="57"/>
        <v>0</v>
      </c>
      <c r="C1859" s="72"/>
      <c r="D1859" s="72"/>
      <c r="E1859" s="73"/>
      <c r="F1859" s="73"/>
    </row>
    <row r="1860" spans="1:6" x14ac:dyDescent="0.25">
      <c r="A1860">
        <f t="shared" si="56"/>
        <v>0</v>
      </c>
      <c r="B1860" s="3">
        <f t="shared" si="57"/>
        <v>0</v>
      </c>
      <c r="C1860" s="72"/>
      <c r="D1860" s="72"/>
      <c r="E1860" s="73"/>
      <c r="F1860" s="73"/>
    </row>
    <row r="1861" spans="1:6" x14ac:dyDescent="0.25">
      <c r="A1861">
        <f t="shared" si="56"/>
        <v>0</v>
      </c>
      <c r="B1861" s="3">
        <f t="shared" si="57"/>
        <v>0</v>
      </c>
      <c r="C1861" s="72"/>
      <c r="D1861" s="72"/>
      <c r="E1861" s="73"/>
      <c r="F1861" s="73"/>
    </row>
    <row r="1862" spans="1:6" x14ac:dyDescent="0.25">
      <c r="A1862">
        <f t="shared" si="56"/>
        <v>0</v>
      </c>
      <c r="B1862" s="3">
        <f t="shared" si="57"/>
        <v>0</v>
      </c>
      <c r="C1862" s="72"/>
      <c r="D1862" s="72"/>
      <c r="E1862" s="73"/>
      <c r="F1862" s="73"/>
    </row>
    <row r="1863" spans="1:6" x14ac:dyDescent="0.25">
      <c r="A1863">
        <f t="shared" ref="A1863:A1926" si="58">IF(ISNUMBER(C1863),C1863*F1863,)</f>
        <v>0</v>
      </c>
      <c r="B1863" s="3">
        <f t="shared" ref="B1863:B1926" si="59">IF(C1863&lt;&gt;"",1,0)</f>
        <v>0</v>
      </c>
      <c r="C1863" s="72"/>
      <c r="D1863" s="72"/>
      <c r="E1863" s="73"/>
      <c r="F1863" s="73"/>
    </row>
    <row r="1864" spans="1:6" x14ac:dyDescent="0.25">
      <c r="A1864">
        <f t="shared" si="58"/>
        <v>0</v>
      </c>
      <c r="B1864" s="3">
        <f t="shared" si="59"/>
        <v>0</v>
      </c>
      <c r="C1864" s="72"/>
      <c r="D1864" s="72"/>
      <c r="E1864" s="73"/>
      <c r="F1864" s="73"/>
    </row>
    <row r="1865" spans="1:6" x14ac:dyDescent="0.25">
      <c r="A1865">
        <f t="shared" si="58"/>
        <v>0</v>
      </c>
      <c r="B1865" s="3">
        <f t="shared" si="59"/>
        <v>0</v>
      </c>
      <c r="C1865" s="72"/>
      <c r="D1865" s="72"/>
      <c r="E1865" s="73"/>
      <c r="F1865" s="73"/>
    </row>
    <row r="1866" spans="1:6" x14ac:dyDescent="0.25">
      <c r="A1866">
        <f t="shared" si="58"/>
        <v>0</v>
      </c>
      <c r="B1866" s="3">
        <f t="shared" si="59"/>
        <v>0</v>
      </c>
      <c r="C1866" s="72"/>
      <c r="D1866" s="72"/>
      <c r="E1866" s="73"/>
      <c r="F1866" s="73"/>
    </row>
    <row r="1867" spans="1:6" x14ac:dyDescent="0.25">
      <c r="A1867">
        <f t="shared" si="58"/>
        <v>0</v>
      </c>
      <c r="B1867" s="3">
        <f t="shared" si="59"/>
        <v>0</v>
      </c>
      <c r="C1867" s="72"/>
      <c r="D1867" s="72"/>
      <c r="E1867" s="73"/>
      <c r="F1867" s="73"/>
    </row>
    <row r="1868" spans="1:6" x14ac:dyDescent="0.25">
      <c r="A1868">
        <f t="shared" si="58"/>
        <v>0</v>
      </c>
      <c r="B1868" s="3">
        <f t="shared" si="59"/>
        <v>0</v>
      </c>
      <c r="C1868" s="72"/>
      <c r="D1868" s="72"/>
      <c r="E1868" s="73"/>
      <c r="F1868" s="73"/>
    </row>
    <row r="1869" spans="1:6" x14ac:dyDescent="0.25">
      <c r="A1869">
        <f t="shared" si="58"/>
        <v>0</v>
      </c>
      <c r="B1869" s="3">
        <f t="shared" si="59"/>
        <v>0</v>
      </c>
      <c r="C1869" s="72"/>
      <c r="D1869" s="72"/>
      <c r="E1869" s="73"/>
      <c r="F1869" s="73"/>
    </row>
    <row r="1870" spans="1:6" x14ac:dyDescent="0.25">
      <c r="A1870">
        <f t="shared" si="58"/>
        <v>0</v>
      </c>
      <c r="B1870" s="3">
        <f t="shared" si="59"/>
        <v>0</v>
      </c>
      <c r="C1870" s="72"/>
      <c r="D1870" s="72"/>
      <c r="E1870" s="73"/>
      <c r="F1870" s="73"/>
    </row>
    <row r="1871" spans="1:6" x14ac:dyDescent="0.25">
      <c r="A1871">
        <f t="shared" si="58"/>
        <v>0</v>
      </c>
      <c r="B1871" s="3">
        <f t="shared" si="59"/>
        <v>0</v>
      </c>
      <c r="C1871" s="72"/>
      <c r="D1871" s="72"/>
      <c r="E1871" s="73"/>
      <c r="F1871" s="73"/>
    </row>
    <row r="1872" spans="1:6" x14ac:dyDescent="0.25">
      <c r="A1872">
        <f t="shared" si="58"/>
        <v>0</v>
      </c>
      <c r="B1872" s="3">
        <f t="shared" si="59"/>
        <v>0</v>
      </c>
      <c r="C1872" s="72"/>
      <c r="D1872" s="72"/>
      <c r="E1872" s="73"/>
      <c r="F1872" s="73"/>
    </row>
    <row r="1873" spans="1:6" x14ac:dyDescent="0.25">
      <c r="A1873">
        <f t="shared" si="58"/>
        <v>0</v>
      </c>
      <c r="B1873" s="3">
        <f t="shared" si="59"/>
        <v>0</v>
      </c>
      <c r="C1873" s="72"/>
      <c r="D1873" s="72"/>
      <c r="E1873" s="73"/>
      <c r="F1873" s="73"/>
    </row>
    <row r="1874" spans="1:6" x14ac:dyDescent="0.25">
      <c r="A1874">
        <f t="shared" si="58"/>
        <v>0</v>
      </c>
      <c r="B1874" s="3">
        <f t="shared" si="59"/>
        <v>0</v>
      </c>
      <c r="C1874" s="72"/>
      <c r="D1874" s="72"/>
      <c r="E1874" s="73"/>
      <c r="F1874" s="73"/>
    </row>
    <row r="1875" spans="1:6" x14ac:dyDescent="0.25">
      <c r="A1875">
        <f t="shared" si="58"/>
        <v>0</v>
      </c>
      <c r="B1875" s="3">
        <f t="shared" si="59"/>
        <v>0</v>
      </c>
      <c r="C1875" s="72"/>
      <c r="D1875" s="72"/>
      <c r="E1875" s="73"/>
      <c r="F1875" s="73"/>
    </row>
    <row r="1876" spans="1:6" x14ac:dyDescent="0.25">
      <c r="A1876">
        <f t="shared" si="58"/>
        <v>0</v>
      </c>
      <c r="B1876" s="3">
        <f t="shared" si="59"/>
        <v>0</v>
      </c>
      <c r="C1876" s="72"/>
      <c r="D1876" s="72"/>
      <c r="E1876" s="73"/>
      <c r="F1876" s="73"/>
    </row>
    <row r="1877" spans="1:6" x14ac:dyDescent="0.25">
      <c r="A1877">
        <f t="shared" si="58"/>
        <v>0</v>
      </c>
      <c r="B1877" s="3">
        <f t="shared" si="59"/>
        <v>0</v>
      </c>
      <c r="C1877" s="72"/>
      <c r="D1877" s="72"/>
      <c r="E1877" s="73"/>
      <c r="F1877" s="73"/>
    </row>
    <row r="1878" spans="1:6" x14ac:dyDescent="0.25">
      <c r="A1878">
        <f t="shared" si="58"/>
        <v>0</v>
      </c>
      <c r="B1878" s="3">
        <f t="shared" si="59"/>
        <v>0</v>
      </c>
      <c r="C1878" s="72"/>
      <c r="D1878" s="72"/>
      <c r="E1878" s="73"/>
      <c r="F1878" s="73"/>
    </row>
    <row r="1879" spans="1:6" x14ac:dyDescent="0.25">
      <c r="A1879">
        <f t="shared" si="58"/>
        <v>0</v>
      </c>
      <c r="B1879" s="3">
        <f t="shared" si="59"/>
        <v>0</v>
      </c>
      <c r="C1879" s="72"/>
      <c r="D1879" s="72"/>
      <c r="E1879" s="73"/>
      <c r="F1879" s="73"/>
    </row>
    <row r="1880" spans="1:6" x14ac:dyDescent="0.25">
      <c r="A1880">
        <f t="shared" si="58"/>
        <v>0</v>
      </c>
      <c r="B1880" s="3">
        <f t="shared" si="59"/>
        <v>0</v>
      </c>
      <c r="C1880" s="72"/>
      <c r="D1880" s="72"/>
      <c r="E1880" s="73"/>
      <c r="F1880" s="73"/>
    </row>
    <row r="1881" spans="1:6" x14ac:dyDescent="0.25">
      <c r="A1881">
        <f t="shared" si="58"/>
        <v>0</v>
      </c>
      <c r="B1881" s="3">
        <f t="shared" si="59"/>
        <v>0</v>
      </c>
      <c r="C1881" s="72"/>
      <c r="D1881" s="72"/>
      <c r="E1881" s="73"/>
      <c r="F1881" s="73"/>
    </row>
    <row r="1882" spans="1:6" x14ac:dyDescent="0.25">
      <c r="A1882">
        <f t="shared" si="58"/>
        <v>0</v>
      </c>
      <c r="B1882" s="3">
        <f t="shared" si="59"/>
        <v>0</v>
      </c>
      <c r="C1882" s="72"/>
      <c r="D1882" s="72"/>
      <c r="E1882" s="73"/>
      <c r="F1882" s="73"/>
    </row>
    <row r="1883" spans="1:6" x14ac:dyDescent="0.25">
      <c r="A1883">
        <f t="shared" si="58"/>
        <v>0</v>
      </c>
      <c r="B1883" s="3">
        <f t="shared" si="59"/>
        <v>0</v>
      </c>
      <c r="C1883" s="72"/>
      <c r="D1883" s="72"/>
      <c r="E1883" s="73"/>
      <c r="F1883" s="73"/>
    </row>
    <row r="1884" spans="1:6" x14ac:dyDescent="0.25">
      <c r="A1884">
        <f t="shared" si="58"/>
        <v>0</v>
      </c>
      <c r="B1884" s="3">
        <f t="shared" si="59"/>
        <v>0</v>
      </c>
      <c r="C1884" s="72"/>
      <c r="D1884" s="72"/>
      <c r="E1884" s="73"/>
      <c r="F1884" s="73"/>
    </row>
    <row r="1885" spans="1:6" x14ac:dyDescent="0.25">
      <c r="A1885">
        <f t="shared" si="58"/>
        <v>0</v>
      </c>
      <c r="B1885" s="3">
        <f t="shared" si="59"/>
        <v>0</v>
      </c>
      <c r="C1885" s="72"/>
      <c r="D1885" s="72"/>
      <c r="E1885" s="73"/>
      <c r="F1885" s="73"/>
    </row>
    <row r="1886" spans="1:6" x14ac:dyDescent="0.25">
      <c r="A1886">
        <f t="shared" si="58"/>
        <v>0</v>
      </c>
      <c r="B1886" s="3">
        <f t="shared" si="59"/>
        <v>0</v>
      </c>
      <c r="C1886" s="72"/>
      <c r="D1886" s="72"/>
      <c r="E1886" s="73"/>
      <c r="F1886" s="73"/>
    </row>
    <row r="1887" spans="1:6" x14ac:dyDescent="0.25">
      <c r="A1887">
        <f t="shared" si="58"/>
        <v>0</v>
      </c>
      <c r="B1887" s="3">
        <f t="shared" si="59"/>
        <v>0</v>
      </c>
      <c r="C1887" s="72"/>
      <c r="D1887" s="72"/>
      <c r="E1887" s="73"/>
      <c r="F1887" s="73"/>
    </row>
    <row r="1888" spans="1:6" x14ac:dyDescent="0.25">
      <c r="A1888">
        <f t="shared" si="58"/>
        <v>0</v>
      </c>
      <c r="B1888" s="3">
        <f t="shared" si="59"/>
        <v>0</v>
      </c>
      <c r="C1888" s="72"/>
      <c r="D1888" s="72"/>
      <c r="E1888" s="73"/>
      <c r="F1888" s="73"/>
    </row>
    <row r="1889" spans="1:6" x14ac:dyDescent="0.25">
      <c r="A1889">
        <f t="shared" si="58"/>
        <v>0</v>
      </c>
      <c r="B1889" s="3">
        <f t="shared" si="59"/>
        <v>0</v>
      </c>
      <c r="C1889" s="72"/>
      <c r="D1889" s="72"/>
      <c r="E1889" s="73"/>
      <c r="F1889" s="73"/>
    </row>
    <row r="1890" spans="1:6" x14ac:dyDescent="0.25">
      <c r="A1890">
        <f t="shared" si="58"/>
        <v>0</v>
      </c>
      <c r="B1890" s="3">
        <f t="shared" si="59"/>
        <v>0</v>
      </c>
      <c r="C1890" s="72"/>
      <c r="D1890" s="72"/>
      <c r="E1890" s="73"/>
      <c r="F1890" s="73"/>
    </row>
    <row r="1891" spans="1:6" x14ac:dyDescent="0.25">
      <c r="A1891">
        <f t="shared" si="58"/>
        <v>0</v>
      </c>
      <c r="B1891" s="3">
        <f t="shared" si="59"/>
        <v>0</v>
      </c>
      <c r="C1891" s="72"/>
      <c r="D1891" s="72"/>
      <c r="E1891" s="73"/>
      <c r="F1891" s="73"/>
    </row>
    <row r="1892" spans="1:6" x14ac:dyDescent="0.25">
      <c r="A1892">
        <f t="shared" si="58"/>
        <v>0</v>
      </c>
      <c r="B1892" s="3">
        <f t="shared" si="59"/>
        <v>0</v>
      </c>
      <c r="C1892" s="72"/>
      <c r="D1892" s="72"/>
      <c r="E1892" s="73"/>
      <c r="F1892" s="73"/>
    </row>
    <row r="1893" spans="1:6" x14ac:dyDescent="0.25">
      <c r="A1893">
        <f t="shared" si="58"/>
        <v>0</v>
      </c>
      <c r="B1893" s="3">
        <f t="shared" si="59"/>
        <v>0</v>
      </c>
      <c r="C1893" s="72"/>
      <c r="D1893" s="72"/>
      <c r="E1893" s="73"/>
      <c r="F1893" s="73"/>
    </row>
    <row r="1894" spans="1:6" x14ac:dyDescent="0.25">
      <c r="A1894">
        <f t="shared" si="58"/>
        <v>0</v>
      </c>
      <c r="B1894" s="3">
        <f t="shared" si="59"/>
        <v>0</v>
      </c>
      <c r="C1894" s="72"/>
      <c r="D1894" s="72"/>
      <c r="E1894" s="73"/>
      <c r="F1894" s="73"/>
    </row>
    <row r="1895" spans="1:6" x14ac:dyDescent="0.25">
      <c r="A1895">
        <f t="shared" si="58"/>
        <v>0</v>
      </c>
      <c r="B1895" s="3">
        <f t="shared" si="59"/>
        <v>0</v>
      </c>
      <c r="C1895" s="72"/>
      <c r="D1895" s="72"/>
      <c r="E1895" s="73"/>
      <c r="F1895" s="73"/>
    </row>
    <row r="1896" spans="1:6" x14ac:dyDescent="0.25">
      <c r="A1896">
        <f t="shared" si="58"/>
        <v>0</v>
      </c>
      <c r="B1896" s="3">
        <f t="shared" si="59"/>
        <v>0</v>
      </c>
      <c r="C1896" s="72"/>
      <c r="D1896" s="72"/>
      <c r="E1896" s="73"/>
      <c r="F1896" s="73"/>
    </row>
    <row r="1897" spans="1:6" x14ac:dyDescent="0.25">
      <c r="A1897">
        <f t="shared" si="58"/>
        <v>0</v>
      </c>
      <c r="B1897" s="3">
        <f t="shared" si="59"/>
        <v>0</v>
      </c>
      <c r="C1897" s="72"/>
      <c r="D1897" s="72"/>
      <c r="E1897" s="73"/>
      <c r="F1897" s="73"/>
    </row>
    <row r="1898" spans="1:6" x14ac:dyDescent="0.25">
      <c r="A1898">
        <f t="shared" si="58"/>
        <v>0</v>
      </c>
      <c r="B1898" s="3">
        <f t="shared" si="59"/>
        <v>0</v>
      </c>
      <c r="C1898" s="72"/>
      <c r="D1898" s="72"/>
      <c r="E1898" s="73"/>
      <c r="F1898" s="73"/>
    </row>
    <row r="1899" spans="1:6" x14ac:dyDescent="0.25">
      <c r="A1899">
        <f t="shared" si="58"/>
        <v>0</v>
      </c>
      <c r="B1899" s="3">
        <f t="shared" si="59"/>
        <v>0</v>
      </c>
      <c r="C1899" s="72"/>
      <c r="D1899" s="72"/>
      <c r="E1899" s="73"/>
      <c r="F1899" s="73"/>
    </row>
    <row r="1900" spans="1:6" x14ac:dyDescent="0.25">
      <c r="A1900">
        <f t="shared" si="58"/>
        <v>0</v>
      </c>
      <c r="B1900" s="3">
        <f t="shared" si="59"/>
        <v>0</v>
      </c>
      <c r="C1900" s="72"/>
      <c r="D1900" s="72"/>
      <c r="E1900" s="73"/>
      <c r="F1900" s="73"/>
    </row>
    <row r="1901" spans="1:6" x14ac:dyDescent="0.25">
      <c r="A1901">
        <f t="shared" si="58"/>
        <v>0</v>
      </c>
      <c r="B1901" s="3">
        <f t="shared" si="59"/>
        <v>0</v>
      </c>
      <c r="C1901" s="72"/>
      <c r="D1901" s="72"/>
      <c r="E1901" s="73"/>
      <c r="F1901" s="73"/>
    </row>
    <row r="1902" spans="1:6" x14ac:dyDescent="0.25">
      <c r="A1902">
        <f t="shared" si="58"/>
        <v>0</v>
      </c>
      <c r="B1902" s="3">
        <f t="shared" si="59"/>
        <v>0</v>
      </c>
      <c r="C1902" s="72"/>
      <c r="D1902" s="72"/>
      <c r="E1902" s="73"/>
      <c r="F1902" s="73"/>
    </row>
    <row r="1903" spans="1:6" x14ac:dyDescent="0.25">
      <c r="A1903">
        <f t="shared" si="58"/>
        <v>0</v>
      </c>
      <c r="B1903" s="3">
        <f t="shared" si="59"/>
        <v>0</v>
      </c>
      <c r="C1903" s="72"/>
      <c r="D1903" s="72"/>
      <c r="E1903" s="73"/>
      <c r="F1903" s="73"/>
    </row>
    <row r="1904" spans="1:6" x14ac:dyDescent="0.25">
      <c r="A1904">
        <f t="shared" si="58"/>
        <v>0</v>
      </c>
      <c r="B1904" s="3">
        <f t="shared" si="59"/>
        <v>0</v>
      </c>
      <c r="C1904" s="72"/>
      <c r="D1904" s="72"/>
      <c r="E1904" s="73"/>
      <c r="F1904" s="73"/>
    </row>
    <row r="1905" spans="1:6" x14ac:dyDescent="0.25">
      <c r="A1905">
        <f t="shared" si="58"/>
        <v>0</v>
      </c>
      <c r="B1905" s="3">
        <f t="shared" si="59"/>
        <v>0</v>
      </c>
      <c r="C1905" s="72"/>
      <c r="D1905" s="72"/>
      <c r="E1905" s="73"/>
      <c r="F1905" s="73"/>
    </row>
    <row r="1906" spans="1:6" x14ac:dyDescent="0.25">
      <c r="A1906">
        <f t="shared" si="58"/>
        <v>0</v>
      </c>
      <c r="B1906" s="3">
        <f t="shared" si="59"/>
        <v>0</v>
      </c>
      <c r="C1906" s="72"/>
      <c r="D1906" s="72"/>
      <c r="E1906" s="73"/>
      <c r="F1906" s="73"/>
    </row>
    <row r="1907" spans="1:6" x14ac:dyDescent="0.25">
      <c r="A1907">
        <f t="shared" si="58"/>
        <v>0</v>
      </c>
      <c r="B1907" s="3">
        <f t="shared" si="59"/>
        <v>0</v>
      </c>
      <c r="C1907" s="72"/>
      <c r="D1907" s="72"/>
      <c r="E1907" s="73"/>
      <c r="F1907" s="73"/>
    </row>
    <row r="1908" spans="1:6" x14ac:dyDescent="0.25">
      <c r="A1908">
        <f t="shared" si="58"/>
        <v>0</v>
      </c>
      <c r="B1908" s="3">
        <f t="shared" si="59"/>
        <v>0</v>
      </c>
      <c r="C1908" s="72"/>
      <c r="D1908" s="72"/>
      <c r="E1908" s="73"/>
      <c r="F1908" s="73"/>
    </row>
    <row r="1909" spans="1:6" x14ac:dyDescent="0.25">
      <c r="A1909">
        <f t="shared" si="58"/>
        <v>0</v>
      </c>
      <c r="B1909" s="3">
        <f t="shared" si="59"/>
        <v>0</v>
      </c>
      <c r="C1909" s="72"/>
      <c r="D1909" s="72"/>
      <c r="E1909" s="73"/>
      <c r="F1909" s="73"/>
    </row>
    <row r="1910" spans="1:6" x14ac:dyDescent="0.25">
      <c r="A1910">
        <f t="shared" si="58"/>
        <v>0</v>
      </c>
      <c r="B1910" s="3">
        <f t="shared" si="59"/>
        <v>0</v>
      </c>
      <c r="C1910" s="72"/>
      <c r="D1910" s="72"/>
      <c r="E1910" s="73"/>
      <c r="F1910" s="73"/>
    </row>
    <row r="1911" spans="1:6" x14ac:dyDescent="0.25">
      <c r="A1911">
        <f t="shared" si="58"/>
        <v>0</v>
      </c>
      <c r="B1911" s="3">
        <f t="shared" si="59"/>
        <v>0</v>
      </c>
      <c r="C1911" s="72"/>
      <c r="D1911" s="72"/>
      <c r="E1911" s="73"/>
      <c r="F1911" s="73"/>
    </row>
    <row r="1912" spans="1:6" x14ac:dyDescent="0.25">
      <c r="A1912">
        <f t="shared" si="58"/>
        <v>0</v>
      </c>
      <c r="B1912" s="3">
        <f t="shared" si="59"/>
        <v>0</v>
      </c>
      <c r="C1912" s="72"/>
      <c r="D1912" s="72"/>
      <c r="E1912" s="73"/>
      <c r="F1912" s="73"/>
    </row>
    <row r="1913" spans="1:6" x14ac:dyDescent="0.25">
      <c r="A1913">
        <f t="shared" si="58"/>
        <v>0</v>
      </c>
      <c r="B1913" s="3">
        <f t="shared" si="59"/>
        <v>0</v>
      </c>
      <c r="C1913" s="72"/>
      <c r="D1913" s="72"/>
      <c r="E1913" s="73"/>
      <c r="F1913" s="73"/>
    </row>
    <row r="1914" spans="1:6" x14ac:dyDescent="0.25">
      <c r="A1914">
        <f t="shared" si="58"/>
        <v>0</v>
      </c>
      <c r="B1914" s="3">
        <f t="shared" si="59"/>
        <v>0</v>
      </c>
      <c r="C1914" s="72"/>
      <c r="D1914" s="72"/>
      <c r="E1914" s="73"/>
      <c r="F1914" s="73"/>
    </row>
    <row r="1915" spans="1:6" x14ac:dyDescent="0.25">
      <c r="A1915">
        <f t="shared" si="58"/>
        <v>0</v>
      </c>
      <c r="B1915" s="3">
        <f t="shared" si="59"/>
        <v>0</v>
      </c>
      <c r="C1915" s="72"/>
      <c r="D1915" s="72"/>
      <c r="E1915" s="73"/>
      <c r="F1915" s="73"/>
    </row>
    <row r="1916" spans="1:6" x14ac:dyDescent="0.25">
      <c r="A1916">
        <f t="shared" si="58"/>
        <v>0</v>
      </c>
      <c r="B1916" s="3">
        <f t="shared" si="59"/>
        <v>0</v>
      </c>
      <c r="C1916" s="72"/>
      <c r="D1916" s="72"/>
      <c r="E1916" s="73"/>
      <c r="F1916" s="73"/>
    </row>
    <row r="1917" spans="1:6" x14ac:dyDescent="0.25">
      <c r="A1917">
        <f t="shared" si="58"/>
        <v>0</v>
      </c>
      <c r="B1917" s="3">
        <f t="shared" si="59"/>
        <v>0</v>
      </c>
      <c r="C1917" s="72"/>
      <c r="D1917" s="72"/>
      <c r="E1917" s="73"/>
      <c r="F1917" s="73"/>
    </row>
    <row r="1918" spans="1:6" x14ac:dyDescent="0.25">
      <c r="A1918">
        <f t="shared" si="58"/>
        <v>0</v>
      </c>
      <c r="B1918" s="3">
        <f t="shared" si="59"/>
        <v>0</v>
      </c>
      <c r="C1918" s="72"/>
      <c r="D1918" s="72"/>
      <c r="E1918" s="73"/>
      <c r="F1918" s="73"/>
    </row>
    <row r="1919" spans="1:6" x14ac:dyDescent="0.25">
      <c r="A1919">
        <f t="shared" si="58"/>
        <v>0</v>
      </c>
      <c r="B1919" s="3">
        <f t="shared" si="59"/>
        <v>0</v>
      </c>
      <c r="C1919" s="72"/>
      <c r="D1919" s="72"/>
      <c r="E1919" s="73"/>
      <c r="F1919" s="73"/>
    </row>
    <row r="1920" spans="1:6" x14ac:dyDescent="0.25">
      <c r="A1920">
        <f t="shared" si="58"/>
        <v>0</v>
      </c>
      <c r="B1920" s="3">
        <f t="shared" si="59"/>
        <v>0</v>
      </c>
      <c r="C1920" s="72"/>
      <c r="D1920" s="72"/>
      <c r="E1920" s="73"/>
      <c r="F1920" s="73"/>
    </row>
    <row r="1921" spans="1:6" x14ac:dyDescent="0.25">
      <c r="A1921">
        <f t="shared" si="58"/>
        <v>0</v>
      </c>
      <c r="B1921" s="3">
        <f t="shared" si="59"/>
        <v>0</v>
      </c>
      <c r="C1921" s="72"/>
      <c r="D1921" s="72"/>
      <c r="E1921" s="73"/>
      <c r="F1921" s="73"/>
    </row>
    <row r="1922" spans="1:6" x14ac:dyDescent="0.25">
      <c r="A1922">
        <f t="shared" si="58"/>
        <v>0</v>
      </c>
      <c r="B1922" s="3">
        <f t="shared" si="59"/>
        <v>0</v>
      </c>
      <c r="C1922" s="72"/>
      <c r="D1922" s="72"/>
      <c r="E1922" s="73"/>
      <c r="F1922" s="73"/>
    </row>
    <row r="1923" spans="1:6" x14ac:dyDescent="0.25">
      <c r="A1923">
        <f t="shared" si="58"/>
        <v>0</v>
      </c>
      <c r="B1923" s="3">
        <f t="shared" si="59"/>
        <v>0</v>
      </c>
      <c r="C1923" s="72"/>
      <c r="D1923" s="72"/>
      <c r="E1923" s="73"/>
      <c r="F1923" s="73"/>
    </row>
    <row r="1924" spans="1:6" x14ac:dyDescent="0.25">
      <c r="A1924">
        <f t="shared" si="58"/>
        <v>0</v>
      </c>
      <c r="B1924" s="3">
        <f t="shared" si="59"/>
        <v>0</v>
      </c>
      <c r="C1924" s="72"/>
      <c r="D1924" s="72"/>
      <c r="E1924" s="73"/>
      <c r="F1924" s="73"/>
    </row>
    <row r="1925" spans="1:6" x14ac:dyDescent="0.25">
      <c r="A1925">
        <f t="shared" si="58"/>
        <v>0</v>
      </c>
      <c r="B1925" s="3">
        <f t="shared" si="59"/>
        <v>0</v>
      </c>
      <c r="C1925" s="72"/>
      <c r="D1925" s="72"/>
      <c r="E1925" s="73"/>
      <c r="F1925" s="73"/>
    </row>
    <row r="1926" spans="1:6" x14ac:dyDescent="0.25">
      <c r="A1926">
        <f t="shared" si="58"/>
        <v>0</v>
      </c>
      <c r="B1926" s="3">
        <f t="shared" si="59"/>
        <v>0</v>
      </c>
      <c r="C1926" s="72"/>
      <c r="D1926" s="72"/>
      <c r="E1926" s="73"/>
      <c r="F1926" s="73"/>
    </row>
    <row r="1927" spans="1:6" x14ac:dyDescent="0.25">
      <c r="A1927">
        <f t="shared" ref="A1927:A1990" si="60">IF(ISNUMBER(C1927),C1927*F1927,)</f>
        <v>0</v>
      </c>
      <c r="B1927" s="3">
        <f t="shared" ref="B1927:B1990" si="61">IF(C1927&lt;&gt;"",1,0)</f>
        <v>0</v>
      </c>
      <c r="C1927" s="72"/>
      <c r="D1927" s="72"/>
      <c r="E1927" s="73"/>
      <c r="F1927" s="73"/>
    </row>
    <row r="1928" spans="1:6" x14ac:dyDescent="0.25">
      <c r="A1928">
        <f t="shared" si="60"/>
        <v>0</v>
      </c>
      <c r="B1928" s="3">
        <f t="shared" si="61"/>
        <v>0</v>
      </c>
      <c r="C1928" s="72"/>
      <c r="D1928" s="72"/>
      <c r="E1928" s="73"/>
      <c r="F1928" s="73"/>
    </row>
    <row r="1929" spans="1:6" x14ac:dyDescent="0.25">
      <c r="A1929">
        <f t="shared" si="60"/>
        <v>0</v>
      </c>
      <c r="B1929" s="3">
        <f t="shared" si="61"/>
        <v>0</v>
      </c>
      <c r="C1929" s="72"/>
      <c r="D1929" s="72"/>
      <c r="E1929" s="73"/>
      <c r="F1929" s="73"/>
    </row>
    <row r="1930" spans="1:6" x14ac:dyDescent="0.25">
      <c r="A1930">
        <f t="shared" si="60"/>
        <v>0</v>
      </c>
      <c r="B1930" s="3">
        <f t="shared" si="61"/>
        <v>0</v>
      </c>
      <c r="C1930" s="72"/>
      <c r="D1930" s="72"/>
      <c r="E1930" s="73"/>
      <c r="F1930" s="73"/>
    </row>
    <row r="1931" spans="1:6" x14ac:dyDescent="0.25">
      <c r="A1931">
        <f t="shared" si="60"/>
        <v>0</v>
      </c>
      <c r="B1931" s="3">
        <f t="shared" si="61"/>
        <v>0</v>
      </c>
      <c r="C1931" s="72"/>
      <c r="D1931" s="72"/>
      <c r="E1931" s="73"/>
      <c r="F1931" s="73"/>
    </row>
    <row r="1932" spans="1:6" x14ac:dyDescent="0.25">
      <c r="A1932">
        <f t="shared" si="60"/>
        <v>0</v>
      </c>
      <c r="B1932" s="3">
        <f t="shared" si="61"/>
        <v>0</v>
      </c>
      <c r="C1932" s="72"/>
      <c r="D1932" s="72"/>
      <c r="E1932" s="73"/>
      <c r="F1932" s="73"/>
    </row>
    <row r="1933" spans="1:6" x14ac:dyDescent="0.25">
      <c r="A1933">
        <f t="shared" si="60"/>
        <v>0</v>
      </c>
      <c r="B1933" s="3">
        <f t="shared" si="61"/>
        <v>0</v>
      </c>
      <c r="C1933" s="72"/>
      <c r="D1933" s="72"/>
      <c r="E1933" s="73"/>
      <c r="F1933" s="73"/>
    </row>
    <row r="1934" spans="1:6" x14ac:dyDescent="0.25">
      <c r="A1934">
        <f t="shared" si="60"/>
        <v>0</v>
      </c>
      <c r="B1934" s="3">
        <f t="shared" si="61"/>
        <v>0</v>
      </c>
      <c r="C1934" s="72"/>
      <c r="D1934" s="72"/>
      <c r="E1934" s="73"/>
      <c r="F1934" s="73"/>
    </row>
    <row r="1935" spans="1:6" x14ac:dyDescent="0.25">
      <c r="A1935">
        <f t="shared" si="60"/>
        <v>0</v>
      </c>
      <c r="B1935" s="3">
        <f t="shared" si="61"/>
        <v>0</v>
      </c>
      <c r="C1935" s="72"/>
      <c r="D1935" s="72"/>
      <c r="E1935" s="73"/>
      <c r="F1935" s="73"/>
    </row>
    <row r="1936" spans="1:6" x14ac:dyDescent="0.25">
      <c r="A1936">
        <f t="shared" si="60"/>
        <v>0</v>
      </c>
      <c r="B1936" s="3">
        <f t="shared" si="61"/>
        <v>0</v>
      </c>
      <c r="C1936" s="72"/>
      <c r="D1936" s="72"/>
      <c r="E1936" s="73"/>
      <c r="F1936" s="73"/>
    </row>
    <row r="1937" spans="1:6" x14ac:dyDescent="0.25">
      <c r="A1937">
        <f t="shared" si="60"/>
        <v>0</v>
      </c>
      <c r="B1937" s="3">
        <f t="shared" si="61"/>
        <v>0</v>
      </c>
      <c r="C1937" s="72"/>
      <c r="D1937" s="72"/>
      <c r="E1937" s="73"/>
      <c r="F1937" s="73"/>
    </row>
    <row r="1938" spans="1:6" x14ac:dyDescent="0.25">
      <c r="A1938">
        <f t="shared" si="60"/>
        <v>0</v>
      </c>
      <c r="B1938" s="3">
        <f t="shared" si="61"/>
        <v>0</v>
      </c>
      <c r="C1938" s="72"/>
      <c r="D1938" s="72"/>
      <c r="E1938" s="73"/>
      <c r="F1938" s="73"/>
    </row>
    <row r="1939" spans="1:6" x14ac:dyDescent="0.25">
      <c r="A1939">
        <f t="shared" si="60"/>
        <v>0</v>
      </c>
      <c r="B1939" s="3">
        <f t="shared" si="61"/>
        <v>0</v>
      </c>
      <c r="C1939" s="72"/>
      <c r="D1939" s="72"/>
      <c r="E1939" s="73"/>
      <c r="F1939" s="73"/>
    </row>
    <row r="1940" spans="1:6" x14ac:dyDescent="0.25">
      <c r="A1940">
        <f t="shared" si="60"/>
        <v>0</v>
      </c>
      <c r="B1940" s="3">
        <f t="shared" si="61"/>
        <v>0</v>
      </c>
      <c r="C1940" s="72"/>
      <c r="D1940" s="72"/>
      <c r="E1940" s="73"/>
      <c r="F1940" s="73"/>
    </row>
    <row r="1941" spans="1:6" x14ac:dyDescent="0.25">
      <c r="A1941">
        <f t="shared" si="60"/>
        <v>0</v>
      </c>
      <c r="B1941" s="3">
        <f t="shared" si="61"/>
        <v>0</v>
      </c>
      <c r="C1941" s="72"/>
      <c r="D1941" s="72"/>
      <c r="E1941" s="73"/>
      <c r="F1941" s="73"/>
    </row>
    <row r="1942" spans="1:6" x14ac:dyDescent="0.25">
      <c r="A1942">
        <f t="shared" si="60"/>
        <v>0</v>
      </c>
      <c r="B1942" s="3">
        <f t="shared" si="61"/>
        <v>0</v>
      </c>
      <c r="C1942" s="72"/>
      <c r="D1942" s="72"/>
      <c r="E1942" s="73"/>
      <c r="F1942" s="73"/>
    </row>
    <row r="1943" spans="1:6" x14ac:dyDescent="0.25">
      <c r="A1943">
        <f t="shared" si="60"/>
        <v>0</v>
      </c>
      <c r="B1943" s="3">
        <f t="shared" si="61"/>
        <v>0</v>
      </c>
      <c r="C1943" s="72"/>
      <c r="D1943" s="72"/>
      <c r="E1943" s="73"/>
      <c r="F1943" s="73"/>
    </row>
    <row r="1944" spans="1:6" x14ac:dyDescent="0.25">
      <c r="A1944">
        <f t="shared" si="60"/>
        <v>0</v>
      </c>
      <c r="B1944" s="3">
        <f t="shared" si="61"/>
        <v>0</v>
      </c>
      <c r="C1944" s="72"/>
      <c r="D1944" s="72"/>
      <c r="E1944" s="73"/>
      <c r="F1944" s="73"/>
    </row>
    <row r="1945" spans="1:6" x14ac:dyDescent="0.25">
      <c r="A1945">
        <f t="shared" si="60"/>
        <v>0</v>
      </c>
      <c r="B1945" s="3">
        <f t="shared" si="61"/>
        <v>0</v>
      </c>
      <c r="C1945" s="72"/>
      <c r="D1945" s="72"/>
      <c r="E1945" s="73"/>
      <c r="F1945" s="73"/>
    </row>
    <row r="1946" spans="1:6" x14ac:dyDescent="0.25">
      <c r="A1946">
        <f t="shared" si="60"/>
        <v>0</v>
      </c>
      <c r="B1946" s="3">
        <f t="shared" si="61"/>
        <v>0</v>
      </c>
      <c r="C1946" s="72"/>
      <c r="D1946" s="72"/>
      <c r="E1946" s="73"/>
      <c r="F1946" s="73"/>
    </row>
    <row r="1947" spans="1:6" x14ac:dyDescent="0.25">
      <c r="A1947">
        <f t="shared" si="60"/>
        <v>0</v>
      </c>
      <c r="B1947" s="3">
        <f t="shared" si="61"/>
        <v>0</v>
      </c>
      <c r="C1947" s="72"/>
      <c r="D1947" s="72"/>
      <c r="E1947" s="73"/>
      <c r="F1947" s="73"/>
    </row>
    <row r="1948" spans="1:6" x14ac:dyDescent="0.25">
      <c r="A1948">
        <f t="shared" si="60"/>
        <v>0</v>
      </c>
      <c r="B1948" s="3">
        <f t="shared" si="61"/>
        <v>0</v>
      </c>
      <c r="C1948" s="72"/>
      <c r="D1948" s="72"/>
      <c r="E1948" s="73"/>
      <c r="F1948" s="73"/>
    </row>
    <row r="1949" spans="1:6" x14ac:dyDescent="0.25">
      <c r="A1949">
        <f t="shared" si="60"/>
        <v>0</v>
      </c>
      <c r="B1949" s="3">
        <f t="shared" si="61"/>
        <v>0</v>
      </c>
      <c r="C1949" s="72"/>
      <c r="D1949" s="72"/>
      <c r="E1949" s="73"/>
      <c r="F1949" s="73"/>
    </row>
    <row r="1950" spans="1:6" x14ac:dyDescent="0.25">
      <c r="A1950">
        <f t="shared" si="60"/>
        <v>0</v>
      </c>
      <c r="B1950" s="3">
        <f t="shared" si="61"/>
        <v>0</v>
      </c>
      <c r="C1950" s="72"/>
      <c r="D1950" s="72"/>
      <c r="E1950" s="73"/>
      <c r="F1950" s="73"/>
    </row>
    <row r="1951" spans="1:6" x14ac:dyDescent="0.25">
      <c r="A1951">
        <f t="shared" si="60"/>
        <v>0</v>
      </c>
      <c r="B1951" s="3">
        <f t="shared" si="61"/>
        <v>0</v>
      </c>
      <c r="C1951" s="72"/>
      <c r="D1951" s="72"/>
      <c r="E1951" s="73"/>
      <c r="F1951" s="73"/>
    </row>
    <row r="1952" spans="1:6" x14ac:dyDescent="0.25">
      <c r="A1952">
        <f t="shared" si="60"/>
        <v>0</v>
      </c>
      <c r="B1952" s="3">
        <f t="shared" si="61"/>
        <v>0</v>
      </c>
      <c r="C1952" s="72"/>
      <c r="D1952" s="72"/>
      <c r="E1952" s="73"/>
      <c r="F1952" s="73"/>
    </row>
    <row r="1953" spans="1:6" x14ac:dyDescent="0.25">
      <c r="A1953">
        <f t="shared" si="60"/>
        <v>0</v>
      </c>
      <c r="B1953" s="3">
        <f t="shared" si="61"/>
        <v>0</v>
      </c>
      <c r="C1953" s="72"/>
      <c r="D1953" s="72"/>
      <c r="E1953" s="73"/>
      <c r="F1953" s="73"/>
    </row>
    <row r="1954" spans="1:6" x14ac:dyDescent="0.25">
      <c r="A1954">
        <f t="shared" si="60"/>
        <v>0</v>
      </c>
      <c r="B1954" s="3">
        <f t="shared" si="61"/>
        <v>0</v>
      </c>
      <c r="C1954" s="72"/>
      <c r="D1954" s="72"/>
      <c r="E1954" s="73"/>
      <c r="F1954" s="73"/>
    </row>
    <row r="1955" spans="1:6" x14ac:dyDescent="0.25">
      <c r="A1955">
        <f t="shared" si="60"/>
        <v>0</v>
      </c>
      <c r="B1955" s="3">
        <f t="shared" si="61"/>
        <v>0</v>
      </c>
      <c r="C1955" s="72"/>
      <c r="D1955" s="72"/>
      <c r="E1955" s="73"/>
      <c r="F1955" s="73"/>
    </row>
    <row r="1956" spans="1:6" x14ac:dyDescent="0.25">
      <c r="A1956">
        <f t="shared" si="60"/>
        <v>0</v>
      </c>
      <c r="B1956" s="3">
        <f t="shared" si="61"/>
        <v>0</v>
      </c>
      <c r="C1956" s="72"/>
      <c r="D1956" s="72"/>
      <c r="E1956" s="73"/>
      <c r="F1956" s="73"/>
    </row>
    <row r="1957" spans="1:6" x14ac:dyDescent="0.25">
      <c r="A1957">
        <f t="shared" si="60"/>
        <v>0</v>
      </c>
      <c r="B1957" s="3">
        <f t="shared" si="61"/>
        <v>0</v>
      </c>
      <c r="C1957" s="72"/>
      <c r="D1957" s="72"/>
      <c r="E1957" s="73"/>
      <c r="F1957" s="73"/>
    </row>
    <row r="1958" spans="1:6" x14ac:dyDescent="0.25">
      <c r="A1958">
        <f t="shared" si="60"/>
        <v>0</v>
      </c>
      <c r="B1958" s="3">
        <f t="shared" si="61"/>
        <v>0</v>
      </c>
      <c r="C1958" s="72"/>
      <c r="D1958" s="72"/>
      <c r="E1958" s="73"/>
      <c r="F1958" s="73"/>
    </row>
    <row r="1959" spans="1:6" x14ac:dyDescent="0.25">
      <c r="A1959">
        <f t="shared" si="60"/>
        <v>0</v>
      </c>
      <c r="B1959" s="3">
        <f t="shared" si="61"/>
        <v>0</v>
      </c>
      <c r="C1959" s="72"/>
      <c r="D1959" s="72"/>
      <c r="E1959" s="73"/>
      <c r="F1959" s="73"/>
    </row>
    <row r="1960" spans="1:6" x14ac:dyDescent="0.25">
      <c r="A1960">
        <f t="shared" si="60"/>
        <v>0</v>
      </c>
      <c r="B1960" s="3">
        <f t="shared" si="61"/>
        <v>0</v>
      </c>
      <c r="C1960" s="72"/>
      <c r="D1960" s="72"/>
      <c r="E1960" s="73"/>
      <c r="F1960" s="73"/>
    </row>
    <row r="1961" spans="1:6" x14ac:dyDescent="0.25">
      <c r="A1961">
        <f t="shared" si="60"/>
        <v>0</v>
      </c>
      <c r="B1961" s="3">
        <f t="shared" si="61"/>
        <v>0</v>
      </c>
      <c r="C1961" s="72"/>
      <c r="D1961" s="72"/>
      <c r="E1961" s="73"/>
      <c r="F1961" s="73"/>
    </row>
    <row r="1962" spans="1:6" x14ac:dyDescent="0.25">
      <c r="A1962">
        <f t="shared" si="60"/>
        <v>0</v>
      </c>
      <c r="B1962" s="3">
        <f t="shared" si="61"/>
        <v>0</v>
      </c>
      <c r="C1962" s="72"/>
      <c r="D1962" s="72"/>
      <c r="E1962" s="73"/>
      <c r="F1962" s="73"/>
    </row>
    <row r="1963" spans="1:6" x14ac:dyDescent="0.25">
      <c r="A1963">
        <f t="shared" si="60"/>
        <v>0</v>
      </c>
      <c r="B1963" s="3">
        <f t="shared" si="61"/>
        <v>0</v>
      </c>
      <c r="C1963" s="72"/>
      <c r="D1963" s="72"/>
      <c r="E1963" s="73"/>
      <c r="F1963" s="73"/>
    </row>
    <row r="1964" spans="1:6" x14ac:dyDescent="0.25">
      <c r="A1964">
        <f t="shared" si="60"/>
        <v>0</v>
      </c>
      <c r="B1964" s="3">
        <f t="shared" si="61"/>
        <v>0</v>
      </c>
      <c r="C1964" s="72"/>
      <c r="D1964" s="72"/>
      <c r="E1964" s="73"/>
      <c r="F1964" s="73"/>
    </row>
    <row r="1965" spans="1:6" x14ac:dyDescent="0.25">
      <c r="A1965">
        <f t="shared" si="60"/>
        <v>0</v>
      </c>
      <c r="B1965" s="3">
        <f t="shared" si="61"/>
        <v>0</v>
      </c>
      <c r="C1965" s="72"/>
      <c r="D1965" s="72"/>
      <c r="E1965" s="73"/>
      <c r="F1965" s="73"/>
    </row>
    <row r="1966" spans="1:6" x14ac:dyDescent="0.25">
      <c r="A1966">
        <f t="shared" si="60"/>
        <v>0</v>
      </c>
      <c r="B1966" s="3">
        <f t="shared" si="61"/>
        <v>0</v>
      </c>
      <c r="C1966" s="72"/>
      <c r="D1966" s="72"/>
      <c r="E1966" s="73"/>
      <c r="F1966" s="73"/>
    </row>
    <row r="1967" spans="1:6" x14ac:dyDescent="0.25">
      <c r="A1967">
        <f t="shared" si="60"/>
        <v>0</v>
      </c>
      <c r="B1967" s="3">
        <f t="shared" si="61"/>
        <v>0</v>
      </c>
      <c r="C1967" s="72"/>
      <c r="D1967" s="72"/>
      <c r="E1967" s="73"/>
      <c r="F1967" s="73"/>
    </row>
    <row r="1968" spans="1:6" x14ac:dyDescent="0.25">
      <c r="A1968">
        <f t="shared" si="60"/>
        <v>0</v>
      </c>
      <c r="B1968" s="3">
        <f t="shared" si="61"/>
        <v>0</v>
      </c>
      <c r="C1968" s="72"/>
      <c r="D1968" s="72"/>
      <c r="E1968" s="73"/>
      <c r="F1968" s="73"/>
    </row>
    <row r="1969" spans="1:6" x14ac:dyDescent="0.25">
      <c r="A1969">
        <f t="shared" si="60"/>
        <v>0</v>
      </c>
      <c r="B1969" s="3">
        <f t="shared" si="61"/>
        <v>0</v>
      </c>
      <c r="C1969" s="72"/>
      <c r="D1969" s="72"/>
      <c r="E1969" s="73"/>
      <c r="F1969" s="73"/>
    </row>
    <row r="1970" spans="1:6" x14ac:dyDescent="0.25">
      <c r="A1970">
        <f t="shared" si="60"/>
        <v>0</v>
      </c>
      <c r="B1970" s="3">
        <f t="shared" si="61"/>
        <v>0</v>
      </c>
      <c r="C1970" s="72"/>
      <c r="D1970" s="72"/>
      <c r="E1970" s="73"/>
      <c r="F1970" s="73"/>
    </row>
    <row r="1971" spans="1:6" x14ac:dyDescent="0.25">
      <c r="A1971">
        <f t="shared" si="60"/>
        <v>0</v>
      </c>
      <c r="B1971" s="3">
        <f t="shared" si="61"/>
        <v>0</v>
      </c>
      <c r="C1971" s="72"/>
      <c r="D1971" s="72"/>
      <c r="E1971" s="73"/>
      <c r="F1971" s="73"/>
    </row>
    <row r="1972" spans="1:6" x14ac:dyDescent="0.25">
      <c r="A1972">
        <f t="shared" si="60"/>
        <v>0</v>
      </c>
      <c r="B1972" s="3">
        <f t="shared" si="61"/>
        <v>0</v>
      </c>
      <c r="C1972" s="72"/>
      <c r="D1972" s="72"/>
      <c r="E1972" s="73"/>
      <c r="F1972" s="73"/>
    </row>
    <row r="1973" spans="1:6" x14ac:dyDescent="0.25">
      <c r="A1973">
        <f t="shared" si="60"/>
        <v>0</v>
      </c>
      <c r="B1973" s="3">
        <f t="shared" si="61"/>
        <v>0</v>
      </c>
      <c r="C1973" s="72"/>
      <c r="D1973" s="72"/>
      <c r="E1973" s="73"/>
      <c r="F1973" s="73"/>
    </row>
    <row r="1974" spans="1:6" x14ac:dyDescent="0.25">
      <c r="A1974">
        <f t="shared" si="60"/>
        <v>0</v>
      </c>
      <c r="B1974" s="3">
        <f t="shared" si="61"/>
        <v>0</v>
      </c>
      <c r="C1974" s="72"/>
      <c r="D1974" s="72"/>
      <c r="E1974" s="73"/>
      <c r="F1974" s="73"/>
    </row>
    <row r="1975" spans="1:6" x14ac:dyDescent="0.25">
      <c r="A1975">
        <f t="shared" si="60"/>
        <v>0</v>
      </c>
      <c r="B1975" s="3">
        <f t="shared" si="61"/>
        <v>0</v>
      </c>
      <c r="C1975" s="72"/>
      <c r="D1975" s="72"/>
      <c r="E1975" s="73"/>
      <c r="F1975" s="73"/>
    </row>
    <row r="1976" spans="1:6" x14ac:dyDescent="0.25">
      <c r="A1976">
        <f t="shared" si="60"/>
        <v>0</v>
      </c>
      <c r="B1976" s="3">
        <f t="shared" si="61"/>
        <v>0</v>
      </c>
      <c r="C1976" s="72"/>
      <c r="D1976" s="72"/>
      <c r="E1976" s="73"/>
      <c r="F1976" s="73"/>
    </row>
    <row r="1977" spans="1:6" x14ac:dyDescent="0.25">
      <c r="A1977">
        <f t="shared" si="60"/>
        <v>0</v>
      </c>
      <c r="B1977" s="3">
        <f t="shared" si="61"/>
        <v>0</v>
      </c>
      <c r="C1977" s="72"/>
      <c r="D1977" s="72"/>
      <c r="E1977" s="73"/>
      <c r="F1977" s="73"/>
    </row>
    <row r="1978" spans="1:6" x14ac:dyDescent="0.25">
      <c r="A1978">
        <f t="shared" si="60"/>
        <v>0</v>
      </c>
      <c r="B1978" s="3">
        <f t="shared" si="61"/>
        <v>0</v>
      </c>
      <c r="C1978" s="72"/>
      <c r="D1978" s="72"/>
      <c r="E1978" s="73"/>
      <c r="F1978" s="73"/>
    </row>
    <row r="1979" spans="1:6" x14ac:dyDescent="0.25">
      <c r="A1979">
        <f t="shared" si="60"/>
        <v>0</v>
      </c>
      <c r="B1979" s="3">
        <f t="shared" si="61"/>
        <v>0</v>
      </c>
      <c r="C1979" s="72"/>
      <c r="D1979" s="72"/>
      <c r="E1979" s="73"/>
      <c r="F1979" s="73"/>
    </row>
    <row r="1980" spans="1:6" x14ac:dyDescent="0.25">
      <c r="A1980">
        <f t="shared" si="60"/>
        <v>0</v>
      </c>
      <c r="B1980" s="3">
        <f t="shared" si="61"/>
        <v>0</v>
      </c>
      <c r="C1980" s="72"/>
      <c r="D1980" s="72"/>
      <c r="E1980" s="73"/>
      <c r="F1980" s="73"/>
    </row>
    <row r="1981" spans="1:6" x14ac:dyDescent="0.25">
      <c r="A1981">
        <f t="shared" si="60"/>
        <v>0</v>
      </c>
      <c r="B1981" s="3">
        <f t="shared" si="61"/>
        <v>0</v>
      </c>
      <c r="C1981" s="72"/>
      <c r="D1981" s="72"/>
      <c r="E1981" s="73"/>
      <c r="F1981" s="73"/>
    </row>
    <row r="1982" spans="1:6" x14ac:dyDescent="0.25">
      <c r="A1982">
        <f t="shared" si="60"/>
        <v>0</v>
      </c>
      <c r="B1982" s="3">
        <f t="shared" si="61"/>
        <v>0</v>
      </c>
      <c r="C1982" s="72"/>
      <c r="D1982" s="72"/>
      <c r="E1982" s="73"/>
      <c r="F1982" s="73"/>
    </row>
    <row r="1983" spans="1:6" x14ac:dyDescent="0.25">
      <c r="A1983">
        <f t="shared" si="60"/>
        <v>0</v>
      </c>
      <c r="B1983" s="3">
        <f t="shared" si="61"/>
        <v>0</v>
      </c>
      <c r="C1983" s="72"/>
      <c r="D1983" s="72"/>
      <c r="E1983" s="73"/>
      <c r="F1983" s="73"/>
    </row>
    <row r="1984" spans="1:6" x14ac:dyDescent="0.25">
      <c r="A1984">
        <f t="shared" si="60"/>
        <v>0</v>
      </c>
      <c r="B1984" s="3">
        <f t="shared" si="61"/>
        <v>0</v>
      </c>
      <c r="C1984" s="72"/>
      <c r="D1984" s="72"/>
      <c r="E1984" s="73"/>
      <c r="F1984" s="73"/>
    </row>
    <row r="1985" spans="1:6" x14ac:dyDescent="0.25">
      <c r="A1985">
        <f t="shared" si="60"/>
        <v>0</v>
      </c>
      <c r="B1985" s="3">
        <f t="shared" si="61"/>
        <v>0</v>
      </c>
      <c r="C1985" s="72"/>
      <c r="D1985" s="72"/>
      <c r="E1985" s="73"/>
      <c r="F1985" s="73"/>
    </row>
    <row r="1986" spans="1:6" x14ac:dyDescent="0.25">
      <c r="A1986">
        <f t="shared" si="60"/>
        <v>0</v>
      </c>
      <c r="B1986" s="3">
        <f t="shared" si="61"/>
        <v>0</v>
      </c>
      <c r="C1986" s="72"/>
      <c r="D1986" s="72"/>
      <c r="E1986" s="73"/>
      <c r="F1986" s="73"/>
    </row>
    <row r="1987" spans="1:6" x14ac:dyDescent="0.25">
      <c r="A1987">
        <f t="shared" si="60"/>
        <v>0</v>
      </c>
      <c r="B1987" s="3">
        <f t="shared" si="61"/>
        <v>0</v>
      </c>
      <c r="C1987" s="72"/>
      <c r="D1987" s="72"/>
      <c r="E1987" s="73"/>
      <c r="F1987" s="73"/>
    </row>
    <row r="1988" spans="1:6" x14ac:dyDescent="0.25">
      <c r="A1988">
        <f t="shared" si="60"/>
        <v>0</v>
      </c>
      <c r="B1988" s="3">
        <f t="shared" si="61"/>
        <v>0</v>
      </c>
      <c r="C1988" s="72"/>
      <c r="D1988" s="72"/>
      <c r="E1988" s="73"/>
      <c r="F1988" s="73"/>
    </row>
    <row r="1989" spans="1:6" x14ac:dyDescent="0.25">
      <c r="A1989">
        <f t="shared" si="60"/>
        <v>0</v>
      </c>
      <c r="B1989" s="3">
        <f t="shared" si="61"/>
        <v>0</v>
      </c>
      <c r="C1989" s="72"/>
      <c r="D1989" s="72"/>
      <c r="E1989" s="73"/>
      <c r="F1989" s="73"/>
    </row>
    <row r="1990" spans="1:6" x14ac:dyDescent="0.25">
      <c r="A1990">
        <f t="shared" si="60"/>
        <v>0</v>
      </c>
      <c r="B1990" s="3">
        <f t="shared" si="61"/>
        <v>0</v>
      </c>
      <c r="C1990" s="72"/>
      <c r="D1990" s="72"/>
      <c r="E1990" s="73"/>
      <c r="F1990" s="73"/>
    </row>
    <row r="1991" spans="1:6" x14ac:dyDescent="0.25">
      <c r="A1991">
        <f t="shared" ref="A1991:A2054" si="62">IF(ISNUMBER(C1991),C1991*F1991,)</f>
        <v>0</v>
      </c>
      <c r="B1991" s="3">
        <f t="shared" ref="B1991:B2054" si="63">IF(C1991&lt;&gt;"",1,0)</f>
        <v>0</v>
      </c>
      <c r="C1991" s="72"/>
      <c r="D1991" s="72"/>
      <c r="E1991" s="73"/>
      <c r="F1991" s="73"/>
    </row>
    <row r="1992" spans="1:6" x14ac:dyDescent="0.25">
      <c r="A1992">
        <f t="shared" si="62"/>
        <v>0</v>
      </c>
      <c r="B1992" s="3">
        <f t="shared" si="63"/>
        <v>0</v>
      </c>
      <c r="C1992" s="72"/>
      <c r="D1992" s="72"/>
      <c r="E1992" s="73"/>
      <c r="F1992" s="73"/>
    </row>
    <row r="1993" spans="1:6" x14ac:dyDescent="0.25">
      <c r="A1993">
        <f t="shared" si="62"/>
        <v>0</v>
      </c>
      <c r="B1993" s="3">
        <f t="shared" si="63"/>
        <v>0</v>
      </c>
      <c r="C1993" s="72"/>
      <c r="D1993" s="72"/>
      <c r="E1993" s="73"/>
      <c r="F1993" s="73"/>
    </row>
    <row r="1994" spans="1:6" x14ac:dyDescent="0.25">
      <c r="A1994">
        <f t="shared" si="62"/>
        <v>0</v>
      </c>
      <c r="B1994" s="3">
        <f t="shared" si="63"/>
        <v>0</v>
      </c>
      <c r="C1994" s="72"/>
      <c r="D1994" s="72"/>
      <c r="E1994" s="73"/>
      <c r="F1994" s="73"/>
    </row>
    <row r="1995" spans="1:6" x14ac:dyDescent="0.25">
      <c r="A1995">
        <f t="shared" si="62"/>
        <v>0</v>
      </c>
      <c r="B1995" s="3">
        <f t="shared" si="63"/>
        <v>0</v>
      </c>
      <c r="C1995" s="72"/>
      <c r="D1995" s="72"/>
      <c r="E1995" s="73"/>
      <c r="F1995" s="73"/>
    </row>
    <row r="1996" spans="1:6" x14ac:dyDescent="0.25">
      <c r="A1996">
        <f t="shared" si="62"/>
        <v>0</v>
      </c>
      <c r="B1996" s="3">
        <f t="shared" si="63"/>
        <v>0</v>
      </c>
      <c r="C1996" s="72"/>
      <c r="D1996" s="72"/>
      <c r="E1996" s="73"/>
      <c r="F1996" s="73"/>
    </row>
    <row r="1997" spans="1:6" x14ac:dyDescent="0.25">
      <c r="A1997">
        <f t="shared" si="62"/>
        <v>0</v>
      </c>
      <c r="B1997" s="3">
        <f t="shared" si="63"/>
        <v>0</v>
      </c>
      <c r="C1997" s="72"/>
      <c r="D1997" s="72"/>
      <c r="E1997" s="73"/>
      <c r="F1997" s="73"/>
    </row>
    <row r="1998" spans="1:6" x14ac:dyDescent="0.25">
      <c r="A1998">
        <f t="shared" si="62"/>
        <v>0</v>
      </c>
      <c r="B1998" s="3">
        <f t="shared" si="63"/>
        <v>0</v>
      </c>
      <c r="C1998" s="72"/>
      <c r="D1998" s="72"/>
      <c r="E1998" s="73"/>
      <c r="F1998" s="73"/>
    </row>
    <row r="1999" spans="1:6" x14ac:dyDescent="0.25">
      <c r="A1999">
        <f t="shared" si="62"/>
        <v>0</v>
      </c>
      <c r="B1999" s="3">
        <f t="shared" si="63"/>
        <v>0</v>
      </c>
      <c r="C1999" s="72"/>
      <c r="D1999" s="72"/>
      <c r="E1999" s="73"/>
      <c r="F1999" s="73"/>
    </row>
    <row r="2000" spans="1:6" x14ac:dyDescent="0.25">
      <c r="A2000">
        <f t="shared" si="62"/>
        <v>0</v>
      </c>
      <c r="B2000" s="3">
        <f t="shared" si="63"/>
        <v>0</v>
      </c>
      <c r="C2000" s="72"/>
      <c r="D2000" s="72"/>
      <c r="E2000" s="73"/>
      <c r="F2000" s="73"/>
    </row>
    <row r="2001" spans="1:6" x14ac:dyDescent="0.25">
      <c r="A2001">
        <f t="shared" si="62"/>
        <v>0</v>
      </c>
      <c r="B2001" s="3">
        <f t="shared" si="63"/>
        <v>0</v>
      </c>
      <c r="C2001" s="72"/>
      <c r="D2001" s="72"/>
      <c r="E2001" s="73"/>
      <c r="F2001" s="73"/>
    </row>
    <row r="2002" spans="1:6" x14ac:dyDescent="0.25">
      <c r="A2002">
        <f t="shared" si="62"/>
        <v>0</v>
      </c>
      <c r="B2002" s="3">
        <f t="shared" si="63"/>
        <v>0</v>
      </c>
      <c r="C2002" s="72"/>
      <c r="D2002" s="72"/>
      <c r="E2002" s="73"/>
      <c r="F2002" s="73"/>
    </row>
    <row r="2003" spans="1:6" x14ac:dyDescent="0.25">
      <c r="A2003">
        <f t="shared" si="62"/>
        <v>0</v>
      </c>
      <c r="B2003" s="3">
        <f t="shared" si="63"/>
        <v>0</v>
      </c>
      <c r="C2003" s="72"/>
      <c r="D2003" s="72"/>
      <c r="E2003" s="73"/>
      <c r="F2003" s="73"/>
    </row>
    <row r="2004" spans="1:6" x14ac:dyDescent="0.25">
      <c r="A2004">
        <f t="shared" si="62"/>
        <v>0</v>
      </c>
      <c r="B2004" s="3">
        <f t="shared" si="63"/>
        <v>0</v>
      </c>
      <c r="C2004" s="72"/>
      <c r="D2004" s="72"/>
      <c r="E2004" s="73"/>
      <c r="F2004" s="73"/>
    </row>
    <row r="2005" spans="1:6" x14ac:dyDescent="0.25">
      <c r="A2005">
        <f t="shared" si="62"/>
        <v>0</v>
      </c>
      <c r="B2005" s="3">
        <f t="shared" si="63"/>
        <v>0</v>
      </c>
      <c r="C2005" s="72"/>
      <c r="D2005" s="72"/>
      <c r="E2005" s="73"/>
      <c r="F2005" s="73"/>
    </row>
    <row r="2006" spans="1:6" x14ac:dyDescent="0.25">
      <c r="A2006">
        <f t="shared" si="62"/>
        <v>0</v>
      </c>
      <c r="B2006" s="3">
        <f t="shared" si="63"/>
        <v>0</v>
      </c>
      <c r="C2006" s="72"/>
      <c r="D2006" s="72"/>
      <c r="E2006" s="73"/>
      <c r="F2006" s="73"/>
    </row>
    <row r="2007" spans="1:6" x14ac:dyDescent="0.25">
      <c r="A2007">
        <f t="shared" si="62"/>
        <v>0</v>
      </c>
      <c r="B2007" s="3">
        <f t="shared" si="63"/>
        <v>0</v>
      </c>
      <c r="C2007" s="72"/>
      <c r="D2007" s="72"/>
      <c r="E2007" s="73"/>
      <c r="F2007" s="73"/>
    </row>
    <row r="2008" spans="1:6" x14ac:dyDescent="0.25">
      <c r="A2008">
        <f t="shared" si="62"/>
        <v>0</v>
      </c>
      <c r="B2008" s="3">
        <f t="shared" si="63"/>
        <v>0</v>
      </c>
      <c r="C2008" s="72"/>
      <c r="D2008" s="72"/>
      <c r="E2008" s="73"/>
      <c r="F2008" s="73"/>
    </row>
    <row r="2009" spans="1:6" x14ac:dyDescent="0.25">
      <c r="A2009">
        <f t="shared" si="62"/>
        <v>0</v>
      </c>
      <c r="B2009" s="3">
        <f t="shared" si="63"/>
        <v>0</v>
      </c>
      <c r="C2009" s="72"/>
      <c r="D2009" s="72"/>
      <c r="E2009" s="73"/>
      <c r="F2009" s="73"/>
    </row>
    <row r="2010" spans="1:6" x14ac:dyDescent="0.25">
      <c r="A2010">
        <f t="shared" si="62"/>
        <v>0</v>
      </c>
      <c r="B2010" s="3">
        <f t="shared" si="63"/>
        <v>0</v>
      </c>
      <c r="C2010" s="72"/>
      <c r="D2010" s="72"/>
      <c r="E2010" s="73"/>
      <c r="F2010" s="73"/>
    </row>
    <row r="2011" spans="1:6" x14ac:dyDescent="0.25">
      <c r="A2011">
        <f t="shared" si="62"/>
        <v>0</v>
      </c>
      <c r="B2011" s="3">
        <f t="shared" si="63"/>
        <v>0</v>
      </c>
      <c r="C2011" s="72"/>
      <c r="D2011" s="72"/>
      <c r="E2011" s="73"/>
      <c r="F2011" s="73"/>
    </row>
    <row r="2012" spans="1:6" x14ac:dyDescent="0.25">
      <c r="A2012">
        <f t="shared" si="62"/>
        <v>0</v>
      </c>
      <c r="B2012" s="3">
        <f t="shared" si="63"/>
        <v>0</v>
      </c>
      <c r="C2012" s="72"/>
      <c r="D2012" s="72"/>
      <c r="E2012" s="73"/>
      <c r="F2012" s="73"/>
    </row>
    <row r="2013" spans="1:6" x14ac:dyDescent="0.25">
      <c r="A2013">
        <f t="shared" si="62"/>
        <v>0</v>
      </c>
      <c r="B2013" s="3">
        <f t="shared" si="63"/>
        <v>0</v>
      </c>
      <c r="C2013" s="72"/>
      <c r="D2013" s="72"/>
      <c r="E2013" s="73"/>
      <c r="F2013" s="73"/>
    </row>
    <row r="2014" spans="1:6" x14ac:dyDescent="0.25">
      <c r="A2014">
        <f t="shared" si="62"/>
        <v>0</v>
      </c>
      <c r="B2014" s="3">
        <f t="shared" si="63"/>
        <v>0</v>
      </c>
      <c r="C2014" s="72"/>
      <c r="D2014" s="72"/>
      <c r="E2014" s="73"/>
      <c r="F2014" s="73"/>
    </row>
    <row r="2015" spans="1:6" x14ac:dyDescent="0.25">
      <c r="A2015">
        <f t="shared" si="62"/>
        <v>0</v>
      </c>
      <c r="B2015" s="3">
        <f t="shared" si="63"/>
        <v>0</v>
      </c>
      <c r="C2015" s="72"/>
      <c r="D2015" s="72"/>
      <c r="E2015" s="73"/>
      <c r="F2015" s="73"/>
    </row>
    <row r="2016" spans="1:6" x14ac:dyDescent="0.25">
      <c r="A2016">
        <f t="shared" si="62"/>
        <v>0</v>
      </c>
      <c r="B2016" s="3">
        <f t="shared" si="63"/>
        <v>0</v>
      </c>
      <c r="C2016" s="72"/>
      <c r="D2016" s="72"/>
      <c r="E2016" s="73"/>
      <c r="F2016" s="73"/>
    </row>
    <row r="2017" spans="1:6" x14ac:dyDescent="0.25">
      <c r="A2017">
        <f t="shared" si="62"/>
        <v>0</v>
      </c>
      <c r="B2017" s="3">
        <f t="shared" si="63"/>
        <v>0</v>
      </c>
      <c r="C2017" s="72"/>
      <c r="D2017" s="72"/>
      <c r="E2017" s="73"/>
      <c r="F2017" s="73"/>
    </row>
    <row r="2018" spans="1:6" x14ac:dyDescent="0.25">
      <c r="A2018">
        <f t="shared" si="62"/>
        <v>0</v>
      </c>
      <c r="B2018" s="3">
        <f t="shared" si="63"/>
        <v>0</v>
      </c>
      <c r="C2018" s="72"/>
      <c r="D2018" s="72"/>
      <c r="E2018" s="73"/>
      <c r="F2018" s="73"/>
    </row>
    <row r="2019" spans="1:6" x14ac:dyDescent="0.25">
      <c r="A2019">
        <f t="shared" si="62"/>
        <v>0</v>
      </c>
      <c r="B2019" s="3">
        <f t="shared" si="63"/>
        <v>0</v>
      </c>
      <c r="C2019" s="72"/>
      <c r="D2019" s="72"/>
      <c r="E2019" s="73"/>
      <c r="F2019" s="73"/>
    </row>
    <row r="2020" spans="1:6" x14ac:dyDescent="0.25">
      <c r="A2020">
        <f t="shared" si="62"/>
        <v>0</v>
      </c>
      <c r="B2020" s="3">
        <f t="shared" si="63"/>
        <v>0</v>
      </c>
      <c r="C2020" s="72"/>
      <c r="D2020" s="72"/>
      <c r="E2020" s="73"/>
      <c r="F2020" s="73"/>
    </row>
    <row r="2021" spans="1:6" x14ac:dyDescent="0.25">
      <c r="A2021">
        <f t="shared" si="62"/>
        <v>0</v>
      </c>
      <c r="B2021" s="3">
        <f t="shared" si="63"/>
        <v>0</v>
      </c>
      <c r="C2021" s="72"/>
      <c r="D2021" s="72"/>
      <c r="E2021" s="73"/>
      <c r="F2021" s="73"/>
    </row>
    <row r="2022" spans="1:6" x14ac:dyDescent="0.25">
      <c r="A2022">
        <f t="shared" si="62"/>
        <v>0</v>
      </c>
      <c r="B2022" s="3">
        <f t="shared" si="63"/>
        <v>0</v>
      </c>
      <c r="C2022" s="72"/>
      <c r="D2022" s="72"/>
      <c r="E2022" s="73"/>
      <c r="F2022" s="73"/>
    </row>
    <row r="2023" spans="1:6" x14ac:dyDescent="0.25">
      <c r="A2023">
        <f t="shared" si="62"/>
        <v>0</v>
      </c>
      <c r="B2023" s="3">
        <f t="shared" si="63"/>
        <v>0</v>
      </c>
      <c r="C2023" s="72"/>
      <c r="D2023" s="72"/>
      <c r="E2023" s="73"/>
      <c r="F2023" s="73"/>
    </row>
    <row r="2024" spans="1:6" x14ac:dyDescent="0.25">
      <c r="A2024">
        <f t="shared" si="62"/>
        <v>0</v>
      </c>
      <c r="B2024" s="3">
        <f t="shared" si="63"/>
        <v>0</v>
      </c>
      <c r="C2024" s="72"/>
      <c r="D2024" s="72"/>
      <c r="E2024" s="73"/>
      <c r="F2024" s="73"/>
    </row>
    <row r="2025" spans="1:6" x14ac:dyDescent="0.25">
      <c r="A2025">
        <f t="shared" si="62"/>
        <v>0</v>
      </c>
      <c r="B2025" s="3">
        <f t="shared" si="63"/>
        <v>0</v>
      </c>
      <c r="C2025" s="72"/>
      <c r="D2025" s="72"/>
      <c r="E2025" s="73"/>
      <c r="F2025" s="73"/>
    </row>
    <row r="2026" spans="1:6" x14ac:dyDescent="0.25">
      <c r="A2026">
        <f t="shared" si="62"/>
        <v>0</v>
      </c>
      <c r="B2026" s="3">
        <f t="shared" si="63"/>
        <v>0</v>
      </c>
      <c r="C2026" s="72"/>
      <c r="D2026" s="72"/>
      <c r="E2026" s="73"/>
      <c r="F2026" s="73"/>
    </row>
    <row r="2027" spans="1:6" x14ac:dyDescent="0.25">
      <c r="A2027">
        <f t="shared" si="62"/>
        <v>0</v>
      </c>
      <c r="B2027" s="3">
        <f t="shared" si="63"/>
        <v>0</v>
      </c>
      <c r="C2027" s="72"/>
      <c r="D2027" s="72"/>
      <c r="E2027" s="73"/>
      <c r="F2027" s="73"/>
    </row>
    <row r="2028" spans="1:6" x14ac:dyDescent="0.25">
      <c r="A2028">
        <f t="shared" si="62"/>
        <v>0</v>
      </c>
      <c r="B2028" s="3">
        <f t="shared" si="63"/>
        <v>0</v>
      </c>
      <c r="C2028" s="72"/>
      <c r="D2028" s="72"/>
      <c r="E2028" s="73"/>
      <c r="F2028" s="73"/>
    </row>
    <row r="2029" spans="1:6" x14ac:dyDescent="0.25">
      <c r="A2029">
        <f t="shared" si="62"/>
        <v>0</v>
      </c>
      <c r="B2029" s="3">
        <f t="shared" si="63"/>
        <v>0</v>
      </c>
      <c r="C2029" s="72"/>
      <c r="D2029" s="72"/>
      <c r="E2029" s="73"/>
      <c r="F2029" s="73"/>
    </row>
    <row r="2030" spans="1:6" x14ac:dyDescent="0.25">
      <c r="A2030">
        <f t="shared" si="62"/>
        <v>0</v>
      </c>
      <c r="B2030" s="3">
        <f t="shared" si="63"/>
        <v>0</v>
      </c>
      <c r="C2030" s="72"/>
      <c r="D2030" s="72"/>
      <c r="E2030" s="73"/>
      <c r="F2030" s="73"/>
    </row>
    <row r="2031" spans="1:6" x14ac:dyDescent="0.25">
      <c r="A2031">
        <f t="shared" si="62"/>
        <v>0</v>
      </c>
      <c r="B2031" s="3">
        <f t="shared" si="63"/>
        <v>0</v>
      </c>
      <c r="C2031" s="72"/>
      <c r="D2031" s="72"/>
      <c r="E2031" s="73"/>
      <c r="F2031" s="73"/>
    </row>
    <row r="2032" spans="1:6" x14ac:dyDescent="0.25">
      <c r="A2032">
        <f t="shared" si="62"/>
        <v>0</v>
      </c>
      <c r="B2032" s="3">
        <f t="shared" si="63"/>
        <v>0</v>
      </c>
      <c r="C2032" s="72"/>
      <c r="D2032" s="72"/>
      <c r="E2032" s="73"/>
      <c r="F2032" s="73"/>
    </row>
    <row r="2033" spans="1:6" x14ac:dyDescent="0.25">
      <c r="A2033">
        <f t="shared" si="62"/>
        <v>0</v>
      </c>
      <c r="B2033" s="3">
        <f t="shared" si="63"/>
        <v>0</v>
      </c>
      <c r="C2033" s="72"/>
      <c r="D2033" s="72"/>
      <c r="E2033" s="73"/>
      <c r="F2033" s="73"/>
    </row>
    <row r="2034" spans="1:6" x14ac:dyDescent="0.25">
      <c r="A2034">
        <f t="shared" si="62"/>
        <v>0</v>
      </c>
      <c r="B2034" s="3">
        <f t="shared" si="63"/>
        <v>0</v>
      </c>
      <c r="C2034" s="72"/>
      <c r="D2034" s="72"/>
      <c r="E2034" s="73"/>
      <c r="F2034" s="73"/>
    </row>
    <row r="2035" spans="1:6" x14ac:dyDescent="0.25">
      <c r="A2035">
        <f t="shared" si="62"/>
        <v>0</v>
      </c>
      <c r="B2035" s="3">
        <f t="shared" si="63"/>
        <v>0</v>
      </c>
      <c r="C2035" s="72"/>
      <c r="D2035" s="72"/>
      <c r="E2035" s="73"/>
      <c r="F2035" s="73"/>
    </row>
    <row r="2036" spans="1:6" x14ac:dyDescent="0.25">
      <c r="A2036">
        <f t="shared" si="62"/>
        <v>0</v>
      </c>
      <c r="B2036" s="3">
        <f t="shared" si="63"/>
        <v>0</v>
      </c>
      <c r="C2036" s="72"/>
      <c r="D2036" s="72"/>
      <c r="E2036" s="73"/>
      <c r="F2036" s="73"/>
    </row>
    <row r="2037" spans="1:6" x14ac:dyDescent="0.25">
      <c r="A2037">
        <f t="shared" si="62"/>
        <v>0</v>
      </c>
      <c r="B2037" s="3">
        <f t="shared" si="63"/>
        <v>0</v>
      </c>
      <c r="C2037" s="72"/>
      <c r="D2037" s="72"/>
      <c r="E2037" s="73"/>
      <c r="F2037" s="73"/>
    </row>
    <row r="2038" spans="1:6" x14ac:dyDescent="0.25">
      <c r="A2038">
        <f t="shared" si="62"/>
        <v>0</v>
      </c>
      <c r="B2038" s="3">
        <f t="shared" si="63"/>
        <v>0</v>
      </c>
      <c r="C2038" s="72"/>
      <c r="D2038" s="72"/>
      <c r="E2038" s="73"/>
      <c r="F2038" s="73"/>
    </row>
    <row r="2039" spans="1:6" x14ac:dyDescent="0.25">
      <c r="A2039">
        <f t="shared" si="62"/>
        <v>0</v>
      </c>
      <c r="B2039" s="3">
        <f t="shared" si="63"/>
        <v>0</v>
      </c>
      <c r="C2039" s="72"/>
      <c r="D2039" s="72"/>
      <c r="E2039" s="73"/>
      <c r="F2039" s="73"/>
    </row>
    <row r="2040" spans="1:6" x14ac:dyDescent="0.25">
      <c r="A2040">
        <f t="shared" si="62"/>
        <v>0</v>
      </c>
      <c r="B2040" s="3">
        <f t="shared" si="63"/>
        <v>0</v>
      </c>
      <c r="C2040" s="72"/>
      <c r="D2040" s="72"/>
      <c r="E2040" s="73"/>
      <c r="F2040" s="73"/>
    </row>
    <row r="2041" spans="1:6" x14ac:dyDescent="0.25">
      <c r="A2041">
        <f t="shared" si="62"/>
        <v>0</v>
      </c>
      <c r="B2041" s="3">
        <f t="shared" si="63"/>
        <v>0</v>
      </c>
      <c r="C2041" s="72"/>
      <c r="D2041" s="72"/>
      <c r="E2041" s="73"/>
      <c r="F2041" s="73"/>
    </row>
    <row r="2042" spans="1:6" x14ac:dyDescent="0.25">
      <c r="A2042">
        <f t="shared" si="62"/>
        <v>0</v>
      </c>
      <c r="B2042" s="3">
        <f t="shared" si="63"/>
        <v>0</v>
      </c>
      <c r="C2042" s="72"/>
      <c r="D2042" s="72"/>
      <c r="E2042" s="73"/>
      <c r="F2042" s="73"/>
    </row>
    <row r="2043" spans="1:6" x14ac:dyDescent="0.25">
      <c r="A2043">
        <f t="shared" si="62"/>
        <v>0</v>
      </c>
      <c r="B2043" s="3">
        <f t="shared" si="63"/>
        <v>0</v>
      </c>
      <c r="C2043" s="72"/>
      <c r="D2043" s="72"/>
      <c r="E2043" s="73"/>
      <c r="F2043" s="73"/>
    </row>
    <row r="2044" spans="1:6" x14ac:dyDescent="0.25">
      <c r="A2044">
        <f t="shared" si="62"/>
        <v>0</v>
      </c>
      <c r="B2044" s="3">
        <f t="shared" si="63"/>
        <v>0</v>
      </c>
      <c r="C2044" s="72"/>
      <c r="D2044" s="72"/>
      <c r="E2044" s="73"/>
      <c r="F2044" s="73"/>
    </row>
    <row r="2045" spans="1:6" x14ac:dyDescent="0.25">
      <c r="A2045">
        <f t="shared" si="62"/>
        <v>0</v>
      </c>
      <c r="B2045" s="3">
        <f t="shared" si="63"/>
        <v>0</v>
      </c>
      <c r="C2045" s="72"/>
      <c r="D2045" s="72"/>
      <c r="E2045" s="73"/>
      <c r="F2045" s="73"/>
    </row>
    <row r="2046" spans="1:6" x14ac:dyDescent="0.25">
      <c r="A2046">
        <f t="shared" si="62"/>
        <v>0</v>
      </c>
      <c r="B2046" s="3">
        <f t="shared" si="63"/>
        <v>0</v>
      </c>
      <c r="C2046" s="72"/>
      <c r="D2046" s="72"/>
      <c r="E2046" s="73"/>
      <c r="F2046" s="73"/>
    </row>
    <row r="2047" spans="1:6" x14ac:dyDescent="0.25">
      <c r="A2047">
        <f t="shared" si="62"/>
        <v>0</v>
      </c>
      <c r="B2047" s="3">
        <f t="shared" si="63"/>
        <v>0</v>
      </c>
      <c r="C2047" s="72"/>
      <c r="D2047" s="72"/>
      <c r="E2047" s="73"/>
      <c r="F2047" s="73"/>
    </row>
    <row r="2048" spans="1:6" x14ac:dyDescent="0.25">
      <c r="A2048">
        <f t="shared" si="62"/>
        <v>0</v>
      </c>
      <c r="B2048" s="3">
        <f t="shared" si="63"/>
        <v>0</v>
      </c>
      <c r="C2048" s="72"/>
      <c r="D2048" s="72"/>
      <c r="E2048" s="73"/>
      <c r="F2048" s="73"/>
    </row>
    <row r="2049" spans="1:6" x14ac:dyDescent="0.25">
      <c r="A2049">
        <f t="shared" si="62"/>
        <v>0</v>
      </c>
      <c r="B2049" s="3">
        <f t="shared" si="63"/>
        <v>0</v>
      </c>
      <c r="C2049" s="72"/>
      <c r="D2049" s="72"/>
      <c r="E2049" s="73"/>
      <c r="F2049" s="73"/>
    </row>
    <row r="2050" spans="1:6" x14ac:dyDescent="0.25">
      <c r="A2050">
        <f t="shared" si="62"/>
        <v>0</v>
      </c>
      <c r="B2050" s="3">
        <f t="shared" si="63"/>
        <v>0</v>
      </c>
      <c r="C2050" s="72"/>
      <c r="D2050" s="72"/>
      <c r="E2050" s="73"/>
      <c r="F2050" s="73"/>
    </row>
    <row r="2051" spans="1:6" x14ac:dyDescent="0.25">
      <c r="A2051">
        <f t="shared" si="62"/>
        <v>0</v>
      </c>
      <c r="B2051" s="3">
        <f t="shared" si="63"/>
        <v>0</v>
      </c>
      <c r="C2051" s="72"/>
      <c r="D2051" s="72"/>
      <c r="E2051" s="73"/>
      <c r="F2051" s="73"/>
    </row>
    <row r="2052" spans="1:6" x14ac:dyDescent="0.25">
      <c r="A2052">
        <f t="shared" si="62"/>
        <v>0</v>
      </c>
      <c r="B2052" s="3">
        <f t="shared" si="63"/>
        <v>0</v>
      </c>
      <c r="C2052" s="72"/>
      <c r="D2052" s="72"/>
      <c r="E2052" s="73"/>
      <c r="F2052" s="73"/>
    </row>
    <row r="2053" spans="1:6" x14ac:dyDescent="0.25">
      <c r="A2053">
        <f t="shared" si="62"/>
        <v>0</v>
      </c>
      <c r="B2053" s="3">
        <f t="shared" si="63"/>
        <v>0</v>
      </c>
      <c r="C2053" s="72"/>
      <c r="D2053" s="72"/>
      <c r="E2053" s="73"/>
      <c r="F2053" s="73"/>
    </row>
    <row r="2054" spans="1:6" x14ac:dyDescent="0.25">
      <c r="A2054">
        <f t="shared" si="62"/>
        <v>0</v>
      </c>
      <c r="B2054" s="3">
        <f t="shared" si="63"/>
        <v>0</v>
      </c>
      <c r="C2054" s="72"/>
      <c r="D2054" s="72"/>
      <c r="E2054" s="73"/>
      <c r="F2054" s="73"/>
    </row>
    <row r="2055" spans="1:6" x14ac:dyDescent="0.25">
      <c r="A2055">
        <f t="shared" ref="A2055:A2118" si="64">IF(ISNUMBER(C2055),C2055*F2055,)</f>
        <v>0</v>
      </c>
      <c r="B2055" s="3">
        <f t="shared" ref="B2055:B2118" si="65">IF(C2055&lt;&gt;"",1,0)</f>
        <v>0</v>
      </c>
      <c r="C2055" s="72"/>
      <c r="D2055" s="72"/>
      <c r="E2055" s="73"/>
      <c r="F2055" s="73"/>
    </row>
    <row r="2056" spans="1:6" x14ac:dyDescent="0.25">
      <c r="A2056">
        <f t="shared" si="64"/>
        <v>0</v>
      </c>
      <c r="B2056" s="3">
        <f t="shared" si="65"/>
        <v>0</v>
      </c>
      <c r="C2056" s="72"/>
      <c r="D2056" s="72"/>
      <c r="E2056" s="73"/>
      <c r="F2056" s="73"/>
    </row>
    <row r="2057" spans="1:6" x14ac:dyDescent="0.25">
      <c r="A2057">
        <f t="shared" si="64"/>
        <v>0</v>
      </c>
      <c r="B2057" s="3">
        <f t="shared" si="65"/>
        <v>0</v>
      </c>
      <c r="C2057" s="72"/>
      <c r="D2057" s="72"/>
      <c r="E2057" s="73"/>
      <c r="F2057" s="73"/>
    </row>
    <row r="2058" spans="1:6" x14ac:dyDescent="0.25">
      <c r="A2058">
        <f t="shared" si="64"/>
        <v>0</v>
      </c>
      <c r="B2058" s="3">
        <f t="shared" si="65"/>
        <v>0</v>
      </c>
      <c r="C2058" s="72"/>
      <c r="D2058" s="72"/>
      <c r="E2058" s="73"/>
      <c r="F2058" s="73"/>
    </row>
    <row r="2059" spans="1:6" x14ac:dyDescent="0.25">
      <c r="A2059">
        <f t="shared" si="64"/>
        <v>0</v>
      </c>
      <c r="B2059" s="3">
        <f t="shared" si="65"/>
        <v>0</v>
      </c>
      <c r="C2059" s="72"/>
      <c r="D2059" s="72"/>
      <c r="E2059" s="73"/>
      <c r="F2059" s="73"/>
    </row>
    <row r="2060" spans="1:6" x14ac:dyDescent="0.25">
      <c r="A2060">
        <f t="shared" si="64"/>
        <v>0</v>
      </c>
      <c r="B2060" s="3">
        <f t="shared" si="65"/>
        <v>0</v>
      </c>
      <c r="C2060" s="72"/>
      <c r="D2060" s="72"/>
      <c r="E2060" s="73"/>
      <c r="F2060" s="73"/>
    </row>
    <row r="2061" spans="1:6" x14ac:dyDescent="0.25">
      <c r="A2061">
        <f t="shared" si="64"/>
        <v>0</v>
      </c>
      <c r="B2061" s="3">
        <f t="shared" si="65"/>
        <v>0</v>
      </c>
      <c r="C2061" s="72"/>
      <c r="D2061" s="72"/>
      <c r="E2061" s="73"/>
      <c r="F2061" s="73"/>
    </row>
    <row r="2062" spans="1:6" x14ac:dyDescent="0.25">
      <c r="A2062">
        <f t="shared" si="64"/>
        <v>0</v>
      </c>
      <c r="B2062" s="3">
        <f t="shared" si="65"/>
        <v>0</v>
      </c>
      <c r="C2062" s="72"/>
      <c r="D2062" s="72"/>
      <c r="E2062" s="73"/>
      <c r="F2062" s="73"/>
    </row>
    <row r="2063" spans="1:6" x14ac:dyDescent="0.25">
      <c r="A2063">
        <f t="shared" si="64"/>
        <v>0</v>
      </c>
      <c r="B2063" s="3">
        <f t="shared" si="65"/>
        <v>0</v>
      </c>
      <c r="C2063" s="72"/>
      <c r="D2063" s="72"/>
      <c r="E2063" s="73"/>
      <c r="F2063" s="73"/>
    </row>
    <row r="2064" spans="1:6" x14ac:dyDescent="0.25">
      <c r="A2064">
        <f t="shared" si="64"/>
        <v>0</v>
      </c>
      <c r="B2064" s="3">
        <f t="shared" si="65"/>
        <v>0</v>
      </c>
      <c r="C2064" s="72"/>
      <c r="D2064" s="72"/>
      <c r="E2064" s="73"/>
      <c r="F2064" s="73"/>
    </row>
    <row r="2065" spans="1:6" x14ac:dyDescent="0.25">
      <c r="A2065">
        <f t="shared" si="64"/>
        <v>0</v>
      </c>
      <c r="B2065" s="3">
        <f t="shared" si="65"/>
        <v>0</v>
      </c>
      <c r="C2065" s="72"/>
      <c r="D2065" s="72"/>
      <c r="E2065" s="73"/>
      <c r="F2065" s="73"/>
    </row>
    <row r="2066" spans="1:6" x14ac:dyDescent="0.25">
      <c r="A2066">
        <f t="shared" si="64"/>
        <v>0</v>
      </c>
      <c r="B2066" s="3">
        <f t="shared" si="65"/>
        <v>0</v>
      </c>
      <c r="C2066" s="72"/>
      <c r="D2066" s="72"/>
      <c r="E2066" s="73"/>
      <c r="F2066" s="73"/>
    </row>
    <row r="2067" spans="1:6" x14ac:dyDescent="0.25">
      <c r="A2067">
        <f t="shared" si="64"/>
        <v>0</v>
      </c>
      <c r="B2067" s="3">
        <f t="shared" si="65"/>
        <v>0</v>
      </c>
      <c r="C2067" s="72"/>
      <c r="D2067" s="72"/>
      <c r="E2067" s="73"/>
      <c r="F2067" s="73"/>
    </row>
    <row r="2068" spans="1:6" x14ac:dyDescent="0.25">
      <c r="A2068">
        <f t="shared" si="64"/>
        <v>0</v>
      </c>
      <c r="B2068" s="3">
        <f t="shared" si="65"/>
        <v>0</v>
      </c>
      <c r="C2068" s="72"/>
      <c r="D2068" s="72"/>
      <c r="E2068" s="73"/>
      <c r="F2068" s="73"/>
    </row>
    <row r="2069" spans="1:6" x14ac:dyDescent="0.25">
      <c r="A2069">
        <f t="shared" si="64"/>
        <v>0</v>
      </c>
      <c r="B2069" s="3">
        <f t="shared" si="65"/>
        <v>0</v>
      </c>
      <c r="C2069" s="72"/>
      <c r="D2069" s="72"/>
      <c r="E2069" s="73"/>
      <c r="F2069" s="73"/>
    </row>
    <row r="2070" spans="1:6" x14ac:dyDescent="0.25">
      <c r="A2070">
        <f t="shared" si="64"/>
        <v>0</v>
      </c>
      <c r="B2070" s="3">
        <f t="shared" si="65"/>
        <v>0</v>
      </c>
      <c r="C2070" s="72"/>
      <c r="D2070" s="72"/>
      <c r="E2070" s="73"/>
      <c r="F2070" s="73"/>
    </row>
    <row r="2071" spans="1:6" x14ac:dyDescent="0.25">
      <c r="A2071">
        <f t="shared" si="64"/>
        <v>0</v>
      </c>
      <c r="B2071" s="3">
        <f t="shared" si="65"/>
        <v>0</v>
      </c>
      <c r="C2071" s="72"/>
      <c r="D2071" s="72"/>
      <c r="E2071" s="73"/>
      <c r="F2071" s="73"/>
    </row>
    <row r="2072" spans="1:6" x14ac:dyDescent="0.25">
      <c r="A2072">
        <f t="shared" si="64"/>
        <v>0</v>
      </c>
      <c r="B2072" s="3">
        <f t="shared" si="65"/>
        <v>0</v>
      </c>
      <c r="C2072" s="72"/>
      <c r="D2072" s="72"/>
      <c r="E2072" s="73"/>
      <c r="F2072" s="73"/>
    </row>
    <row r="2073" spans="1:6" x14ac:dyDescent="0.25">
      <c r="A2073">
        <f t="shared" si="64"/>
        <v>0</v>
      </c>
      <c r="B2073" s="3">
        <f t="shared" si="65"/>
        <v>0</v>
      </c>
      <c r="C2073" s="72"/>
      <c r="D2073" s="72"/>
      <c r="E2073" s="73"/>
      <c r="F2073" s="73"/>
    </row>
    <row r="2074" spans="1:6" x14ac:dyDescent="0.25">
      <c r="A2074">
        <f t="shared" si="64"/>
        <v>0</v>
      </c>
      <c r="B2074" s="3">
        <f t="shared" si="65"/>
        <v>0</v>
      </c>
      <c r="C2074" s="72"/>
      <c r="D2074" s="72"/>
      <c r="E2074" s="73"/>
      <c r="F2074" s="73"/>
    </row>
    <row r="2075" spans="1:6" x14ac:dyDescent="0.25">
      <c r="A2075">
        <f t="shared" si="64"/>
        <v>0</v>
      </c>
      <c r="B2075" s="3">
        <f t="shared" si="65"/>
        <v>0</v>
      </c>
      <c r="C2075" s="72"/>
      <c r="D2075" s="72"/>
      <c r="E2075" s="73"/>
      <c r="F2075" s="73"/>
    </row>
    <row r="2076" spans="1:6" x14ac:dyDescent="0.25">
      <c r="A2076">
        <f t="shared" si="64"/>
        <v>0</v>
      </c>
      <c r="B2076" s="3">
        <f t="shared" si="65"/>
        <v>0</v>
      </c>
      <c r="C2076" s="72"/>
      <c r="D2076" s="72"/>
      <c r="E2076" s="73"/>
      <c r="F2076" s="73"/>
    </row>
    <row r="2077" spans="1:6" x14ac:dyDescent="0.25">
      <c r="A2077">
        <f t="shared" si="64"/>
        <v>0</v>
      </c>
      <c r="B2077" s="3">
        <f t="shared" si="65"/>
        <v>0</v>
      </c>
      <c r="C2077" s="72"/>
      <c r="D2077" s="72"/>
      <c r="E2077" s="73"/>
      <c r="F2077" s="73"/>
    </row>
    <row r="2078" spans="1:6" x14ac:dyDescent="0.25">
      <c r="A2078">
        <f t="shared" si="64"/>
        <v>0</v>
      </c>
      <c r="B2078" s="3">
        <f t="shared" si="65"/>
        <v>0</v>
      </c>
      <c r="C2078" s="72"/>
      <c r="D2078" s="72"/>
      <c r="E2078" s="73"/>
      <c r="F2078" s="73"/>
    </row>
    <row r="2079" spans="1:6" x14ac:dyDescent="0.25">
      <c r="A2079">
        <f t="shared" si="64"/>
        <v>0</v>
      </c>
      <c r="B2079" s="3">
        <f t="shared" si="65"/>
        <v>0</v>
      </c>
      <c r="C2079" s="72"/>
      <c r="D2079" s="72"/>
      <c r="E2079" s="73"/>
      <c r="F2079" s="73"/>
    </row>
    <row r="2080" spans="1:6" x14ac:dyDescent="0.25">
      <c r="A2080">
        <f t="shared" si="64"/>
        <v>0</v>
      </c>
      <c r="B2080" s="3">
        <f t="shared" si="65"/>
        <v>0</v>
      </c>
      <c r="C2080" s="72"/>
      <c r="D2080" s="72"/>
      <c r="E2080" s="73"/>
      <c r="F2080" s="73"/>
    </row>
    <row r="2081" spans="1:6" x14ac:dyDescent="0.25">
      <c r="A2081">
        <f t="shared" si="64"/>
        <v>0</v>
      </c>
      <c r="B2081" s="3">
        <f t="shared" si="65"/>
        <v>0</v>
      </c>
      <c r="C2081" s="72"/>
      <c r="D2081" s="72"/>
      <c r="E2081" s="73"/>
      <c r="F2081" s="73"/>
    </row>
    <row r="2082" spans="1:6" x14ac:dyDescent="0.25">
      <c r="A2082">
        <f t="shared" si="64"/>
        <v>0</v>
      </c>
      <c r="B2082" s="3">
        <f t="shared" si="65"/>
        <v>0</v>
      </c>
      <c r="C2082" s="72"/>
      <c r="D2082" s="72"/>
      <c r="E2082" s="73"/>
      <c r="F2082" s="73"/>
    </row>
    <row r="2083" spans="1:6" x14ac:dyDescent="0.25">
      <c r="A2083">
        <f t="shared" si="64"/>
        <v>0</v>
      </c>
      <c r="B2083" s="3">
        <f t="shared" si="65"/>
        <v>0</v>
      </c>
      <c r="C2083" s="72"/>
      <c r="D2083" s="72"/>
      <c r="E2083" s="73"/>
      <c r="F2083" s="73"/>
    </row>
    <row r="2084" spans="1:6" x14ac:dyDescent="0.25">
      <c r="A2084">
        <f t="shared" si="64"/>
        <v>0</v>
      </c>
      <c r="B2084" s="3">
        <f t="shared" si="65"/>
        <v>0</v>
      </c>
      <c r="C2084" s="72"/>
      <c r="D2084" s="72"/>
      <c r="E2084" s="73"/>
      <c r="F2084" s="73"/>
    </row>
    <row r="2085" spans="1:6" x14ac:dyDescent="0.25">
      <c r="A2085">
        <f t="shared" si="64"/>
        <v>0</v>
      </c>
      <c r="B2085" s="3">
        <f t="shared" si="65"/>
        <v>0</v>
      </c>
      <c r="C2085" s="72"/>
      <c r="D2085" s="72"/>
      <c r="E2085" s="73"/>
      <c r="F2085" s="73"/>
    </row>
    <row r="2086" spans="1:6" x14ac:dyDescent="0.25">
      <c r="A2086">
        <f t="shared" si="64"/>
        <v>0</v>
      </c>
      <c r="B2086" s="3">
        <f t="shared" si="65"/>
        <v>0</v>
      </c>
      <c r="C2086" s="72"/>
      <c r="D2086" s="72"/>
      <c r="E2086" s="73"/>
      <c r="F2086" s="73"/>
    </row>
    <row r="2087" spans="1:6" x14ac:dyDescent="0.25">
      <c r="A2087">
        <f t="shared" si="64"/>
        <v>0</v>
      </c>
      <c r="B2087" s="3">
        <f t="shared" si="65"/>
        <v>0</v>
      </c>
      <c r="C2087" s="72"/>
      <c r="D2087" s="72"/>
      <c r="E2087" s="73"/>
      <c r="F2087" s="73"/>
    </row>
    <row r="2088" spans="1:6" x14ac:dyDescent="0.25">
      <c r="A2088">
        <f t="shared" si="64"/>
        <v>0</v>
      </c>
      <c r="B2088" s="3">
        <f t="shared" si="65"/>
        <v>0</v>
      </c>
      <c r="C2088" s="72"/>
      <c r="D2088" s="72"/>
      <c r="E2088" s="73"/>
      <c r="F2088" s="73"/>
    </row>
    <row r="2089" spans="1:6" x14ac:dyDescent="0.25">
      <c r="A2089">
        <f t="shared" si="64"/>
        <v>0</v>
      </c>
      <c r="B2089" s="3">
        <f t="shared" si="65"/>
        <v>0</v>
      </c>
      <c r="C2089" s="72"/>
      <c r="D2089" s="72"/>
      <c r="E2089" s="73"/>
      <c r="F2089" s="73"/>
    </row>
    <row r="2090" spans="1:6" x14ac:dyDescent="0.25">
      <c r="A2090">
        <f t="shared" si="64"/>
        <v>0</v>
      </c>
      <c r="B2090" s="3">
        <f t="shared" si="65"/>
        <v>0</v>
      </c>
      <c r="C2090" s="72"/>
      <c r="D2090" s="72"/>
      <c r="E2090" s="73"/>
      <c r="F2090" s="73"/>
    </row>
    <row r="2091" spans="1:6" x14ac:dyDescent="0.25">
      <c r="A2091">
        <f t="shared" si="64"/>
        <v>0</v>
      </c>
      <c r="B2091" s="3">
        <f t="shared" si="65"/>
        <v>0</v>
      </c>
      <c r="C2091" s="72"/>
      <c r="D2091" s="72"/>
      <c r="E2091" s="73"/>
      <c r="F2091" s="73"/>
    </row>
    <row r="2092" spans="1:6" x14ac:dyDescent="0.25">
      <c r="A2092">
        <f t="shared" si="64"/>
        <v>0</v>
      </c>
      <c r="B2092" s="3">
        <f t="shared" si="65"/>
        <v>0</v>
      </c>
      <c r="C2092" s="72"/>
      <c r="D2092" s="72"/>
      <c r="E2092" s="73"/>
      <c r="F2092" s="73"/>
    </row>
    <row r="2093" spans="1:6" x14ac:dyDescent="0.25">
      <c r="A2093">
        <f t="shared" si="64"/>
        <v>0</v>
      </c>
      <c r="B2093" s="3">
        <f t="shared" si="65"/>
        <v>0</v>
      </c>
      <c r="C2093" s="72"/>
      <c r="D2093" s="72"/>
      <c r="E2093" s="73"/>
      <c r="F2093" s="73"/>
    </row>
    <row r="2094" spans="1:6" x14ac:dyDescent="0.25">
      <c r="A2094">
        <f t="shared" si="64"/>
        <v>0</v>
      </c>
      <c r="B2094" s="3">
        <f t="shared" si="65"/>
        <v>0</v>
      </c>
      <c r="C2094" s="72"/>
      <c r="D2094" s="72"/>
      <c r="E2094" s="73"/>
      <c r="F2094" s="73"/>
    </row>
    <row r="2095" spans="1:6" x14ac:dyDescent="0.25">
      <c r="A2095">
        <f t="shared" si="64"/>
        <v>0</v>
      </c>
      <c r="B2095" s="3">
        <f t="shared" si="65"/>
        <v>0</v>
      </c>
      <c r="C2095" s="72"/>
      <c r="D2095" s="72"/>
      <c r="E2095" s="73"/>
      <c r="F2095" s="73"/>
    </row>
    <row r="2096" spans="1:6" x14ac:dyDescent="0.25">
      <c r="A2096">
        <f t="shared" si="64"/>
        <v>0</v>
      </c>
      <c r="B2096" s="3">
        <f t="shared" si="65"/>
        <v>0</v>
      </c>
      <c r="C2096" s="72"/>
      <c r="D2096" s="72"/>
      <c r="E2096" s="73"/>
      <c r="F2096" s="73"/>
    </row>
    <row r="2097" spans="1:6" x14ac:dyDescent="0.25">
      <c r="A2097">
        <f t="shared" si="64"/>
        <v>0</v>
      </c>
      <c r="B2097" s="3">
        <f t="shared" si="65"/>
        <v>0</v>
      </c>
      <c r="C2097" s="72"/>
      <c r="D2097" s="72"/>
      <c r="E2097" s="73"/>
      <c r="F2097" s="73"/>
    </row>
    <row r="2098" spans="1:6" x14ac:dyDescent="0.25">
      <c r="A2098">
        <f t="shared" si="64"/>
        <v>0</v>
      </c>
      <c r="B2098" s="3">
        <f t="shared" si="65"/>
        <v>0</v>
      </c>
      <c r="C2098" s="72"/>
      <c r="D2098" s="72"/>
      <c r="E2098" s="73"/>
      <c r="F2098" s="73"/>
    </row>
    <row r="2099" spans="1:6" x14ac:dyDescent="0.25">
      <c r="A2099">
        <f t="shared" si="64"/>
        <v>0</v>
      </c>
      <c r="B2099" s="3">
        <f t="shared" si="65"/>
        <v>0</v>
      </c>
      <c r="C2099" s="72"/>
      <c r="D2099" s="72"/>
      <c r="E2099" s="73"/>
      <c r="F2099" s="73"/>
    </row>
    <row r="2100" spans="1:6" x14ac:dyDescent="0.25">
      <c r="A2100">
        <f t="shared" si="64"/>
        <v>0</v>
      </c>
      <c r="B2100" s="3">
        <f t="shared" si="65"/>
        <v>0</v>
      </c>
      <c r="C2100" s="72"/>
      <c r="D2100" s="72"/>
      <c r="E2100" s="73"/>
      <c r="F2100" s="73"/>
    </row>
    <row r="2101" spans="1:6" x14ac:dyDescent="0.25">
      <c r="A2101">
        <f t="shared" si="64"/>
        <v>0</v>
      </c>
      <c r="B2101" s="3">
        <f t="shared" si="65"/>
        <v>0</v>
      </c>
      <c r="C2101" s="72"/>
      <c r="D2101" s="72"/>
      <c r="E2101" s="73"/>
      <c r="F2101" s="73"/>
    </row>
    <row r="2102" spans="1:6" x14ac:dyDescent="0.25">
      <c r="A2102">
        <f t="shared" si="64"/>
        <v>0</v>
      </c>
      <c r="B2102" s="3">
        <f t="shared" si="65"/>
        <v>0</v>
      </c>
      <c r="C2102" s="72"/>
      <c r="D2102" s="72"/>
      <c r="E2102" s="73"/>
      <c r="F2102" s="73"/>
    </row>
    <row r="2103" spans="1:6" x14ac:dyDescent="0.25">
      <c r="A2103">
        <f t="shared" si="64"/>
        <v>0</v>
      </c>
      <c r="B2103" s="3">
        <f t="shared" si="65"/>
        <v>0</v>
      </c>
      <c r="C2103" s="72"/>
      <c r="D2103" s="72"/>
      <c r="E2103" s="73"/>
      <c r="F2103" s="73"/>
    </row>
    <row r="2104" spans="1:6" x14ac:dyDescent="0.25">
      <c r="A2104">
        <f t="shared" si="64"/>
        <v>0</v>
      </c>
      <c r="B2104" s="3">
        <f t="shared" si="65"/>
        <v>0</v>
      </c>
      <c r="C2104" s="72"/>
      <c r="D2104" s="72"/>
      <c r="E2104" s="73"/>
      <c r="F2104" s="73"/>
    </row>
    <row r="2105" spans="1:6" x14ac:dyDescent="0.25">
      <c r="A2105">
        <f t="shared" si="64"/>
        <v>0</v>
      </c>
      <c r="B2105" s="3">
        <f t="shared" si="65"/>
        <v>0</v>
      </c>
      <c r="C2105" s="72"/>
      <c r="D2105" s="72"/>
      <c r="E2105" s="73"/>
      <c r="F2105" s="73"/>
    </row>
    <row r="2106" spans="1:6" x14ac:dyDescent="0.25">
      <c r="A2106">
        <f t="shared" si="64"/>
        <v>0</v>
      </c>
      <c r="B2106" s="3">
        <f t="shared" si="65"/>
        <v>0</v>
      </c>
      <c r="C2106" s="72"/>
      <c r="D2106" s="72"/>
      <c r="E2106" s="73"/>
      <c r="F2106" s="73"/>
    </row>
    <row r="2107" spans="1:6" x14ac:dyDescent="0.25">
      <c r="A2107">
        <f t="shared" si="64"/>
        <v>0</v>
      </c>
      <c r="B2107" s="3">
        <f t="shared" si="65"/>
        <v>0</v>
      </c>
      <c r="C2107" s="72"/>
      <c r="D2107" s="72"/>
      <c r="E2107" s="73"/>
      <c r="F2107" s="73"/>
    </row>
    <row r="2108" spans="1:6" x14ac:dyDescent="0.25">
      <c r="A2108">
        <f t="shared" si="64"/>
        <v>0</v>
      </c>
      <c r="B2108" s="3">
        <f t="shared" si="65"/>
        <v>0</v>
      </c>
      <c r="C2108" s="72"/>
      <c r="D2108" s="72"/>
      <c r="E2108" s="73"/>
      <c r="F2108" s="73"/>
    </row>
    <row r="2109" spans="1:6" x14ac:dyDescent="0.25">
      <c r="A2109">
        <f t="shared" si="64"/>
        <v>0</v>
      </c>
      <c r="B2109" s="3">
        <f t="shared" si="65"/>
        <v>0</v>
      </c>
      <c r="C2109" s="72"/>
      <c r="D2109" s="72"/>
      <c r="E2109" s="73"/>
      <c r="F2109" s="73"/>
    </row>
    <row r="2110" spans="1:6" x14ac:dyDescent="0.25">
      <c r="A2110">
        <f t="shared" si="64"/>
        <v>0</v>
      </c>
      <c r="B2110" s="3">
        <f t="shared" si="65"/>
        <v>0</v>
      </c>
      <c r="C2110" s="72"/>
      <c r="D2110" s="72"/>
      <c r="E2110" s="73"/>
      <c r="F2110" s="73"/>
    </row>
    <row r="2111" spans="1:6" x14ac:dyDescent="0.25">
      <c r="A2111">
        <f t="shared" si="64"/>
        <v>0</v>
      </c>
      <c r="B2111" s="3">
        <f t="shared" si="65"/>
        <v>0</v>
      </c>
      <c r="C2111" s="72"/>
      <c r="D2111" s="72"/>
      <c r="E2111" s="73"/>
      <c r="F2111" s="73"/>
    </row>
    <row r="2112" spans="1:6" x14ac:dyDescent="0.25">
      <c r="A2112">
        <f t="shared" si="64"/>
        <v>0</v>
      </c>
      <c r="B2112" s="3">
        <f t="shared" si="65"/>
        <v>0</v>
      </c>
      <c r="C2112" s="72"/>
      <c r="D2112" s="72"/>
      <c r="E2112" s="73"/>
      <c r="F2112" s="73"/>
    </row>
    <row r="2113" spans="1:6" x14ac:dyDescent="0.25">
      <c r="A2113">
        <f t="shared" si="64"/>
        <v>0</v>
      </c>
      <c r="B2113" s="3">
        <f t="shared" si="65"/>
        <v>0</v>
      </c>
      <c r="C2113" s="72"/>
      <c r="D2113" s="72"/>
      <c r="E2113" s="73"/>
      <c r="F2113" s="73"/>
    </row>
    <row r="2114" spans="1:6" x14ac:dyDescent="0.25">
      <c r="A2114">
        <f t="shared" si="64"/>
        <v>0</v>
      </c>
      <c r="B2114" s="3">
        <f t="shared" si="65"/>
        <v>0</v>
      </c>
      <c r="C2114" s="72"/>
      <c r="D2114" s="72"/>
      <c r="E2114" s="73"/>
      <c r="F2114" s="73"/>
    </row>
    <row r="2115" spans="1:6" x14ac:dyDescent="0.25">
      <c r="A2115">
        <f t="shared" si="64"/>
        <v>0</v>
      </c>
      <c r="B2115" s="3">
        <f t="shared" si="65"/>
        <v>0</v>
      </c>
      <c r="C2115" s="72"/>
      <c r="D2115" s="72"/>
      <c r="E2115" s="73"/>
      <c r="F2115" s="73"/>
    </row>
    <row r="2116" spans="1:6" x14ac:dyDescent="0.25">
      <c r="A2116">
        <f t="shared" si="64"/>
        <v>0</v>
      </c>
      <c r="B2116" s="3">
        <f t="shared" si="65"/>
        <v>0</v>
      </c>
      <c r="C2116" s="72"/>
      <c r="D2116" s="72"/>
      <c r="E2116" s="73"/>
      <c r="F2116" s="73"/>
    </row>
    <row r="2117" spans="1:6" x14ac:dyDescent="0.25">
      <c r="A2117">
        <f t="shared" si="64"/>
        <v>0</v>
      </c>
      <c r="B2117" s="3">
        <f t="shared" si="65"/>
        <v>0</v>
      </c>
      <c r="C2117" s="72"/>
      <c r="D2117" s="72"/>
      <c r="E2117" s="73"/>
      <c r="F2117" s="73"/>
    </row>
    <row r="2118" spans="1:6" x14ac:dyDescent="0.25">
      <c r="A2118">
        <f t="shared" si="64"/>
        <v>0</v>
      </c>
      <c r="B2118" s="3">
        <f t="shared" si="65"/>
        <v>0</v>
      </c>
      <c r="C2118" s="72"/>
      <c r="D2118" s="72"/>
      <c r="E2118" s="73"/>
      <c r="F2118" s="73"/>
    </row>
    <row r="2119" spans="1:6" x14ac:dyDescent="0.25">
      <c r="A2119">
        <f t="shared" ref="A2119:A2182" si="66">IF(ISNUMBER(C2119),C2119*F2119,)</f>
        <v>0</v>
      </c>
      <c r="B2119" s="3">
        <f t="shared" ref="B2119:B2182" si="67">IF(C2119&lt;&gt;"",1,0)</f>
        <v>0</v>
      </c>
      <c r="C2119" s="72"/>
      <c r="D2119" s="72"/>
      <c r="E2119" s="73"/>
      <c r="F2119" s="73"/>
    </row>
    <row r="2120" spans="1:6" x14ac:dyDescent="0.25">
      <c r="A2120">
        <f t="shared" si="66"/>
        <v>0</v>
      </c>
      <c r="B2120" s="3">
        <f t="shared" si="67"/>
        <v>0</v>
      </c>
      <c r="C2120" s="72"/>
      <c r="D2120" s="72"/>
      <c r="E2120" s="73"/>
      <c r="F2120" s="73"/>
    </row>
    <row r="2121" spans="1:6" x14ac:dyDescent="0.25">
      <c r="A2121">
        <f t="shared" si="66"/>
        <v>0</v>
      </c>
      <c r="B2121" s="3">
        <f t="shared" si="67"/>
        <v>0</v>
      </c>
      <c r="C2121" s="72"/>
      <c r="D2121" s="72"/>
      <c r="E2121" s="73"/>
      <c r="F2121" s="73"/>
    </row>
    <row r="2122" spans="1:6" x14ac:dyDescent="0.25">
      <c r="A2122">
        <f t="shared" si="66"/>
        <v>0</v>
      </c>
      <c r="B2122" s="3">
        <f t="shared" si="67"/>
        <v>0</v>
      </c>
      <c r="C2122" s="72"/>
    </row>
    <row r="2123" spans="1:6" x14ac:dyDescent="0.25">
      <c r="A2123">
        <f t="shared" si="66"/>
        <v>0</v>
      </c>
      <c r="B2123" s="3">
        <f t="shared" si="67"/>
        <v>0</v>
      </c>
    </row>
    <row r="2124" spans="1:6" x14ac:dyDescent="0.25">
      <c r="A2124">
        <f t="shared" si="66"/>
        <v>0</v>
      </c>
      <c r="B2124" s="3">
        <f t="shared" si="67"/>
        <v>0</v>
      </c>
    </row>
    <row r="2125" spans="1:6" x14ac:dyDescent="0.25">
      <c r="A2125">
        <f t="shared" si="66"/>
        <v>0</v>
      </c>
      <c r="B2125" s="3">
        <f t="shared" si="67"/>
        <v>0</v>
      </c>
    </row>
    <row r="2126" spans="1:6" x14ac:dyDescent="0.25">
      <c r="A2126">
        <f t="shared" si="66"/>
        <v>0</v>
      </c>
      <c r="B2126" s="3">
        <f t="shared" si="67"/>
        <v>0</v>
      </c>
    </row>
    <row r="2127" spans="1:6" x14ac:dyDescent="0.25">
      <c r="A2127">
        <f t="shared" si="66"/>
        <v>0</v>
      </c>
      <c r="B2127" s="3">
        <f t="shared" si="67"/>
        <v>0</v>
      </c>
    </row>
    <row r="2128" spans="1:6" x14ac:dyDescent="0.25">
      <c r="A2128">
        <f t="shared" si="66"/>
        <v>0</v>
      </c>
      <c r="B2128" s="3">
        <f t="shared" si="67"/>
        <v>0</v>
      </c>
    </row>
    <row r="2129" spans="1:2" x14ac:dyDescent="0.25">
      <c r="A2129">
        <f t="shared" si="66"/>
        <v>0</v>
      </c>
      <c r="B2129" s="3">
        <f t="shared" si="67"/>
        <v>0</v>
      </c>
    </row>
    <row r="2130" spans="1:2" x14ac:dyDescent="0.25">
      <c r="A2130">
        <f t="shared" si="66"/>
        <v>0</v>
      </c>
      <c r="B2130" s="3">
        <f t="shared" si="67"/>
        <v>0</v>
      </c>
    </row>
    <row r="2131" spans="1:2" x14ac:dyDescent="0.25">
      <c r="A2131">
        <f t="shared" si="66"/>
        <v>0</v>
      </c>
      <c r="B2131" s="3">
        <f t="shared" si="67"/>
        <v>0</v>
      </c>
    </row>
    <row r="2132" spans="1:2" x14ac:dyDescent="0.25">
      <c r="A2132">
        <f t="shared" si="66"/>
        <v>0</v>
      </c>
      <c r="B2132" s="3">
        <f t="shared" si="67"/>
        <v>0</v>
      </c>
    </row>
    <row r="2133" spans="1:2" x14ac:dyDescent="0.25">
      <c r="A2133">
        <f t="shared" si="66"/>
        <v>0</v>
      </c>
      <c r="B2133" s="3">
        <f t="shared" si="67"/>
        <v>0</v>
      </c>
    </row>
    <row r="2134" spans="1:2" x14ac:dyDescent="0.25">
      <c r="A2134">
        <f t="shared" si="66"/>
        <v>0</v>
      </c>
      <c r="B2134" s="3">
        <f t="shared" si="67"/>
        <v>0</v>
      </c>
    </row>
    <row r="2135" spans="1:2" x14ac:dyDescent="0.25">
      <c r="A2135">
        <f t="shared" si="66"/>
        <v>0</v>
      </c>
      <c r="B2135" s="3">
        <f t="shared" si="67"/>
        <v>0</v>
      </c>
    </row>
    <row r="2136" spans="1:2" x14ac:dyDescent="0.25">
      <c r="A2136">
        <f t="shared" si="66"/>
        <v>0</v>
      </c>
      <c r="B2136" s="3">
        <f t="shared" si="67"/>
        <v>0</v>
      </c>
    </row>
    <row r="2137" spans="1:2" x14ac:dyDescent="0.25">
      <c r="A2137">
        <f t="shared" si="66"/>
        <v>0</v>
      </c>
      <c r="B2137" s="3">
        <f t="shared" si="67"/>
        <v>0</v>
      </c>
    </row>
    <row r="2138" spans="1:2" x14ac:dyDescent="0.25">
      <c r="A2138">
        <f t="shared" si="66"/>
        <v>0</v>
      </c>
      <c r="B2138" s="3">
        <f t="shared" si="67"/>
        <v>0</v>
      </c>
    </row>
    <row r="2139" spans="1:2" x14ac:dyDescent="0.25">
      <c r="A2139">
        <f t="shared" si="66"/>
        <v>0</v>
      </c>
      <c r="B2139" s="3">
        <f t="shared" si="67"/>
        <v>0</v>
      </c>
    </row>
    <row r="2140" spans="1:2" x14ac:dyDescent="0.25">
      <c r="A2140">
        <f t="shared" si="66"/>
        <v>0</v>
      </c>
      <c r="B2140" s="3">
        <f t="shared" si="67"/>
        <v>0</v>
      </c>
    </row>
    <row r="2141" spans="1:2" x14ac:dyDescent="0.25">
      <c r="A2141">
        <f t="shared" si="66"/>
        <v>0</v>
      </c>
      <c r="B2141" s="3">
        <f t="shared" si="67"/>
        <v>0</v>
      </c>
    </row>
    <row r="2142" spans="1:2" x14ac:dyDescent="0.25">
      <c r="A2142">
        <f t="shared" si="66"/>
        <v>0</v>
      </c>
      <c r="B2142" s="3">
        <f t="shared" si="67"/>
        <v>0</v>
      </c>
    </row>
    <row r="2143" spans="1:2" x14ac:dyDescent="0.25">
      <c r="A2143">
        <f t="shared" si="66"/>
        <v>0</v>
      </c>
      <c r="B2143" s="3">
        <f t="shared" si="67"/>
        <v>0</v>
      </c>
    </row>
    <row r="2144" spans="1:2" x14ac:dyDescent="0.25">
      <c r="A2144">
        <f t="shared" si="66"/>
        <v>0</v>
      </c>
      <c r="B2144" s="3">
        <f t="shared" si="67"/>
        <v>0</v>
      </c>
    </row>
    <row r="2145" spans="1:2" x14ac:dyDescent="0.25">
      <c r="A2145">
        <f t="shared" si="66"/>
        <v>0</v>
      </c>
      <c r="B2145" s="3">
        <f t="shared" si="67"/>
        <v>0</v>
      </c>
    </row>
    <row r="2146" spans="1:2" x14ac:dyDescent="0.25">
      <c r="A2146">
        <f t="shared" si="66"/>
        <v>0</v>
      </c>
      <c r="B2146" s="3">
        <f t="shared" si="67"/>
        <v>0</v>
      </c>
    </row>
    <row r="2147" spans="1:2" x14ac:dyDescent="0.25">
      <c r="A2147">
        <f t="shared" si="66"/>
        <v>0</v>
      </c>
      <c r="B2147" s="3">
        <f t="shared" si="67"/>
        <v>0</v>
      </c>
    </row>
    <row r="2148" spans="1:2" x14ac:dyDescent="0.25">
      <c r="A2148">
        <f t="shared" si="66"/>
        <v>0</v>
      </c>
      <c r="B2148" s="3">
        <f t="shared" si="67"/>
        <v>0</v>
      </c>
    </row>
    <row r="2149" spans="1:2" x14ac:dyDescent="0.25">
      <c r="A2149">
        <f t="shared" si="66"/>
        <v>0</v>
      </c>
      <c r="B2149" s="3">
        <f t="shared" si="67"/>
        <v>0</v>
      </c>
    </row>
    <row r="2150" spans="1:2" x14ac:dyDescent="0.25">
      <c r="A2150">
        <f t="shared" si="66"/>
        <v>0</v>
      </c>
      <c r="B2150" s="3">
        <f t="shared" si="67"/>
        <v>0</v>
      </c>
    </row>
    <row r="2151" spans="1:2" x14ac:dyDescent="0.25">
      <c r="A2151">
        <f t="shared" si="66"/>
        <v>0</v>
      </c>
      <c r="B2151" s="3">
        <f t="shared" si="67"/>
        <v>0</v>
      </c>
    </row>
    <row r="2152" spans="1:2" x14ac:dyDescent="0.25">
      <c r="A2152">
        <f t="shared" si="66"/>
        <v>0</v>
      </c>
      <c r="B2152" s="3">
        <f t="shared" si="67"/>
        <v>0</v>
      </c>
    </row>
    <row r="2153" spans="1:2" x14ac:dyDescent="0.25">
      <c r="A2153">
        <f t="shared" si="66"/>
        <v>0</v>
      </c>
      <c r="B2153" s="3">
        <f t="shared" si="67"/>
        <v>0</v>
      </c>
    </row>
    <row r="2154" spans="1:2" x14ac:dyDescent="0.25">
      <c r="A2154">
        <f t="shared" si="66"/>
        <v>0</v>
      </c>
      <c r="B2154" s="3">
        <f t="shared" si="67"/>
        <v>0</v>
      </c>
    </row>
    <row r="2155" spans="1:2" x14ac:dyDescent="0.25">
      <c r="A2155">
        <f t="shared" si="66"/>
        <v>0</v>
      </c>
      <c r="B2155" s="3">
        <f t="shared" si="67"/>
        <v>0</v>
      </c>
    </row>
    <row r="2156" spans="1:2" x14ac:dyDescent="0.25">
      <c r="A2156">
        <f t="shared" si="66"/>
        <v>0</v>
      </c>
      <c r="B2156" s="3">
        <f t="shared" si="67"/>
        <v>0</v>
      </c>
    </row>
    <row r="2157" spans="1:2" x14ac:dyDescent="0.25">
      <c r="A2157">
        <f t="shared" si="66"/>
        <v>0</v>
      </c>
      <c r="B2157" s="3">
        <f t="shared" si="67"/>
        <v>0</v>
      </c>
    </row>
    <row r="2158" spans="1:2" x14ac:dyDescent="0.25">
      <c r="A2158">
        <f t="shared" si="66"/>
        <v>0</v>
      </c>
      <c r="B2158" s="3">
        <f t="shared" si="67"/>
        <v>0</v>
      </c>
    </row>
    <row r="2159" spans="1:2" x14ac:dyDescent="0.25">
      <c r="A2159">
        <f t="shared" si="66"/>
        <v>0</v>
      </c>
      <c r="B2159" s="3">
        <f t="shared" si="67"/>
        <v>0</v>
      </c>
    </row>
    <row r="2160" spans="1:2" x14ac:dyDescent="0.25">
      <c r="A2160">
        <f t="shared" si="66"/>
        <v>0</v>
      </c>
      <c r="B2160" s="3">
        <f t="shared" si="67"/>
        <v>0</v>
      </c>
    </row>
    <row r="2161" spans="1:2" x14ac:dyDescent="0.25">
      <c r="A2161">
        <f t="shared" si="66"/>
        <v>0</v>
      </c>
      <c r="B2161" s="3">
        <f t="shared" si="67"/>
        <v>0</v>
      </c>
    </row>
    <row r="2162" spans="1:2" x14ac:dyDescent="0.25">
      <c r="A2162">
        <f t="shared" si="66"/>
        <v>0</v>
      </c>
      <c r="B2162" s="3">
        <f t="shared" si="67"/>
        <v>0</v>
      </c>
    </row>
    <row r="2163" spans="1:2" x14ac:dyDescent="0.25">
      <c r="A2163">
        <f t="shared" si="66"/>
        <v>0</v>
      </c>
      <c r="B2163" s="3">
        <f t="shared" si="67"/>
        <v>0</v>
      </c>
    </row>
    <row r="2164" spans="1:2" x14ac:dyDescent="0.25">
      <c r="A2164">
        <f t="shared" si="66"/>
        <v>0</v>
      </c>
      <c r="B2164" s="3">
        <f t="shared" si="67"/>
        <v>0</v>
      </c>
    </row>
    <row r="2165" spans="1:2" x14ac:dyDescent="0.25">
      <c r="A2165">
        <f t="shared" si="66"/>
        <v>0</v>
      </c>
      <c r="B2165" s="3">
        <f t="shared" si="67"/>
        <v>0</v>
      </c>
    </row>
    <row r="2166" spans="1:2" x14ac:dyDescent="0.25">
      <c r="A2166">
        <f t="shared" si="66"/>
        <v>0</v>
      </c>
      <c r="B2166" s="3">
        <f t="shared" si="67"/>
        <v>0</v>
      </c>
    </row>
    <row r="2167" spans="1:2" x14ac:dyDescent="0.25">
      <c r="A2167">
        <f t="shared" si="66"/>
        <v>0</v>
      </c>
      <c r="B2167" s="3">
        <f t="shared" si="67"/>
        <v>0</v>
      </c>
    </row>
    <row r="2168" spans="1:2" x14ac:dyDescent="0.25">
      <c r="A2168">
        <f t="shared" si="66"/>
        <v>0</v>
      </c>
      <c r="B2168" s="3">
        <f t="shared" si="67"/>
        <v>0</v>
      </c>
    </row>
    <row r="2169" spans="1:2" x14ac:dyDescent="0.25">
      <c r="A2169">
        <f t="shared" si="66"/>
        <v>0</v>
      </c>
      <c r="B2169" s="3">
        <f t="shared" si="67"/>
        <v>0</v>
      </c>
    </row>
    <row r="2170" spans="1:2" x14ac:dyDescent="0.25">
      <c r="A2170">
        <f t="shared" si="66"/>
        <v>0</v>
      </c>
      <c r="B2170" s="3">
        <f t="shared" si="67"/>
        <v>0</v>
      </c>
    </row>
    <row r="2171" spans="1:2" x14ac:dyDescent="0.25">
      <c r="A2171">
        <f t="shared" si="66"/>
        <v>0</v>
      </c>
      <c r="B2171" s="3">
        <f t="shared" si="67"/>
        <v>0</v>
      </c>
    </row>
    <row r="2172" spans="1:2" x14ac:dyDescent="0.25">
      <c r="A2172">
        <f t="shared" si="66"/>
        <v>0</v>
      </c>
      <c r="B2172" s="3">
        <f t="shared" si="67"/>
        <v>0</v>
      </c>
    </row>
    <row r="2173" spans="1:2" x14ac:dyDescent="0.25">
      <c r="A2173">
        <f t="shared" si="66"/>
        <v>0</v>
      </c>
      <c r="B2173" s="3">
        <f t="shared" si="67"/>
        <v>0</v>
      </c>
    </row>
    <row r="2174" spans="1:2" x14ac:dyDescent="0.25">
      <c r="A2174">
        <f t="shared" si="66"/>
        <v>0</v>
      </c>
      <c r="B2174" s="3">
        <f t="shared" si="67"/>
        <v>0</v>
      </c>
    </row>
    <row r="2175" spans="1:2" x14ac:dyDescent="0.25">
      <c r="A2175">
        <f t="shared" si="66"/>
        <v>0</v>
      </c>
      <c r="B2175" s="3">
        <f t="shared" si="67"/>
        <v>0</v>
      </c>
    </row>
    <row r="2176" spans="1:2" x14ac:dyDescent="0.25">
      <c r="A2176">
        <f t="shared" si="66"/>
        <v>0</v>
      </c>
      <c r="B2176" s="3">
        <f t="shared" si="67"/>
        <v>0</v>
      </c>
    </row>
    <row r="2177" spans="1:2" x14ac:dyDescent="0.25">
      <c r="A2177">
        <f t="shared" si="66"/>
        <v>0</v>
      </c>
      <c r="B2177" s="3">
        <f t="shared" si="67"/>
        <v>0</v>
      </c>
    </row>
    <row r="2178" spans="1:2" x14ac:dyDescent="0.25">
      <c r="A2178">
        <f t="shared" si="66"/>
        <v>0</v>
      </c>
      <c r="B2178" s="3">
        <f t="shared" si="67"/>
        <v>0</v>
      </c>
    </row>
    <row r="2179" spans="1:2" x14ac:dyDescent="0.25">
      <c r="A2179">
        <f t="shared" si="66"/>
        <v>0</v>
      </c>
      <c r="B2179" s="3">
        <f t="shared" si="67"/>
        <v>0</v>
      </c>
    </row>
    <row r="2180" spans="1:2" x14ac:dyDescent="0.25">
      <c r="A2180">
        <f t="shared" si="66"/>
        <v>0</v>
      </c>
      <c r="B2180" s="3">
        <f t="shared" si="67"/>
        <v>0</v>
      </c>
    </row>
    <row r="2181" spans="1:2" x14ac:dyDescent="0.25">
      <c r="A2181">
        <f t="shared" si="66"/>
        <v>0</v>
      </c>
      <c r="B2181" s="3">
        <f t="shared" si="67"/>
        <v>0</v>
      </c>
    </row>
    <row r="2182" spans="1:2" x14ac:dyDescent="0.25">
      <c r="A2182">
        <f t="shared" si="66"/>
        <v>0</v>
      </c>
      <c r="B2182" s="3">
        <f t="shared" si="67"/>
        <v>0</v>
      </c>
    </row>
    <row r="2183" spans="1:2" x14ac:dyDescent="0.25">
      <c r="A2183">
        <f t="shared" ref="A2183:A2246" si="68">IF(ISNUMBER(C2183),C2183*F2183,)</f>
        <v>0</v>
      </c>
      <c r="B2183" s="3">
        <f t="shared" ref="B2183:B2246" si="69">IF(C2183&lt;&gt;"",1,0)</f>
        <v>0</v>
      </c>
    </row>
    <row r="2184" spans="1:2" x14ac:dyDescent="0.25">
      <c r="A2184">
        <f t="shared" si="68"/>
        <v>0</v>
      </c>
      <c r="B2184" s="3">
        <f t="shared" si="69"/>
        <v>0</v>
      </c>
    </row>
    <row r="2185" spans="1:2" x14ac:dyDescent="0.25">
      <c r="A2185">
        <f t="shared" si="68"/>
        <v>0</v>
      </c>
      <c r="B2185" s="3">
        <f t="shared" si="69"/>
        <v>0</v>
      </c>
    </row>
    <row r="2186" spans="1:2" x14ac:dyDescent="0.25">
      <c r="A2186">
        <f t="shared" si="68"/>
        <v>0</v>
      </c>
      <c r="B2186" s="3">
        <f t="shared" si="69"/>
        <v>0</v>
      </c>
    </row>
    <row r="2187" spans="1:2" x14ac:dyDescent="0.25">
      <c r="A2187">
        <f t="shared" si="68"/>
        <v>0</v>
      </c>
      <c r="B2187" s="3">
        <f t="shared" si="69"/>
        <v>0</v>
      </c>
    </row>
    <row r="2188" spans="1:2" x14ac:dyDescent="0.25">
      <c r="A2188">
        <f t="shared" si="68"/>
        <v>0</v>
      </c>
      <c r="B2188" s="3">
        <f t="shared" si="69"/>
        <v>0</v>
      </c>
    </row>
    <row r="2189" spans="1:2" x14ac:dyDescent="0.25">
      <c r="A2189">
        <f t="shared" si="68"/>
        <v>0</v>
      </c>
      <c r="B2189" s="3">
        <f t="shared" si="69"/>
        <v>0</v>
      </c>
    </row>
    <row r="2190" spans="1:2" x14ac:dyDescent="0.25">
      <c r="A2190">
        <f t="shared" si="68"/>
        <v>0</v>
      </c>
      <c r="B2190" s="3">
        <f t="shared" si="69"/>
        <v>0</v>
      </c>
    </row>
    <row r="2191" spans="1:2" x14ac:dyDescent="0.25">
      <c r="A2191">
        <f t="shared" si="68"/>
        <v>0</v>
      </c>
      <c r="B2191" s="3">
        <f t="shared" si="69"/>
        <v>0</v>
      </c>
    </row>
    <row r="2192" spans="1:2" x14ac:dyDescent="0.25">
      <c r="A2192">
        <f t="shared" si="68"/>
        <v>0</v>
      </c>
      <c r="B2192" s="3">
        <f t="shared" si="69"/>
        <v>0</v>
      </c>
    </row>
    <row r="2193" spans="1:2" x14ac:dyDescent="0.25">
      <c r="A2193">
        <f t="shared" si="68"/>
        <v>0</v>
      </c>
      <c r="B2193" s="3">
        <f t="shared" si="69"/>
        <v>0</v>
      </c>
    </row>
    <row r="2194" spans="1:2" x14ac:dyDescent="0.25">
      <c r="A2194">
        <f t="shared" si="68"/>
        <v>0</v>
      </c>
      <c r="B2194" s="3">
        <f t="shared" si="69"/>
        <v>0</v>
      </c>
    </row>
    <row r="2195" spans="1:2" x14ac:dyDescent="0.25">
      <c r="A2195">
        <f t="shared" si="68"/>
        <v>0</v>
      </c>
      <c r="B2195" s="3">
        <f t="shared" si="69"/>
        <v>0</v>
      </c>
    </row>
    <row r="2196" spans="1:2" x14ac:dyDescent="0.25">
      <c r="A2196">
        <f t="shared" si="68"/>
        <v>0</v>
      </c>
      <c r="B2196" s="3">
        <f t="shared" si="69"/>
        <v>0</v>
      </c>
    </row>
    <row r="2197" spans="1:2" x14ac:dyDescent="0.25">
      <c r="A2197">
        <f t="shared" si="68"/>
        <v>0</v>
      </c>
      <c r="B2197" s="3">
        <f t="shared" si="69"/>
        <v>0</v>
      </c>
    </row>
    <row r="2198" spans="1:2" x14ac:dyDescent="0.25">
      <c r="A2198">
        <f t="shared" si="68"/>
        <v>0</v>
      </c>
      <c r="B2198" s="3">
        <f t="shared" si="69"/>
        <v>0</v>
      </c>
    </row>
    <row r="2199" spans="1:2" x14ac:dyDescent="0.25">
      <c r="A2199">
        <f t="shared" si="68"/>
        <v>0</v>
      </c>
      <c r="B2199" s="3">
        <f t="shared" si="69"/>
        <v>0</v>
      </c>
    </row>
    <row r="2200" spans="1:2" x14ac:dyDescent="0.25">
      <c r="A2200">
        <f t="shared" si="68"/>
        <v>0</v>
      </c>
      <c r="B2200" s="3">
        <f t="shared" si="69"/>
        <v>0</v>
      </c>
    </row>
    <row r="2201" spans="1:2" x14ac:dyDescent="0.25">
      <c r="A2201">
        <f t="shared" si="68"/>
        <v>0</v>
      </c>
      <c r="B2201" s="3">
        <f t="shared" si="69"/>
        <v>0</v>
      </c>
    </row>
    <row r="2202" spans="1:2" x14ac:dyDescent="0.25">
      <c r="A2202">
        <f t="shared" si="68"/>
        <v>0</v>
      </c>
      <c r="B2202" s="3">
        <f t="shared" si="69"/>
        <v>0</v>
      </c>
    </row>
    <row r="2203" spans="1:2" x14ac:dyDescent="0.25">
      <c r="A2203">
        <f t="shared" si="68"/>
        <v>0</v>
      </c>
      <c r="B2203" s="3">
        <f t="shared" si="69"/>
        <v>0</v>
      </c>
    </row>
    <row r="2204" spans="1:2" x14ac:dyDescent="0.25">
      <c r="A2204">
        <f t="shared" si="68"/>
        <v>0</v>
      </c>
      <c r="B2204" s="3">
        <f t="shared" si="69"/>
        <v>0</v>
      </c>
    </row>
    <row r="2205" spans="1:2" x14ac:dyDescent="0.25">
      <c r="A2205">
        <f t="shared" si="68"/>
        <v>0</v>
      </c>
      <c r="B2205" s="3">
        <f t="shared" si="69"/>
        <v>0</v>
      </c>
    </row>
    <row r="2206" spans="1:2" x14ac:dyDescent="0.25">
      <c r="A2206">
        <f t="shared" si="68"/>
        <v>0</v>
      </c>
      <c r="B2206" s="3">
        <f t="shared" si="69"/>
        <v>0</v>
      </c>
    </row>
    <row r="2207" spans="1:2" x14ac:dyDescent="0.25">
      <c r="A2207">
        <f t="shared" si="68"/>
        <v>0</v>
      </c>
      <c r="B2207" s="3">
        <f t="shared" si="69"/>
        <v>0</v>
      </c>
    </row>
    <row r="2208" spans="1:2" x14ac:dyDescent="0.25">
      <c r="A2208">
        <f t="shared" si="68"/>
        <v>0</v>
      </c>
      <c r="B2208" s="3">
        <f t="shared" si="69"/>
        <v>0</v>
      </c>
    </row>
    <row r="2209" spans="1:2" x14ac:dyDescent="0.25">
      <c r="A2209">
        <f t="shared" si="68"/>
        <v>0</v>
      </c>
      <c r="B2209" s="3">
        <f t="shared" si="69"/>
        <v>0</v>
      </c>
    </row>
    <row r="2210" spans="1:2" x14ac:dyDescent="0.25">
      <c r="A2210">
        <f t="shared" si="68"/>
        <v>0</v>
      </c>
      <c r="B2210" s="3">
        <f t="shared" si="69"/>
        <v>0</v>
      </c>
    </row>
    <row r="2211" spans="1:2" x14ac:dyDescent="0.25">
      <c r="A2211">
        <f t="shared" si="68"/>
        <v>0</v>
      </c>
      <c r="B2211" s="3">
        <f t="shared" si="69"/>
        <v>0</v>
      </c>
    </row>
    <row r="2212" spans="1:2" x14ac:dyDescent="0.25">
      <c r="A2212">
        <f t="shared" si="68"/>
        <v>0</v>
      </c>
      <c r="B2212" s="3">
        <f t="shared" si="69"/>
        <v>0</v>
      </c>
    </row>
    <row r="2213" spans="1:2" x14ac:dyDescent="0.25">
      <c r="A2213">
        <f t="shared" si="68"/>
        <v>0</v>
      </c>
      <c r="B2213" s="3">
        <f t="shared" si="69"/>
        <v>0</v>
      </c>
    </row>
    <row r="2214" spans="1:2" x14ac:dyDescent="0.25">
      <c r="A2214">
        <f t="shared" si="68"/>
        <v>0</v>
      </c>
      <c r="B2214" s="3">
        <f t="shared" si="69"/>
        <v>0</v>
      </c>
    </row>
    <row r="2215" spans="1:2" x14ac:dyDescent="0.25">
      <c r="A2215">
        <f t="shared" si="68"/>
        <v>0</v>
      </c>
      <c r="B2215" s="3">
        <f t="shared" si="69"/>
        <v>0</v>
      </c>
    </row>
    <row r="2216" spans="1:2" x14ac:dyDescent="0.25">
      <c r="A2216">
        <f t="shared" si="68"/>
        <v>0</v>
      </c>
      <c r="B2216" s="3">
        <f t="shared" si="69"/>
        <v>0</v>
      </c>
    </row>
    <row r="2217" spans="1:2" x14ac:dyDescent="0.25">
      <c r="A2217">
        <f t="shared" si="68"/>
        <v>0</v>
      </c>
      <c r="B2217" s="3">
        <f t="shared" si="69"/>
        <v>0</v>
      </c>
    </row>
    <row r="2218" spans="1:2" x14ac:dyDescent="0.25">
      <c r="A2218">
        <f t="shared" si="68"/>
        <v>0</v>
      </c>
      <c r="B2218" s="3">
        <f t="shared" si="69"/>
        <v>0</v>
      </c>
    </row>
    <row r="2219" spans="1:2" x14ac:dyDescent="0.25">
      <c r="A2219">
        <f t="shared" si="68"/>
        <v>0</v>
      </c>
      <c r="B2219" s="3">
        <f t="shared" si="69"/>
        <v>0</v>
      </c>
    </row>
    <row r="2220" spans="1:2" x14ac:dyDescent="0.25">
      <c r="A2220">
        <f t="shared" si="68"/>
        <v>0</v>
      </c>
      <c r="B2220" s="3">
        <f t="shared" si="69"/>
        <v>0</v>
      </c>
    </row>
    <row r="2221" spans="1:2" x14ac:dyDescent="0.25">
      <c r="A2221">
        <f t="shared" si="68"/>
        <v>0</v>
      </c>
      <c r="B2221" s="3">
        <f t="shared" si="69"/>
        <v>0</v>
      </c>
    </row>
    <row r="2222" spans="1:2" x14ac:dyDescent="0.25">
      <c r="A2222">
        <f t="shared" si="68"/>
        <v>0</v>
      </c>
      <c r="B2222" s="3">
        <f t="shared" si="69"/>
        <v>0</v>
      </c>
    </row>
    <row r="2223" spans="1:2" x14ac:dyDescent="0.25">
      <c r="A2223">
        <f t="shared" si="68"/>
        <v>0</v>
      </c>
      <c r="B2223" s="3">
        <f t="shared" si="69"/>
        <v>0</v>
      </c>
    </row>
    <row r="2224" spans="1:2" x14ac:dyDescent="0.25">
      <c r="A2224">
        <f t="shared" si="68"/>
        <v>0</v>
      </c>
      <c r="B2224" s="3">
        <f t="shared" si="69"/>
        <v>0</v>
      </c>
    </row>
    <row r="2225" spans="1:2" x14ac:dyDescent="0.25">
      <c r="A2225">
        <f t="shared" si="68"/>
        <v>0</v>
      </c>
      <c r="B2225" s="3">
        <f t="shared" si="69"/>
        <v>0</v>
      </c>
    </row>
    <row r="2226" spans="1:2" x14ac:dyDescent="0.25">
      <c r="A2226">
        <f t="shared" si="68"/>
        <v>0</v>
      </c>
      <c r="B2226" s="3">
        <f t="shared" si="69"/>
        <v>0</v>
      </c>
    </row>
    <row r="2227" spans="1:2" x14ac:dyDescent="0.25">
      <c r="A2227">
        <f t="shared" si="68"/>
        <v>0</v>
      </c>
      <c r="B2227" s="3">
        <f t="shared" si="69"/>
        <v>0</v>
      </c>
    </row>
    <row r="2228" spans="1:2" x14ac:dyDescent="0.25">
      <c r="A2228">
        <f t="shared" si="68"/>
        <v>0</v>
      </c>
      <c r="B2228" s="3">
        <f t="shared" si="69"/>
        <v>0</v>
      </c>
    </row>
    <row r="2229" spans="1:2" x14ac:dyDescent="0.25">
      <c r="A2229">
        <f t="shared" si="68"/>
        <v>0</v>
      </c>
      <c r="B2229" s="3">
        <f t="shared" si="69"/>
        <v>0</v>
      </c>
    </row>
    <row r="2230" spans="1:2" x14ac:dyDescent="0.25">
      <c r="A2230">
        <f t="shared" si="68"/>
        <v>0</v>
      </c>
      <c r="B2230" s="3">
        <f t="shared" si="69"/>
        <v>0</v>
      </c>
    </row>
    <row r="2231" spans="1:2" x14ac:dyDescent="0.25">
      <c r="A2231">
        <f t="shared" si="68"/>
        <v>0</v>
      </c>
      <c r="B2231" s="3">
        <f t="shared" si="69"/>
        <v>0</v>
      </c>
    </row>
    <row r="2232" spans="1:2" x14ac:dyDescent="0.25">
      <c r="A2232">
        <f t="shared" si="68"/>
        <v>0</v>
      </c>
      <c r="B2232" s="3">
        <f t="shared" si="69"/>
        <v>0</v>
      </c>
    </row>
    <row r="2233" spans="1:2" x14ac:dyDescent="0.25">
      <c r="A2233">
        <f t="shared" si="68"/>
        <v>0</v>
      </c>
      <c r="B2233" s="3">
        <f t="shared" si="69"/>
        <v>0</v>
      </c>
    </row>
    <row r="2234" spans="1:2" x14ac:dyDescent="0.25">
      <c r="A2234">
        <f t="shared" si="68"/>
        <v>0</v>
      </c>
      <c r="B2234" s="3">
        <f t="shared" si="69"/>
        <v>0</v>
      </c>
    </row>
    <row r="2235" spans="1:2" x14ac:dyDescent="0.25">
      <c r="A2235">
        <f t="shared" si="68"/>
        <v>0</v>
      </c>
      <c r="B2235" s="3">
        <f t="shared" si="69"/>
        <v>0</v>
      </c>
    </row>
    <row r="2236" spans="1:2" x14ac:dyDescent="0.25">
      <c r="A2236">
        <f t="shared" si="68"/>
        <v>0</v>
      </c>
      <c r="B2236" s="3">
        <f t="shared" si="69"/>
        <v>0</v>
      </c>
    </row>
    <row r="2237" spans="1:2" x14ac:dyDescent="0.25">
      <c r="A2237">
        <f t="shared" si="68"/>
        <v>0</v>
      </c>
      <c r="B2237" s="3">
        <f t="shared" si="69"/>
        <v>0</v>
      </c>
    </row>
    <row r="2238" spans="1:2" x14ac:dyDescent="0.25">
      <c r="A2238">
        <f t="shared" si="68"/>
        <v>0</v>
      </c>
      <c r="B2238" s="3">
        <f t="shared" si="69"/>
        <v>0</v>
      </c>
    </row>
    <row r="2239" spans="1:2" x14ac:dyDescent="0.25">
      <c r="A2239">
        <f t="shared" si="68"/>
        <v>0</v>
      </c>
      <c r="B2239" s="3">
        <f t="shared" si="69"/>
        <v>0</v>
      </c>
    </row>
    <row r="2240" spans="1:2" x14ac:dyDescent="0.25">
      <c r="A2240">
        <f t="shared" si="68"/>
        <v>0</v>
      </c>
      <c r="B2240" s="3">
        <f t="shared" si="69"/>
        <v>0</v>
      </c>
    </row>
    <row r="2241" spans="1:2" x14ac:dyDescent="0.25">
      <c r="A2241">
        <f t="shared" si="68"/>
        <v>0</v>
      </c>
      <c r="B2241" s="3">
        <f t="shared" si="69"/>
        <v>0</v>
      </c>
    </row>
    <row r="2242" spans="1:2" x14ac:dyDescent="0.25">
      <c r="A2242">
        <f t="shared" si="68"/>
        <v>0</v>
      </c>
      <c r="B2242" s="3">
        <f t="shared" si="69"/>
        <v>0</v>
      </c>
    </row>
    <row r="2243" spans="1:2" x14ac:dyDescent="0.25">
      <c r="A2243">
        <f t="shared" si="68"/>
        <v>0</v>
      </c>
      <c r="B2243" s="3">
        <f t="shared" si="69"/>
        <v>0</v>
      </c>
    </row>
    <row r="2244" spans="1:2" x14ac:dyDescent="0.25">
      <c r="A2244">
        <f t="shared" si="68"/>
        <v>0</v>
      </c>
      <c r="B2244" s="3">
        <f t="shared" si="69"/>
        <v>0</v>
      </c>
    </row>
    <row r="2245" spans="1:2" x14ac:dyDescent="0.25">
      <c r="A2245">
        <f t="shared" si="68"/>
        <v>0</v>
      </c>
      <c r="B2245" s="3">
        <f t="shared" si="69"/>
        <v>0</v>
      </c>
    </row>
    <row r="2246" spans="1:2" x14ac:dyDescent="0.25">
      <c r="A2246">
        <f t="shared" si="68"/>
        <v>0</v>
      </c>
      <c r="B2246" s="3">
        <f t="shared" si="69"/>
        <v>0</v>
      </c>
    </row>
    <row r="2247" spans="1:2" x14ac:dyDescent="0.25">
      <c r="A2247">
        <f t="shared" ref="A2247:A2310" si="70">IF(ISNUMBER(C2247),C2247*F2247,)</f>
        <v>0</v>
      </c>
      <c r="B2247" s="3">
        <f t="shared" ref="B2247:B2310" si="71">IF(C2247&lt;&gt;"",1,0)</f>
        <v>0</v>
      </c>
    </row>
    <row r="2248" spans="1:2" x14ac:dyDescent="0.25">
      <c r="A2248">
        <f t="shared" si="70"/>
        <v>0</v>
      </c>
      <c r="B2248" s="3">
        <f t="shared" si="71"/>
        <v>0</v>
      </c>
    </row>
    <row r="2249" spans="1:2" x14ac:dyDescent="0.25">
      <c r="A2249">
        <f t="shared" si="70"/>
        <v>0</v>
      </c>
      <c r="B2249" s="3">
        <f t="shared" si="71"/>
        <v>0</v>
      </c>
    </row>
    <row r="2250" spans="1:2" x14ac:dyDescent="0.25">
      <c r="A2250">
        <f t="shared" si="70"/>
        <v>0</v>
      </c>
      <c r="B2250" s="3">
        <f t="shared" si="71"/>
        <v>0</v>
      </c>
    </row>
    <row r="2251" spans="1:2" x14ac:dyDescent="0.25">
      <c r="A2251">
        <f t="shared" si="70"/>
        <v>0</v>
      </c>
      <c r="B2251" s="3">
        <f t="shared" si="71"/>
        <v>0</v>
      </c>
    </row>
    <row r="2252" spans="1:2" x14ac:dyDescent="0.25">
      <c r="A2252">
        <f t="shared" si="70"/>
        <v>0</v>
      </c>
      <c r="B2252" s="3">
        <f t="shared" si="71"/>
        <v>0</v>
      </c>
    </row>
    <row r="2253" spans="1:2" x14ac:dyDescent="0.25">
      <c r="A2253">
        <f t="shared" si="70"/>
        <v>0</v>
      </c>
      <c r="B2253" s="3">
        <f t="shared" si="71"/>
        <v>0</v>
      </c>
    </row>
    <row r="2254" spans="1:2" x14ac:dyDescent="0.25">
      <c r="A2254">
        <f t="shared" si="70"/>
        <v>0</v>
      </c>
      <c r="B2254" s="3">
        <f t="shared" si="71"/>
        <v>0</v>
      </c>
    </row>
    <row r="2255" spans="1:2" x14ac:dyDescent="0.25">
      <c r="A2255">
        <f t="shared" si="70"/>
        <v>0</v>
      </c>
      <c r="B2255" s="3">
        <f t="shared" si="71"/>
        <v>0</v>
      </c>
    </row>
    <row r="2256" spans="1:2" x14ac:dyDescent="0.25">
      <c r="A2256">
        <f t="shared" si="70"/>
        <v>0</v>
      </c>
      <c r="B2256" s="3">
        <f t="shared" si="71"/>
        <v>0</v>
      </c>
    </row>
    <row r="2257" spans="1:2" x14ac:dyDescent="0.25">
      <c r="A2257">
        <f t="shared" si="70"/>
        <v>0</v>
      </c>
      <c r="B2257" s="3">
        <f t="shared" si="71"/>
        <v>0</v>
      </c>
    </row>
    <row r="2258" spans="1:2" x14ac:dyDescent="0.25">
      <c r="A2258">
        <f t="shared" si="70"/>
        <v>0</v>
      </c>
      <c r="B2258" s="3">
        <f t="shared" si="71"/>
        <v>0</v>
      </c>
    </row>
    <row r="2259" spans="1:2" x14ac:dyDescent="0.25">
      <c r="A2259">
        <f t="shared" si="70"/>
        <v>0</v>
      </c>
      <c r="B2259" s="3">
        <f t="shared" si="71"/>
        <v>0</v>
      </c>
    </row>
    <row r="2260" spans="1:2" x14ac:dyDescent="0.25">
      <c r="A2260">
        <f t="shared" si="70"/>
        <v>0</v>
      </c>
      <c r="B2260" s="3">
        <f t="shared" si="71"/>
        <v>0</v>
      </c>
    </row>
    <row r="2261" spans="1:2" x14ac:dyDescent="0.25">
      <c r="A2261">
        <f t="shared" si="70"/>
        <v>0</v>
      </c>
      <c r="B2261" s="3">
        <f t="shared" si="71"/>
        <v>0</v>
      </c>
    </row>
    <row r="2262" spans="1:2" x14ac:dyDescent="0.25">
      <c r="A2262">
        <f t="shared" si="70"/>
        <v>0</v>
      </c>
      <c r="B2262" s="3">
        <f t="shared" si="71"/>
        <v>0</v>
      </c>
    </row>
    <row r="2263" spans="1:2" x14ac:dyDescent="0.25">
      <c r="A2263">
        <f t="shared" si="70"/>
        <v>0</v>
      </c>
      <c r="B2263" s="3">
        <f t="shared" si="71"/>
        <v>0</v>
      </c>
    </row>
    <row r="2264" spans="1:2" x14ac:dyDescent="0.25">
      <c r="A2264">
        <f t="shared" si="70"/>
        <v>0</v>
      </c>
      <c r="B2264" s="3">
        <f t="shared" si="71"/>
        <v>0</v>
      </c>
    </row>
    <row r="2265" spans="1:2" x14ac:dyDescent="0.25">
      <c r="A2265">
        <f t="shared" si="70"/>
        <v>0</v>
      </c>
      <c r="B2265" s="3">
        <f t="shared" si="71"/>
        <v>0</v>
      </c>
    </row>
    <row r="2266" spans="1:2" x14ac:dyDescent="0.25">
      <c r="A2266">
        <f t="shared" si="70"/>
        <v>0</v>
      </c>
      <c r="B2266" s="3">
        <f t="shared" si="71"/>
        <v>0</v>
      </c>
    </row>
    <row r="2267" spans="1:2" x14ac:dyDescent="0.25">
      <c r="A2267">
        <f t="shared" si="70"/>
        <v>0</v>
      </c>
      <c r="B2267" s="3">
        <f t="shared" si="71"/>
        <v>0</v>
      </c>
    </row>
    <row r="2268" spans="1:2" x14ac:dyDescent="0.25">
      <c r="A2268">
        <f t="shared" si="70"/>
        <v>0</v>
      </c>
      <c r="B2268" s="3">
        <f t="shared" si="71"/>
        <v>0</v>
      </c>
    </row>
    <row r="2269" spans="1:2" x14ac:dyDescent="0.25">
      <c r="A2269">
        <f t="shared" si="70"/>
        <v>0</v>
      </c>
      <c r="B2269" s="3">
        <f t="shared" si="71"/>
        <v>0</v>
      </c>
    </row>
    <row r="2270" spans="1:2" x14ac:dyDescent="0.25">
      <c r="A2270">
        <f t="shared" si="70"/>
        <v>0</v>
      </c>
      <c r="B2270" s="3">
        <f t="shared" si="71"/>
        <v>0</v>
      </c>
    </row>
    <row r="2271" spans="1:2" x14ac:dyDescent="0.25">
      <c r="A2271">
        <f t="shared" si="70"/>
        <v>0</v>
      </c>
      <c r="B2271" s="3">
        <f t="shared" si="71"/>
        <v>0</v>
      </c>
    </row>
    <row r="2272" spans="1:2" x14ac:dyDescent="0.25">
      <c r="A2272">
        <f t="shared" si="70"/>
        <v>0</v>
      </c>
      <c r="B2272" s="3">
        <f t="shared" si="71"/>
        <v>0</v>
      </c>
    </row>
    <row r="2273" spans="1:2" x14ac:dyDescent="0.25">
      <c r="A2273">
        <f t="shared" si="70"/>
        <v>0</v>
      </c>
      <c r="B2273" s="3">
        <f t="shared" si="71"/>
        <v>0</v>
      </c>
    </row>
    <row r="2274" spans="1:2" x14ac:dyDescent="0.25">
      <c r="A2274">
        <f t="shared" si="70"/>
        <v>0</v>
      </c>
      <c r="B2274" s="3">
        <f t="shared" si="71"/>
        <v>0</v>
      </c>
    </row>
    <row r="2275" spans="1:2" x14ac:dyDescent="0.25">
      <c r="A2275">
        <f t="shared" si="70"/>
        <v>0</v>
      </c>
      <c r="B2275" s="3">
        <f t="shared" si="71"/>
        <v>0</v>
      </c>
    </row>
    <row r="2276" spans="1:2" x14ac:dyDescent="0.25">
      <c r="A2276">
        <f t="shared" si="70"/>
        <v>0</v>
      </c>
      <c r="B2276" s="3">
        <f t="shared" si="71"/>
        <v>0</v>
      </c>
    </row>
    <row r="2277" spans="1:2" x14ac:dyDescent="0.25">
      <c r="A2277">
        <f t="shared" si="70"/>
        <v>0</v>
      </c>
      <c r="B2277" s="3">
        <f t="shared" si="71"/>
        <v>0</v>
      </c>
    </row>
    <row r="2278" spans="1:2" x14ac:dyDescent="0.25">
      <c r="A2278">
        <f t="shared" si="70"/>
        <v>0</v>
      </c>
      <c r="B2278" s="3">
        <f t="shared" si="71"/>
        <v>0</v>
      </c>
    </row>
    <row r="2279" spans="1:2" x14ac:dyDescent="0.25">
      <c r="A2279">
        <f t="shared" si="70"/>
        <v>0</v>
      </c>
      <c r="B2279" s="3">
        <f t="shared" si="71"/>
        <v>0</v>
      </c>
    </row>
    <row r="2280" spans="1:2" x14ac:dyDescent="0.25">
      <c r="A2280">
        <f t="shared" si="70"/>
        <v>0</v>
      </c>
      <c r="B2280" s="3">
        <f t="shared" si="71"/>
        <v>0</v>
      </c>
    </row>
    <row r="2281" spans="1:2" x14ac:dyDescent="0.25">
      <c r="A2281">
        <f t="shared" si="70"/>
        <v>0</v>
      </c>
      <c r="B2281" s="3">
        <f t="shared" si="71"/>
        <v>0</v>
      </c>
    </row>
    <row r="2282" spans="1:2" x14ac:dyDescent="0.25">
      <c r="A2282">
        <f t="shared" si="70"/>
        <v>0</v>
      </c>
      <c r="B2282" s="3">
        <f t="shared" si="71"/>
        <v>0</v>
      </c>
    </row>
    <row r="2283" spans="1:2" x14ac:dyDescent="0.25">
      <c r="A2283">
        <f t="shared" si="70"/>
        <v>0</v>
      </c>
      <c r="B2283" s="3">
        <f t="shared" si="71"/>
        <v>0</v>
      </c>
    </row>
    <row r="2284" spans="1:2" x14ac:dyDescent="0.25">
      <c r="A2284">
        <f t="shared" si="70"/>
        <v>0</v>
      </c>
      <c r="B2284" s="3">
        <f t="shared" si="71"/>
        <v>0</v>
      </c>
    </row>
    <row r="2285" spans="1:2" x14ac:dyDescent="0.25">
      <c r="A2285">
        <f t="shared" si="70"/>
        <v>0</v>
      </c>
      <c r="B2285" s="3">
        <f t="shared" si="71"/>
        <v>0</v>
      </c>
    </row>
    <row r="2286" spans="1:2" x14ac:dyDescent="0.25">
      <c r="A2286">
        <f t="shared" si="70"/>
        <v>0</v>
      </c>
      <c r="B2286" s="3">
        <f t="shared" si="71"/>
        <v>0</v>
      </c>
    </row>
    <row r="2287" spans="1:2" x14ac:dyDescent="0.25">
      <c r="A2287">
        <f t="shared" si="70"/>
        <v>0</v>
      </c>
      <c r="B2287" s="3">
        <f t="shared" si="71"/>
        <v>0</v>
      </c>
    </row>
    <row r="2288" spans="1:2" x14ac:dyDescent="0.25">
      <c r="A2288">
        <f t="shared" si="70"/>
        <v>0</v>
      </c>
      <c r="B2288" s="3">
        <f t="shared" si="71"/>
        <v>0</v>
      </c>
    </row>
    <row r="2289" spans="1:2" x14ac:dyDescent="0.25">
      <c r="A2289">
        <f t="shared" si="70"/>
        <v>0</v>
      </c>
      <c r="B2289" s="3">
        <f t="shared" si="71"/>
        <v>0</v>
      </c>
    </row>
    <row r="2290" spans="1:2" x14ac:dyDescent="0.25">
      <c r="A2290">
        <f t="shared" si="70"/>
        <v>0</v>
      </c>
      <c r="B2290" s="3">
        <f t="shared" si="71"/>
        <v>0</v>
      </c>
    </row>
    <row r="2291" spans="1:2" x14ac:dyDescent="0.25">
      <c r="A2291">
        <f t="shared" si="70"/>
        <v>0</v>
      </c>
      <c r="B2291" s="3">
        <f t="shared" si="71"/>
        <v>0</v>
      </c>
    </row>
    <row r="2292" spans="1:2" x14ac:dyDescent="0.25">
      <c r="A2292">
        <f t="shared" si="70"/>
        <v>0</v>
      </c>
      <c r="B2292" s="3">
        <f t="shared" si="71"/>
        <v>0</v>
      </c>
    </row>
    <row r="2293" spans="1:2" x14ac:dyDescent="0.25">
      <c r="A2293">
        <f t="shared" si="70"/>
        <v>0</v>
      </c>
      <c r="B2293" s="3">
        <f t="shared" si="71"/>
        <v>0</v>
      </c>
    </row>
    <row r="2294" spans="1:2" x14ac:dyDescent="0.25">
      <c r="A2294">
        <f t="shared" si="70"/>
        <v>0</v>
      </c>
      <c r="B2294" s="3">
        <f t="shared" si="71"/>
        <v>0</v>
      </c>
    </row>
    <row r="2295" spans="1:2" x14ac:dyDescent="0.25">
      <c r="A2295">
        <f t="shared" si="70"/>
        <v>0</v>
      </c>
      <c r="B2295" s="3">
        <f t="shared" si="71"/>
        <v>0</v>
      </c>
    </row>
    <row r="2296" spans="1:2" x14ac:dyDescent="0.25">
      <c r="A2296">
        <f t="shared" si="70"/>
        <v>0</v>
      </c>
      <c r="B2296" s="3">
        <f t="shared" si="71"/>
        <v>0</v>
      </c>
    </row>
    <row r="2297" spans="1:2" x14ac:dyDescent="0.25">
      <c r="A2297">
        <f t="shared" si="70"/>
        <v>0</v>
      </c>
      <c r="B2297" s="3">
        <f t="shared" si="71"/>
        <v>0</v>
      </c>
    </row>
    <row r="2298" spans="1:2" x14ac:dyDescent="0.25">
      <c r="A2298">
        <f t="shared" si="70"/>
        <v>0</v>
      </c>
      <c r="B2298" s="3">
        <f t="shared" si="71"/>
        <v>0</v>
      </c>
    </row>
    <row r="2299" spans="1:2" x14ac:dyDescent="0.25">
      <c r="A2299">
        <f t="shared" si="70"/>
        <v>0</v>
      </c>
      <c r="B2299" s="3">
        <f t="shared" si="71"/>
        <v>0</v>
      </c>
    </row>
    <row r="2300" spans="1:2" x14ac:dyDescent="0.25">
      <c r="A2300">
        <f t="shared" si="70"/>
        <v>0</v>
      </c>
      <c r="B2300" s="3">
        <f t="shared" si="71"/>
        <v>0</v>
      </c>
    </row>
    <row r="2301" spans="1:2" x14ac:dyDescent="0.25">
      <c r="A2301">
        <f t="shared" si="70"/>
        <v>0</v>
      </c>
      <c r="B2301" s="3">
        <f t="shared" si="71"/>
        <v>0</v>
      </c>
    </row>
    <row r="2302" spans="1:2" x14ac:dyDescent="0.25">
      <c r="A2302">
        <f t="shared" si="70"/>
        <v>0</v>
      </c>
      <c r="B2302" s="3">
        <f t="shared" si="71"/>
        <v>0</v>
      </c>
    </row>
    <row r="2303" spans="1:2" x14ac:dyDescent="0.25">
      <c r="A2303">
        <f t="shared" si="70"/>
        <v>0</v>
      </c>
      <c r="B2303" s="3">
        <f t="shared" si="71"/>
        <v>0</v>
      </c>
    </row>
    <row r="2304" spans="1:2" x14ac:dyDescent="0.25">
      <c r="A2304">
        <f t="shared" si="70"/>
        <v>0</v>
      </c>
      <c r="B2304" s="3">
        <f t="shared" si="71"/>
        <v>0</v>
      </c>
    </row>
    <row r="2305" spans="1:2" x14ac:dyDescent="0.25">
      <c r="A2305">
        <f t="shared" si="70"/>
        <v>0</v>
      </c>
      <c r="B2305" s="3">
        <f t="shared" si="71"/>
        <v>0</v>
      </c>
    </row>
    <row r="2306" spans="1:2" x14ac:dyDescent="0.25">
      <c r="A2306">
        <f t="shared" si="70"/>
        <v>0</v>
      </c>
      <c r="B2306" s="3">
        <f t="shared" si="71"/>
        <v>0</v>
      </c>
    </row>
    <row r="2307" spans="1:2" x14ac:dyDescent="0.25">
      <c r="A2307">
        <f t="shared" si="70"/>
        <v>0</v>
      </c>
      <c r="B2307" s="3">
        <f t="shared" si="71"/>
        <v>0</v>
      </c>
    </row>
    <row r="2308" spans="1:2" x14ac:dyDescent="0.25">
      <c r="A2308">
        <f t="shared" si="70"/>
        <v>0</v>
      </c>
      <c r="B2308" s="3">
        <f t="shared" si="71"/>
        <v>0</v>
      </c>
    </row>
    <row r="2309" spans="1:2" x14ac:dyDescent="0.25">
      <c r="A2309">
        <f t="shared" si="70"/>
        <v>0</v>
      </c>
      <c r="B2309" s="3">
        <f t="shared" si="71"/>
        <v>0</v>
      </c>
    </row>
    <row r="2310" spans="1:2" x14ac:dyDescent="0.25">
      <c r="A2310">
        <f t="shared" si="70"/>
        <v>0</v>
      </c>
      <c r="B2310" s="3">
        <f t="shared" si="71"/>
        <v>0</v>
      </c>
    </row>
    <row r="2311" spans="1:2" x14ac:dyDescent="0.25">
      <c r="A2311">
        <f t="shared" ref="A2311:A2374" si="72">IF(ISNUMBER(C2311),C2311*F2311,)</f>
        <v>0</v>
      </c>
      <c r="B2311" s="3">
        <f t="shared" ref="B2311:B2374" si="73">IF(C2311&lt;&gt;"",1,0)</f>
        <v>0</v>
      </c>
    </row>
    <row r="2312" spans="1:2" x14ac:dyDescent="0.25">
      <c r="A2312">
        <f t="shared" si="72"/>
        <v>0</v>
      </c>
      <c r="B2312" s="3">
        <f t="shared" si="73"/>
        <v>0</v>
      </c>
    </row>
    <row r="2313" spans="1:2" x14ac:dyDescent="0.25">
      <c r="A2313">
        <f t="shared" si="72"/>
        <v>0</v>
      </c>
      <c r="B2313" s="3">
        <f t="shared" si="73"/>
        <v>0</v>
      </c>
    </row>
    <row r="2314" spans="1:2" x14ac:dyDescent="0.25">
      <c r="A2314">
        <f t="shared" si="72"/>
        <v>0</v>
      </c>
      <c r="B2314" s="3">
        <f t="shared" si="73"/>
        <v>0</v>
      </c>
    </row>
    <row r="2315" spans="1:2" x14ac:dyDescent="0.25">
      <c r="A2315">
        <f t="shared" si="72"/>
        <v>0</v>
      </c>
      <c r="B2315" s="3">
        <f t="shared" si="73"/>
        <v>0</v>
      </c>
    </row>
    <row r="2316" spans="1:2" x14ac:dyDescent="0.25">
      <c r="A2316">
        <f t="shared" si="72"/>
        <v>0</v>
      </c>
      <c r="B2316" s="3">
        <f t="shared" si="73"/>
        <v>0</v>
      </c>
    </row>
    <row r="2317" spans="1:2" x14ac:dyDescent="0.25">
      <c r="A2317">
        <f t="shared" si="72"/>
        <v>0</v>
      </c>
      <c r="B2317" s="3">
        <f t="shared" si="73"/>
        <v>0</v>
      </c>
    </row>
    <row r="2318" spans="1:2" x14ac:dyDescent="0.25">
      <c r="A2318">
        <f t="shared" si="72"/>
        <v>0</v>
      </c>
      <c r="B2318" s="3">
        <f t="shared" si="73"/>
        <v>0</v>
      </c>
    </row>
    <row r="2319" spans="1:2" x14ac:dyDescent="0.25">
      <c r="A2319">
        <f t="shared" si="72"/>
        <v>0</v>
      </c>
      <c r="B2319" s="3">
        <f t="shared" si="73"/>
        <v>0</v>
      </c>
    </row>
    <row r="2320" spans="1:2" x14ac:dyDescent="0.25">
      <c r="A2320">
        <f t="shared" si="72"/>
        <v>0</v>
      </c>
      <c r="B2320" s="3">
        <f t="shared" si="73"/>
        <v>0</v>
      </c>
    </row>
    <row r="2321" spans="1:2" x14ac:dyDescent="0.25">
      <c r="A2321">
        <f t="shared" si="72"/>
        <v>0</v>
      </c>
      <c r="B2321" s="3">
        <f t="shared" si="73"/>
        <v>0</v>
      </c>
    </row>
    <row r="2322" spans="1:2" x14ac:dyDescent="0.25">
      <c r="A2322">
        <f t="shared" si="72"/>
        <v>0</v>
      </c>
      <c r="B2322" s="3">
        <f t="shared" si="73"/>
        <v>0</v>
      </c>
    </row>
    <row r="2323" spans="1:2" x14ac:dyDescent="0.25">
      <c r="A2323">
        <f t="shared" si="72"/>
        <v>0</v>
      </c>
      <c r="B2323" s="3">
        <f t="shared" si="73"/>
        <v>0</v>
      </c>
    </row>
    <row r="2324" spans="1:2" x14ac:dyDescent="0.25">
      <c r="A2324">
        <f t="shared" si="72"/>
        <v>0</v>
      </c>
      <c r="B2324" s="3">
        <f t="shared" si="73"/>
        <v>0</v>
      </c>
    </row>
    <row r="2325" spans="1:2" x14ac:dyDescent="0.25">
      <c r="A2325">
        <f t="shared" si="72"/>
        <v>0</v>
      </c>
      <c r="B2325" s="3">
        <f t="shared" si="73"/>
        <v>0</v>
      </c>
    </row>
    <row r="2326" spans="1:2" x14ac:dyDescent="0.25">
      <c r="A2326">
        <f t="shared" si="72"/>
        <v>0</v>
      </c>
      <c r="B2326" s="3">
        <f t="shared" si="73"/>
        <v>0</v>
      </c>
    </row>
    <row r="2327" spans="1:2" x14ac:dyDescent="0.25">
      <c r="A2327">
        <f t="shared" si="72"/>
        <v>0</v>
      </c>
      <c r="B2327" s="3">
        <f t="shared" si="73"/>
        <v>0</v>
      </c>
    </row>
    <row r="2328" spans="1:2" x14ac:dyDescent="0.25">
      <c r="A2328">
        <f t="shared" si="72"/>
        <v>0</v>
      </c>
      <c r="B2328" s="3">
        <f t="shared" si="73"/>
        <v>0</v>
      </c>
    </row>
    <row r="2329" spans="1:2" x14ac:dyDescent="0.25">
      <c r="A2329">
        <f t="shared" si="72"/>
        <v>0</v>
      </c>
      <c r="B2329" s="3">
        <f t="shared" si="73"/>
        <v>0</v>
      </c>
    </row>
    <row r="2330" spans="1:2" x14ac:dyDescent="0.25">
      <c r="A2330">
        <f t="shared" si="72"/>
        <v>0</v>
      </c>
      <c r="B2330" s="3">
        <f t="shared" si="73"/>
        <v>0</v>
      </c>
    </row>
    <row r="2331" spans="1:2" x14ac:dyDescent="0.25">
      <c r="A2331">
        <f t="shared" si="72"/>
        <v>0</v>
      </c>
      <c r="B2331" s="3">
        <f t="shared" si="73"/>
        <v>0</v>
      </c>
    </row>
    <row r="2332" spans="1:2" x14ac:dyDescent="0.25">
      <c r="A2332">
        <f t="shared" si="72"/>
        <v>0</v>
      </c>
      <c r="B2332" s="3">
        <f t="shared" si="73"/>
        <v>0</v>
      </c>
    </row>
    <row r="2333" spans="1:2" x14ac:dyDescent="0.25">
      <c r="A2333">
        <f t="shared" si="72"/>
        <v>0</v>
      </c>
      <c r="B2333" s="3">
        <f t="shared" si="73"/>
        <v>0</v>
      </c>
    </row>
    <row r="2334" spans="1:2" x14ac:dyDescent="0.25">
      <c r="A2334">
        <f t="shared" si="72"/>
        <v>0</v>
      </c>
      <c r="B2334" s="3">
        <f t="shared" si="73"/>
        <v>0</v>
      </c>
    </row>
    <row r="2335" spans="1:2" x14ac:dyDescent="0.25">
      <c r="A2335">
        <f t="shared" si="72"/>
        <v>0</v>
      </c>
      <c r="B2335" s="3">
        <f t="shared" si="73"/>
        <v>0</v>
      </c>
    </row>
    <row r="2336" spans="1:2" x14ac:dyDescent="0.25">
      <c r="A2336">
        <f t="shared" si="72"/>
        <v>0</v>
      </c>
      <c r="B2336" s="3">
        <f t="shared" si="73"/>
        <v>0</v>
      </c>
    </row>
    <row r="2337" spans="1:2" x14ac:dyDescent="0.25">
      <c r="A2337">
        <f t="shared" si="72"/>
        <v>0</v>
      </c>
      <c r="B2337" s="3">
        <f t="shared" si="73"/>
        <v>0</v>
      </c>
    </row>
    <row r="2338" spans="1:2" x14ac:dyDescent="0.25">
      <c r="A2338">
        <f t="shared" si="72"/>
        <v>0</v>
      </c>
      <c r="B2338" s="3">
        <f t="shared" si="73"/>
        <v>0</v>
      </c>
    </row>
    <row r="2339" spans="1:2" x14ac:dyDescent="0.25">
      <c r="A2339">
        <f t="shared" si="72"/>
        <v>0</v>
      </c>
      <c r="B2339" s="3">
        <f t="shared" si="73"/>
        <v>0</v>
      </c>
    </row>
    <row r="2340" spans="1:2" x14ac:dyDescent="0.25">
      <c r="A2340">
        <f t="shared" si="72"/>
        <v>0</v>
      </c>
      <c r="B2340" s="3">
        <f t="shared" si="73"/>
        <v>0</v>
      </c>
    </row>
    <row r="2341" spans="1:2" x14ac:dyDescent="0.25">
      <c r="A2341">
        <f t="shared" si="72"/>
        <v>0</v>
      </c>
      <c r="B2341" s="3">
        <f t="shared" si="73"/>
        <v>0</v>
      </c>
    </row>
    <row r="2342" spans="1:2" x14ac:dyDescent="0.25">
      <c r="A2342">
        <f t="shared" si="72"/>
        <v>0</v>
      </c>
      <c r="B2342" s="3">
        <f t="shared" si="73"/>
        <v>0</v>
      </c>
    </row>
    <row r="2343" spans="1:2" x14ac:dyDescent="0.25">
      <c r="A2343">
        <f t="shared" si="72"/>
        <v>0</v>
      </c>
      <c r="B2343" s="3">
        <f t="shared" si="73"/>
        <v>0</v>
      </c>
    </row>
    <row r="2344" spans="1:2" x14ac:dyDescent="0.25">
      <c r="A2344">
        <f t="shared" si="72"/>
        <v>0</v>
      </c>
      <c r="B2344" s="3">
        <f t="shared" si="73"/>
        <v>0</v>
      </c>
    </row>
    <row r="2345" spans="1:2" x14ac:dyDescent="0.25">
      <c r="A2345">
        <f t="shared" si="72"/>
        <v>0</v>
      </c>
      <c r="B2345" s="3">
        <f t="shared" si="73"/>
        <v>0</v>
      </c>
    </row>
    <row r="2346" spans="1:2" x14ac:dyDescent="0.25">
      <c r="A2346">
        <f t="shared" si="72"/>
        <v>0</v>
      </c>
      <c r="B2346" s="3">
        <f t="shared" si="73"/>
        <v>0</v>
      </c>
    </row>
    <row r="2347" spans="1:2" x14ac:dyDescent="0.25">
      <c r="A2347">
        <f t="shared" si="72"/>
        <v>0</v>
      </c>
      <c r="B2347" s="3">
        <f t="shared" si="73"/>
        <v>0</v>
      </c>
    </row>
    <row r="2348" spans="1:2" x14ac:dyDescent="0.25">
      <c r="A2348">
        <f t="shared" si="72"/>
        <v>0</v>
      </c>
      <c r="B2348" s="3">
        <f t="shared" si="73"/>
        <v>0</v>
      </c>
    </row>
    <row r="2349" spans="1:2" x14ac:dyDescent="0.25">
      <c r="A2349">
        <f t="shared" si="72"/>
        <v>0</v>
      </c>
      <c r="B2349" s="3">
        <f t="shared" si="73"/>
        <v>0</v>
      </c>
    </row>
    <row r="2350" spans="1:2" x14ac:dyDescent="0.25">
      <c r="A2350">
        <f t="shared" si="72"/>
        <v>0</v>
      </c>
      <c r="B2350" s="3">
        <f t="shared" si="73"/>
        <v>0</v>
      </c>
    </row>
    <row r="2351" spans="1:2" x14ac:dyDescent="0.25">
      <c r="A2351">
        <f t="shared" si="72"/>
        <v>0</v>
      </c>
      <c r="B2351" s="3">
        <f t="shared" si="73"/>
        <v>0</v>
      </c>
    </row>
    <row r="2352" spans="1:2" x14ac:dyDescent="0.25">
      <c r="A2352">
        <f t="shared" si="72"/>
        <v>0</v>
      </c>
      <c r="B2352" s="3">
        <f t="shared" si="73"/>
        <v>0</v>
      </c>
    </row>
    <row r="2353" spans="1:2" x14ac:dyDescent="0.25">
      <c r="A2353">
        <f t="shared" si="72"/>
        <v>0</v>
      </c>
      <c r="B2353" s="3">
        <f t="shared" si="73"/>
        <v>0</v>
      </c>
    </row>
    <row r="2354" spans="1:2" x14ac:dyDescent="0.25">
      <c r="A2354">
        <f t="shared" si="72"/>
        <v>0</v>
      </c>
      <c r="B2354" s="3">
        <f t="shared" si="73"/>
        <v>0</v>
      </c>
    </row>
    <row r="2355" spans="1:2" x14ac:dyDescent="0.25">
      <c r="A2355">
        <f t="shared" si="72"/>
        <v>0</v>
      </c>
      <c r="B2355" s="3">
        <f t="shared" si="73"/>
        <v>0</v>
      </c>
    </row>
    <row r="2356" spans="1:2" x14ac:dyDescent="0.25">
      <c r="A2356">
        <f t="shared" si="72"/>
        <v>0</v>
      </c>
      <c r="B2356" s="3">
        <f t="shared" si="73"/>
        <v>0</v>
      </c>
    </row>
    <row r="2357" spans="1:2" x14ac:dyDescent="0.25">
      <c r="A2357">
        <f t="shared" si="72"/>
        <v>0</v>
      </c>
      <c r="B2357" s="3">
        <f t="shared" si="73"/>
        <v>0</v>
      </c>
    </row>
    <row r="2358" spans="1:2" x14ac:dyDescent="0.25">
      <c r="A2358">
        <f t="shared" si="72"/>
        <v>0</v>
      </c>
      <c r="B2358" s="3">
        <f t="shared" si="73"/>
        <v>0</v>
      </c>
    </row>
    <row r="2359" spans="1:2" x14ac:dyDescent="0.25">
      <c r="A2359">
        <f t="shared" si="72"/>
        <v>0</v>
      </c>
      <c r="B2359" s="3">
        <f t="shared" si="73"/>
        <v>0</v>
      </c>
    </row>
    <row r="2360" spans="1:2" x14ac:dyDescent="0.25">
      <c r="A2360">
        <f t="shared" si="72"/>
        <v>0</v>
      </c>
      <c r="B2360" s="3">
        <f t="shared" si="73"/>
        <v>0</v>
      </c>
    </row>
    <row r="2361" spans="1:2" x14ac:dyDescent="0.25">
      <c r="A2361">
        <f t="shared" si="72"/>
        <v>0</v>
      </c>
      <c r="B2361" s="3">
        <f t="shared" si="73"/>
        <v>0</v>
      </c>
    </row>
    <row r="2362" spans="1:2" x14ac:dyDescent="0.25">
      <c r="A2362">
        <f t="shared" si="72"/>
        <v>0</v>
      </c>
      <c r="B2362" s="3">
        <f t="shared" si="73"/>
        <v>0</v>
      </c>
    </row>
    <row r="2363" spans="1:2" x14ac:dyDescent="0.25">
      <c r="A2363">
        <f t="shared" si="72"/>
        <v>0</v>
      </c>
      <c r="B2363" s="3">
        <f t="shared" si="73"/>
        <v>0</v>
      </c>
    </row>
    <row r="2364" spans="1:2" x14ac:dyDescent="0.25">
      <c r="A2364">
        <f t="shared" si="72"/>
        <v>0</v>
      </c>
      <c r="B2364" s="3">
        <f t="shared" si="73"/>
        <v>0</v>
      </c>
    </row>
    <row r="2365" spans="1:2" x14ac:dyDescent="0.25">
      <c r="A2365">
        <f t="shared" si="72"/>
        <v>0</v>
      </c>
      <c r="B2365" s="3">
        <f t="shared" si="73"/>
        <v>0</v>
      </c>
    </row>
    <row r="2366" spans="1:2" x14ac:dyDescent="0.25">
      <c r="A2366">
        <f t="shared" si="72"/>
        <v>0</v>
      </c>
      <c r="B2366" s="3">
        <f t="shared" si="73"/>
        <v>0</v>
      </c>
    </row>
    <row r="2367" spans="1:2" x14ac:dyDescent="0.25">
      <c r="A2367">
        <f t="shared" si="72"/>
        <v>0</v>
      </c>
      <c r="B2367" s="3">
        <f t="shared" si="73"/>
        <v>0</v>
      </c>
    </row>
    <row r="2368" spans="1:2" x14ac:dyDescent="0.25">
      <c r="A2368">
        <f t="shared" si="72"/>
        <v>0</v>
      </c>
      <c r="B2368" s="3">
        <f t="shared" si="73"/>
        <v>0</v>
      </c>
    </row>
    <row r="2369" spans="1:2" x14ac:dyDescent="0.25">
      <c r="A2369">
        <f t="shared" si="72"/>
        <v>0</v>
      </c>
      <c r="B2369" s="3">
        <f t="shared" si="73"/>
        <v>0</v>
      </c>
    </row>
    <row r="2370" spans="1:2" x14ac:dyDescent="0.25">
      <c r="A2370">
        <f t="shared" si="72"/>
        <v>0</v>
      </c>
      <c r="B2370" s="3">
        <f t="shared" si="73"/>
        <v>0</v>
      </c>
    </row>
    <row r="2371" spans="1:2" x14ac:dyDescent="0.25">
      <c r="A2371">
        <f t="shared" si="72"/>
        <v>0</v>
      </c>
      <c r="B2371" s="3">
        <f t="shared" si="73"/>
        <v>0</v>
      </c>
    </row>
    <row r="2372" spans="1:2" x14ac:dyDescent="0.25">
      <c r="A2372">
        <f t="shared" si="72"/>
        <v>0</v>
      </c>
      <c r="B2372" s="3">
        <f t="shared" si="73"/>
        <v>0</v>
      </c>
    </row>
    <row r="2373" spans="1:2" x14ac:dyDescent="0.25">
      <c r="A2373">
        <f t="shared" si="72"/>
        <v>0</v>
      </c>
      <c r="B2373" s="3">
        <f t="shared" si="73"/>
        <v>0</v>
      </c>
    </row>
    <row r="2374" spans="1:2" x14ac:dyDescent="0.25">
      <c r="A2374">
        <f t="shared" si="72"/>
        <v>0</v>
      </c>
      <c r="B2374" s="3">
        <f t="shared" si="73"/>
        <v>0</v>
      </c>
    </row>
    <row r="2375" spans="1:2" x14ac:dyDescent="0.25">
      <c r="A2375">
        <f t="shared" ref="A2375:A2438" si="74">IF(ISNUMBER(C2375),C2375*F2375,)</f>
        <v>0</v>
      </c>
      <c r="B2375" s="3">
        <f t="shared" ref="B2375:B2438" si="75">IF(C2375&lt;&gt;"",1,0)</f>
        <v>0</v>
      </c>
    </row>
    <row r="2376" spans="1:2" x14ac:dyDescent="0.25">
      <c r="A2376">
        <f t="shared" si="74"/>
        <v>0</v>
      </c>
      <c r="B2376" s="3">
        <f t="shared" si="75"/>
        <v>0</v>
      </c>
    </row>
    <row r="2377" spans="1:2" x14ac:dyDescent="0.25">
      <c r="A2377">
        <f t="shared" si="74"/>
        <v>0</v>
      </c>
      <c r="B2377" s="3">
        <f t="shared" si="75"/>
        <v>0</v>
      </c>
    </row>
    <row r="2378" spans="1:2" x14ac:dyDescent="0.25">
      <c r="A2378">
        <f t="shared" si="74"/>
        <v>0</v>
      </c>
      <c r="B2378" s="3">
        <f t="shared" si="75"/>
        <v>0</v>
      </c>
    </row>
    <row r="2379" spans="1:2" x14ac:dyDescent="0.25">
      <c r="A2379">
        <f t="shared" si="74"/>
        <v>0</v>
      </c>
      <c r="B2379" s="3">
        <f t="shared" si="75"/>
        <v>0</v>
      </c>
    </row>
    <row r="2380" spans="1:2" x14ac:dyDescent="0.25">
      <c r="A2380">
        <f t="shared" si="74"/>
        <v>0</v>
      </c>
      <c r="B2380" s="3">
        <f t="shared" si="75"/>
        <v>0</v>
      </c>
    </row>
    <row r="2381" spans="1:2" x14ac:dyDescent="0.25">
      <c r="A2381">
        <f t="shared" si="74"/>
        <v>0</v>
      </c>
      <c r="B2381" s="3">
        <f t="shared" si="75"/>
        <v>0</v>
      </c>
    </row>
    <row r="2382" spans="1:2" x14ac:dyDescent="0.25">
      <c r="A2382">
        <f t="shared" si="74"/>
        <v>0</v>
      </c>
      <c r="B2382" s="3">
        <f t="shared" si="75"/>
        <v>0</v>
      </c>
    </row>
    <row r="2383" spans="1:2" x14ac:dyDescent="0.25">
      <c r="A2383">
        <f t="shared" si="74"/>
        <v>0</v>
      </c>
      <c r="B2383" s="3">
        <f t="shared" si="75"/>
        <v>0</v>
      </c>
    </row>
    <row r="2384" spans="1:2" x14ac:dyDescent="0.25">
      <c r="A2384">
        <f t="shared" si="74"/>
        <v>0</v>
      </c>
      <c r="B2384" s="3">
        <f t="shared" si="75"/>
        <v>0</v>
      </c>
    </row>
    <row r="2385" spans="1:2" x14ac:dyDescent="0.25">
      <c r="A2385">
        <f t="shared" si="74"/>
        <v>0</v>
      </c>
      <c r="B2385" s="3">
        <f t="shared" si="75"/>
        <v>0</v>
      </c>
    </row>
    <row r="2386" spans="1:2" x14ac:dyDescent="0.25">
      <c r="A2386">
        <f t="shared" si="74"/>
        <v>0</v>
      </c>
      <c r="B2386" s="3">
        <f t="shared" si="75"/>
        <v>0</v>
      </c>
    </row>
    <row r="2387" spans="1:2" x14ac:dyDescent="0.25">
      <c r="A2387">
        <f t="shared" si="74"/>
        <v>0</v>
      </c>
      <c r="B2387" s="3">
        <f t="shared" si="75"/>
        <v>0</v>
      </c>
    </row>
    <row r="2388" spans="1:2" x14ac:dyDescent="0.25">
      <c r="A2388">
        <f t="shared" si="74"/>
        <v>0</v>
      </c>
      <c r="B2388" s="3">
        <f t="shared" si="75"/>
        <v>0</v>
      </c>
    </row>
    <row r="2389" spans="1:2" x14ac:dyDescent="0.25">
      <c r="A2389">
        <f t="shared" si="74"/>
        <v>0</v>
      </c>
      <c r="B2389" s="3">
        <f t="shared" si="75"/>
        <v>0</v>
      </c>
    </row>
    <row r="2390" spans="1:2" x14ac:dyDescent="0.25">
      <c r="A2390">
        <f t="shared" si="74"/>
        <v>0</v>
      </c>
      <c r="B2390" s="3">
        <f t="shared" si="75"/>
        <v>0</v>
      </c>
    </row>
    <row r="2391" spans="1:2" x14ac:dyDescent="0.25">
      <c r="A2391">
        <f t="shared" si="74"/>
        <v>0</v>
      </c>
      <c r="B2391" s="3">
        <f t="shared" si="75"/>
        <v>0</v>
      </c>
    </row>
    <row r="2392" spans="1:2" x14ac:dyDescent="0.25">
      <c r="A2392">
        <f t="shared" si="74"/>
        <v>0</v>
      </c>
      <c r="B2392" s="3">
        <f t="shared" si="75"/>
        <v>0</v>
      </c>
    </row>
    <row r="2393" spans="1:2" x14ac:dyDescent="0.25">
      <c r="A2393">
        <f t="shared" si="74"/>
        <v>0</v>
      </c>
      <c r="B2393" s="3">
        <f t="shared" si="75"/>
        <v>0</v>
      </c>
    </row>
    <row r="2394" spans="1:2" x14ac:dyDescent="0.25">
      <c r="A2394">
        <f t="shared" si="74"/>
        <v>0</v>
      </c>
      <c r="B2394" s="3">
        <f t="shared" si="75"/>
        <v>0</v>
      </c>
    </row>
    <row r="2395" spans="1:2" x14ac:dyDescent="0.25">
      <c r="A2395">
        <f t="shared" si="74"/>
        <v>0</v>
      </c>
      <c r="B2395" s="3">
        <f t="shared" si="75"/>
        <v>0</v>
      </c>
    </row>
    <row r="2396" spans="1:2" x14ac:dyDescent="0.25">
      <c r="A2396">
        <f t="shared" si="74"/>
        <v>0</v>
      </c>
      <c r="B2396" s="3">
        <f t="shared" si="75"/>
        <v>0</v>
      </c>
    </row>
    <row r="2397" spans="1:2" x14ac:dyDescent="0.25">
      <c r="A2397">
        <f t="shared" si="74"/>
        <v>0</v>
      </c>
      <c r="B2397" s="3">
        <f t="shared" si="75"/>
        <v>0</v>
      </c>
    </row>
    <row r="2398" spans="1:2" x14ac:dyDescent="0.25">
      <c r="A2398">
        <f t="shared" si="74"/>
        <v>0</v>
      </c>
      <c r="B2398" s="3">
        <f t="shared" si="75"/>
        <v>0</v>
      </c>
    </row>
    <row r="2399" spans="1:2" x14ac:dyDescent="0.25">
      <c r="A2399">
        <f t="shared" si="74"/>
        <v>0</v>
      </c>
      <c r="B2399" s="3">
        <f t="shared" si="75"/>
        <v>0</v>
      </c>
    </row>
    <row r="2400" spans="1:2" x14ac:dyDescent="0.25">
      <c r="A2400">
        <f t="shared" si="74"/>
        <v>0</v>
      </c>
      <c r="B2400" s="3">
        <f t="shared" si="75"/>
        <v>0</v>
      </c>
    </row>
    <row r="2401" spans="1:2" x14ac:dyDescent="0.25">
      <c r="A2401">
        <f t="shared" si="74"/>
        <v>0</v>
      </c>
      <c r="B2401" s="3">
        <f t="shared" si="75"/>
        <v>0</v>
      </c>
    </row>
    <row r="2402" spans="1:2" x14ac:dyDescent="0.25">
      <c r="A2402">
        <f t="shared" si="74"/>
        <v>0</v>
      </c>
      <c r="B2402" s="3">
        <f t="shared" si="75"/>
        <v>0</v>
      </c>
    </row>
    <row r="2403" spans="1:2" x14ac:dyDescent="0.25">
      <c r="A2403">
        <f t="shared" si="74"/>
        <v>0</v>
      </c>
      <c r="B2403" s="3">
        <f t="shared" si="75"/>
        <v>0</v>
      </c>
    </row>
    <row r="2404" spans="1:2" x14ac:dyDescent="0.25">
      <c r="A2404">
        <f t="shared" si="74"/>
        <v>0</v>
      </c>
      <c r="B2404" s="3">
        <f t="shared" si="75"/>
        <v>0</v>
      </c>
    </row>
    <row r="2405" spans="1:2" x14ac:dyDescent="0.25">
      <c r="A2405">
        <f t="shared" si="74"/>
        <v>0</v>
      </c>
      <c r="B2405" s="3">
        <f t="shared" si="75"/>
        <v>0</v>
      </c>
    </row>
    <row r="2406" spans="1:2" x14ac:dyDescent="0.25">
      <c r="A2406">
        <f t="shared" si="74"/>
        <v>0</v>
      </c>
      <c r="B2406" s="3">
        <f t="shared" si="75"/>
        <v>0</v>
      </c>
    </row>
    <row r="2407" spans="1:2" x14ac:dyDescent="0.25">
      <c r="A2407">
        <f t="shared" si="74"/>
        <v>0</v>
      </c>
      <c r="B2407" s="3">
        <f t="shared" si="75"/>
        <v>0</v>
      </c>
    </row>
    <row r="2408" spans="1:2" x14ac:dyDescent="0.25">
      <c r="A2408">
        <f t="shared" si="74"/>
        <v>0</v>
      </c>
      <c r="B2408" s="3">
        <f t="shared" si="75"/>
        <v>0</v>
      </c>
    </row>
    <row r="2409" spans="1:2" x14ac:dyDescent="0.25">
      <c r="A2409">
        <f t="shared" si="74"/>
        <v>0</v>
      </c>
      <c r="B2409" s="3">
        <f t="shared" si="75"/>
        <v>0</v>
      </c>
    </row>
    <row r="2410" spans="1:2" x14ac:dyDescent="0.25">
      <c r="A2410">
        <f t="shared" si="74"/>
        <v>0</v>
      </c>
      <c r="B2410" s="3">
        <f t="shared" si="75"/>
        <v>0</v>
      </c>
    </row>
    <row r="2411" spans="1:2" x14ac:dyDescent="0.25">
      <c r="A2411">
        <f t="shared" si="74"/>
        <v>0</v>
      </c>
      <c r="B2411" s="3">
        <f t="shared" si="75"/>
        <v>0</v>
      </c>
    </row>
    <row r="2412" spans="1:2" x14ac:dyDescent="0.25">
      <c r="A2412">
        <f t="shared" si="74"/>
        <v>0</v>
      </c>
      <c r="B2412" s="3">
        <f t="shared" si="75"/>
        <v>0</v>
      </c>
    </row>
    <row r="2413" spans="1:2" x14ac:dyDescent="0.25">
      <c r="A2413">
        <f t="shared" si="74"/>
        <v>0</v>
      </c>
      <c r="B2413" s="3">
        <f t="shared" si="75"/>
        <v>0</v>
      </c>
    </row>
    <row r="2414" spans="1:2" x14ac:dyDescent="0.25">
      <c r="A2414">
        <f t="shared" si="74"/>
        <v>0</v>
      </c>
      <c r="B2414" s="3">
        <f t="shared" si="75"/>
        <v>0</v>
      </c>
    </row>
    <row r="2415" spans="1:2" x14ac:dyDescent="0.25">
      <c r="A2415">
        <f t="shared" si="74"/>
        <v>0</v>
      </c>
      <c r="B2415" s="3">
        <f t="shared" si="75"/>
        <v>0</v>
      </c>
    </row>
    <row r="2416" spans="1:2" x14ac:dyDescent="0.25">
      <c r="A2416">
        <f t="shared" si="74"/>
        <v>0</v>
      </c>
      <c r="B2416" s="3">
        <f t="shared" si="75"/>
        <v>0</v>
      </c>
    </row>
    <row r="2417" spans="1:2" x14ac:dyDescent="0.25">
      <c r="A2417">
        <f t="shared" si="74"/>
        <v>0</v>
      </c>
      <c r="B2417" s="3">
        <f t="shared" si="75"/>
        <v>0</v>
      </c>
    </row>
    <row r="2418" spans="1:2" x14ac:dyDescent="0.25">
      <c r="A2418">
        <f t="shared" si="74"/>
        <v>0</v>
      </c>
      <c r="B2418" s="3">
        <f t="shared" si="75"/>
        <v>0</v>
      </c>
    </row>
    <row r="2419" spans="1:2" x14ac:dyDescent="0.25">
      <c r="A2419">
        <f t="shared" si="74"/>
        <v>0</v>
      </c>
      <c r="B2419" s="3">
        <f t="shared" si="75"/>
        <v>0</v>
      </c>
    </row>
    <row r="2420" spans="1:2" x14ac:dyDescent="0.25">
      <c r="A2420">
        <f t="shared" si="74"/>
        <v>0</v>
      </c>
      <c r="B2420" s="3">
        <f t="shared" si="75"/>
        <v>0</v>
      </c>
    </row>
    <row r="2421" spans="1:2" x14ac:dyDescent="0.25">
      <c r="A2421">
        <f t="shared" si="74"/>
        <v>0</v>
      </c>
      <c r="B2421" s="3">
        <f t="shared" si="75"/>
        <v>0</v>
      </c>
    </row>
    <row r="2422" spans="1:2" x14ac:dyDescent="0.25">
      <c r="A2422">
        <f t="shared" si="74"/>
        <v>0</v>
      </c>
      <c r="B2422" s="3">
        <f t="shared" si="75"/>
        <v>0</v>
      </c>
    </row>
    <row r="2423" spans="1:2" x14ac:dyDescent="0.25">
      <c r="A2423">
        <f t="shared" si="74"/>
        <v>0</v>
      </c>
      <c r="B2423" s="3">
        <f t="shared" si="75"/>
        <v>0</v>
      </c>
    </row>
    <row r="2424" spans="1:2" x14ac:dyDescent="0.25">
      <c r="A2424">
        <f t="shared" si="74"/>
        <v>0</v>
      </c>
      <c r="B2424" s="3">
        <f t="shared" si="75"/>
        <v>0</v>
      </c>
    </row>
    <row r="2425" spans="1:2" x14ac:dyDescent="0.25">
      <c r="A2425">
        <f t="shared" si="74"/>
        <v>0</v>
      </c>
      <c r="B2425" s="3">
        <f t="shared" si="75"/>
        <v>0</v>
      </c>
    </row>
    <row r="2426" spans="1:2" x14ac:dyDescent="0.25">
      <c r="A2426">
        <f t="shared" si="74"/>
        <v>0</v>
      </c>
      <c r="B2426" s="3">
        <f t="shared" si="75"/>
        <v>0</v>
      </c>
    </row>
    <row r="2427" spans="1:2" x14ac:dyDescent="0.25">
      <c r="A2427">
        <f t="shared" si="74"/>
        <v>0</v>
      </c>
      <c r="B2427" s="3">
        <f t="shared" si="75"/>
        <v>0</v>
      </c>
    </row>
    <row r="2428" spans="1:2" x14ac:dyDescent="0.25">
      <c r="A2428">
        <f t="shared" si="74"/>
        <v>0</v>
      </c>
      <c r="B2428" s="3">
        <f t="shared" si="75"/>
        <v>0</v>
      </c>
    </row>
    <row r="2429" spans="1:2" x14ac:dyDescent="0.25">
      <c r="A2429">
        <f t="shared" si="74"/>
        <v>0</v>
      </c>
      <c r="B2429" s="3">
        <f t="shared" si="75"/>
        <v>0</v>
      </c>
    </row>
    <row r="2430" spans="1:2" x14ac:dyDescent="0.25">
      <c r="A2430">
        <f t="shared" si="74"/>
        <v>0</v>
      </c>
      <c r="B2430" s="3">
        <f t="shared" si="75"/>
        <v>0</v>
      </c>
    </row>
    <row r="2431" spans="1:2" x14ac:dyDescent="0.25">
      <c r="A2431">
        <f t="shared" si="74"/>
        <v>0</v>
      </c>
      <c r="B2431" s="3">
        <f t="shared" si="75"/>
        <v>0</v>
      </c>
    </row>
    <row r="2432" spans="1:2" x14ac:dyDescent="0.25">
      <c r="A2432">
        <f t="shared" si="74"/>
        <v>0</v>
      </c>
      <c r="B2432" s="3">
        <f t="shared" si="75"/>
        <v>0</v>
      </c>
    </row>
    <row r="2433" spans="1:2" x14ac:dyDescent="0.25">
      <c r="A2433">
        <f t="shared" si="74"/>
        <v>0</v>
      </c>
      <c r="B2433" s="3">
        <f t="shared" si="75"/>
        <v>0</v>
      </c>
    </row>
    <row r="2434" spans="1:2" x14ac:dyDescent="0.25">
      <c r="A2434">
        <f t="shared" si="74"/>
        <v>0</v>
      </c>
      <c r="B2434" s="3">
        <f t="shared" si="75"/>
        <v>0</v>
      </c>
    </row>
    <row r="2435" spans="1:2" x14ac:dyDescent="0.25">
      <c r="A2435">
        <f t="shared" si="74"/>
        <v>0</v>
      </c>
      <c r="B2435" s="3">
        <f t="shared" si="75"/>
        <v>0</v>
      </c>
    </row>
    <row r="2436" spans="1:2" x14ac:dyDescent="0.25">
      <c r="A2436">
        <f t="shared" si="74"/>
        <v>0</v>
      </c>
      <c r="B2436" s="3">
        <f t="shared" si="75"/>
        <v>0</v>
      </c>
    </row>
    <row r="2437" spans="1:2" x14ac:dyDescent="0.25">
      <c r="A2437">
        <f t="shared" si="74"/>
        <v>0</v>
      </c>
      <c r="B2437" s="3">
        <f t="shared" si="75"/>
        <v>0</v>
      </c>
    </row>
    <row r="2438" spans="1:2" x14ac:dyDescent="0.25">
      <c r="A2438">
        <f t="shared" si="74"/>
        <v>0</v>
      </c>
      <c r="B2438" s="3">
        <f t="shared" si="75"/>
        <v>0</v>
      </c>
    </row>
    <row r="2439" spans="1:2" x14ac:dyDescent="0.25">
      <c r="A2439">
        <f t="shared" ref="A2439:A2502" si="76">IF(ISNUMBER(C2439),C2439*F2439,)</f>
        <v>0</v>
      </c>
      <c r="B2439" s="3">
        <f t="shared" ref="B2439:B2502" si="77">IF(C2439&lt;&gt;"",1,0)</f>
        <v>0</v>
      </c>
    </row>
    <row r="2440" spans="1:2" x14ac:dyDescent="0.25">
      <c r="A2440">
        <f t="shared" si="76"/>
        <v>0</v>
      </c>
      <c r="B2440" s="3">
        <f t="shared" si="77"/>
        <v>0</v>
      </c>
    </row>
    <row r="2441" spans="1:2" x14ac:dyDescent="0.25">
      <c r="A2441">
        <f t="shared" si="76"/>
        <v>0</v>
      </c>
      <c r="B2441" s="3">
        <f t="shared" si="77"/>
        <v>0</v>
      </c>
    </row>
    <row r="2442" spans="1:2" x14ac:dyDescent="0.25">
      <c r="A2442">
        <f t="shared" si="76"/>
        <v>0</v>
      </c>
      <c r="B2442" s="3">
        <f t="shared" si="77"/>
        <v>0</v>
      </c>
    </row>
    <row r="2443" spans="1:2" x14ac:dyDescent="0.25">
      <c r="A2443">
        <f t="shared" si="76"/>
        <v>0</v>
      </c>
      <c r="B2443" s="3">
        <f t="shared" si="77"/>
        <v>0</v>
      </c>
    </row>
    <row r="2444" spans="1:2" x14ac:dyDescent="0.25">
      <c r="A2444">
        <f t="shared" si="76"/>
        <v>0</v>
      </c>
      <c r="B2444" s="3">
        <f t="shared" si="77"/>
        <v>0</v>
      </c>
    </row>
    <row r="2445" spans="1:2" x14ac:dyDescent="0.25">
      <c r="A2445">
        <f t="shared" si="76"/>
        <v>0</v>
      </c>
      <c r="B2445" s="3">
        <f t="shared" si="77"/>
        <v>0</v>
      </c>
    </row>
    <row r="2446" spans="1:2" x14ac:dyDescent="0.25">
      <c r="A2446">
        <f t="shared" si="76"/>
        <v>0</v>
      </c>
      <c r="B2446" s="3">
        <f t="shared" si="77"/>
        <v>0</v>
      </c>
    </row>
    <row r="2447" spans="1:2" x14ac:dyDescent="0.25">
      <c r="A2447">
        <f t="shared" si="76"/>
        <v>0</v>
      </c>
      <c r="B2447" s="3">
        <f t="shared" si="77"/>
        <v>0</v>
      </c>
    </row>
    <row r="2448" spans="1:2" x14ac:dyDescent="0.25">
      <c r="A2448">
        <f t="shared" si="76"/>
        <v>0</v>
      </c>
      <c r="B2448" s="3">
        <f t="shared" si="77"/>
        <v>0</v>
      </c>
    </row>
    <row r="2449" spans="1:2" x14ac:dyDescent="0.25">
      <c r="A2449">
        <f t="shared" si="76"/>
        <v>0</v>
      </c>
      <c r="B2449" s="3">
        <f t="shared" si="77"/>
        <v>0</v>
      </c>
    </row>
    <row r="2450" spans="1:2" x14ac:dyDescent="0.25">
      <c r="A2450">
        <f t="shared" si="76"/>
        <v>0</v>
      </c>
      <c r="B2450" s="3">
        <f t="shared" si="77"/>
        <v>0</v>
      </c>
    </row>
    <row r="2451" spans="1:2" x14ac:dyDescent="0.25">
      <c r="A2451">
        <f t="shared" si="76"/>
        <v>0</v>
      </c>
      <c r="B2451" s="3">
        <f t="shared" si="77"/>
        <v>0</v>
      </c>
    </row>
    <row r="2452" spans="1:2" x14ac:dyDescent="0.25">
      <c r="A2452">
        <f t="shared" si="76"/>
        <v>0</v>
      </c>
      <c r="B2452" s="3">
        <f t="shared" si="77"/>
        <v>0</v>
      </c>
    </row>
    <row r="2453" spans="1:2" x14ac:dyDescent="0.25">
      <c r="A2453">
        <f t="shared" si="76"/>
        <v>0</v>
      </c>
      <c r="B2453" s="3">
        <f t="shared" si="77"/>
        <v>0</v>
      </c>
    </row>
    <row r="2454" spans="1:2" x14ac:dyDescent="0.25">
      <c r="A2454">
        <f t="shared" si="76"/>
        <v>0</v>
      </c>
      <c r="B2454" s="3">
        <f t="shared" si="77"/>
        <v>0</v>
      </c>
    </row>
    <row r="2455" spans="1:2" x14ac:dyDescent="0.25">
      <c r="A2455">
        <f t="shared" si="76"/>
        <v>0</v>
      </c>
      <c r="B2455" s="3">
        <f t="shared" si="77"/>
        <v>0</v>
      </c>
    </row>
    <row r="2456" spans="1:2" x14ac:dyDescent="0.25">
      <c r="A2456">
        <f t="shared" si="76"/>
        <v>0</v>
      </c>
      <c r="B2456" s="3">
        <f t="shared" si="77"/>
        <v>0</v>
      </c>
    </row>
    <row r="2457" spans="1:2" x14ac:dyDescent="0.25">
      <c r="A2457">
        <f t="shared" si="76"/>
        <v>0</v>
      </c>
      <c r="B2457" s="3">
        <f t="shared" si="77"/>
        <v>0</v>
      </c>
    </row>
    <row r="2458" spans="1:2" x14ac:dyDescent="0.25">
      <c r="A2458">
        <f t="shared" si="76"/>
        <v>0</v>
      </c>
      <c r="B2458" s="3">
        <f t="shared" si="77"/>
        <v>0</v>
      </c>
    </row>
    <row r="2459" spans="1:2" x14ac:dyDescent="0.25">
      <c r="A2459">
        <f t="shared" si="76"/>
        <v>0</v>
      </c>
      <c r="B2459" s="3">
        <f t="shared" si="77"/>
        <v>0</v>
      </c>
    </row>
    <row r="2460" spans="1:2" x14ac:dyDescent="0.25">
      <c r="A2460">
        <f t="shared" si="76"/>
        <v>0</v>
      </c>
      <c r="B2460" s="3">
        <f t="shared" si="77"/>
        <v>0</v>
      </c>
    </row>
    <row r="2461" spans="1:2" x14ac:dyDescent="0.25">
      <c r="A2461">
        <f t="shared" si="76"/>
        <v>0</v>
      </c>
      <c r="B2461" s="3">
        <f t="shared" si="77"/>
        <v>0</v>
      </c>
    </row>
    <row r="2462" spans="1:2" x14ac:dyDescent="0.25">
      <c r="A2462">
        <f t="shared" si="76"/>
        <v>0</v>
      </c>
      <c r="B2462" s="3">
        <f t="shared" si="77"/>
        <v>0</v>
      </c>
    </row>
    <row r="2463" spans="1:2" x14ac:dyDescent="0.25">
      <c r="A2463">
        <f t="shared" si="76"/>
        <v>0</v>
      </c>
      <c r="B2463" s="3">
        <f t="shared" si="77"/>
        <v>0</v>
      </c>
    </row>
    <row r="2464" spans="1:2" x14ac:dyDescent="0.25">
      <c r="A2464">
        <f t="shared" si="76"/>
        <v>0</v>
      </c>
      <c r="B2464" s="3">
        <f t="shared" si="77"/>
        <v>0</v>
      </c>
    </row>
    <row r="2465" spans="1:2" x14ac:dyDescent="0.25">
      <c r="A2465">
        <f t="shared" si="76"/>
        <v>0</v>
      </c>
      <c r="B2465" s="3">
        <f t="shared" si="77"/>
        <v>0</v>
      </c>
    </row>
    <row r="2466" spans="1:2" x14ac:dyDescent="0.25">
      <c r="A2466">
        <f t="shared" si="76"/>
        <v>0</v>
      </c>
      <c r="B2466" s="3">
        <f t="shared" si="77"/>
        <v>0</v>
      </c>
    </row>
    <row r="2467" spans="1:2" x14ac:dyDescent="0.25">
      <c r="A2467">
        <f t="shared" si="76"/>
        <v>0</v>
      </c>
      <c r="B2467" s="3">
        <f t="shared" si="77"/>
        <v>0</v>
      </c>
    </row>
    <row r="2468" spans="1:2" x14ac:dyDescent="0.25">
      <c r="A2468">
        <f t="shared" si="76"/>
        <v>0</v>
      </c>
      <c r="B2468" s="3">
        <f t="shared" si="77"/>
        <v>0</v>
      </c>
    </row>
    <row r="2469" spans="1:2" x14ac:dyDescent="0.25">
      <c r="A2469">
        <f t="shared" si="76"/>
        <v>0</v>
      </c>
      <c r="B2469" s="3">
        <f t="shared" si="77"/>
        <v>0</v>
      </c>
    </row>
    <row r="2470" spans="1:2" x14ac:dyDescent="0.25">
      <c r="A2470">
        <f t="shared" si="76"/>
        <v>0</v>
      </c>
      <c r="B2470" s="3">
        <f t="shared" si="77"/>
        <v>0</v>
      </c>
    </row>
    <row r="2471" spans="1:2" x14ac:dyDescent="0.25">
      <c r="A2471">
        <f t="shared" si="76"/>
        <v>0</v>
      </c>
      <c r="B2471" s="3">
        <f t="shared" si="77"/>
        <v>0</v>
      </c>
    </row>
    <row r="2472" spans="1:2" x14ac:dyDescent="0.25">
      <c r="A2472">
        <f t="shared" si="76"/>
        <v>0</v>
      </c>
      <c r="B2472" s="3">
        <f t="shared" si="77"/>
        <v>0</v>
      </c>
    </row>
    <row r="2473" spans="1:2" x14ac:dyDescent="0.25">
      <c r="A2473">
        <f t="shared" si="76"/>
        <v>0</v>
      </c>
      <c r="B2473" s="3">
        <f t="shared" si="77"/>
        <v>0</v>
      </c>
    </row>
    <row r="2474" spans="1:2" x14ac:dyDescent="0.25">
      <c r="A2474">
        <f t="shared" si="76"/>
        <v>0</v>
      </c>
      <c r="B2474" s="3">
        <f t="shared" si="77"/>
        <v>0</v>
      </c>
    </row>
    <row r="2475" spans="1:2" x14ac:dyDescent="0.25">
      <c r="A2475">
        <f t="shared" si="76"/>
        <v>0</v>
      </c>
      <c r="B2475" s="3">
        <f t="shared" si="77"/>
        <v>0</v>
      </c>
    </row>
    <row r="2476" spans="1:2" x14ac:dyDescent="0.25">
      <c r="A2476">
        <f t="shared" si="76"/>
        <v>0</v>
      </c>
      <c r="B2476" s="3">
        <f t="shared" si="77"/>
        <v>0</v>
      </c>
    </row>
    <row r="2477" spans="1:2" x14ac:dyDescent="0.25">
      <c r="A2477">
        <f t="shared" si="76"/>
        <v>0</v>
      </c>
      <c r="B2477" s="3">
        <f t="shared" si="77"/>
        <v>0</v>
      </c>
    </row>
    <row r="2478" spans="1:2" x14ac:dyDescent="0.25">
      <c r="A2478">
        <f t="shared" si="76"/>
        <v>0</v>
      </c>
      <c r="B2478" s="3">
        <f t="shared" si="77"/>
        <v>0</v>
      </c>
    </row>
    <row r="2479" spans="1:2" x14ac:dyDescent="0.25">
      <c r="A2479">
        <f t="shared" si="76"/>
        <v>0</v>
      </c>
      <c r="B2479" s="3">
        <f t="shared" si="77"/>
        <v>0</v>
      </c>
    </row>
    <row r="2480" spans="1:2" x14ac:dyDescent="0.25">
      <c r="A2480">
        <f t="shared" si="76"/>
        <v>0</v>
      </c>
      <c r="B2480" s="3">
        <f t="shared" si="77"/>
        <v>0</v>
      </c>
    </row>
    <row r="2481" spans="1:2" x14ac:dyDescent="0.25">
      <c r="A2481">
        <f t="shared" si="76"/>
        <v>0</v>
      </c>
      <c r="B2481" s="3">
        <f t="shared" si="77"/>
        <v>0</v>
      </c>
    </row>
    <row r="2482" spans="1:2" x14ac:dyDescent="0.25">
      <c r="A2482">
        <f t="shared" si="76"/>
        <v>0</v>
      </c>
      <c r="B2482" s="3">
        <f t="shared" si="77"/>
        <v>0</v>
      </c>
    </row>
    <row r="2483" spans="1:2" x14ac:dyDescent="0.25">
      <c r="A2483">
        <f t="shared" si="76"/>
        <v>0</v>
      </c>
      <c r="B2483" s="3">
        <f t="shared" si="77"/>
        <v>0</v>
      </c>
    </row>
    <row r="2484" spans="1:2" x14ac:dyDescent="0.25">
      <c r="A2484">
        <f t="shared" si="76"/>
        <v>0</v>
      </c>
      <c r="B2484" s="3">
        <f t="shared" si="77"/>
        <v>0</v>
      </c>
    </row>
    <row r="2485" spans="1:2" x14ac:dyDescent="0.25">
      <c r="A2485">
        <f t="shared" si="76"/>
        <v>0</v>
      </c>
      <c r="B2485" s="3">
        <f t="shared" si="77"/>
        <v>0</v>
      </c>
    </row>
    <row r="2486" spans="1:2" x14ac:dyDescent="0.25">
      <c r="A2486">
        <f t="shared" si="76"/>
        <v>0</v>
      </c>
      <c r="B2486" s="3">
        <f t="shared" si="77"/>
        <v>0</v>
      </c>
    </row>
    <row r="2487" spans="1:2" x14ac:dyDescent="0.25">
      <c r="A2487">
        <f t="shared" si="76"/>
        <v>0</v>
      </c>
      <c r="B2487" s="3">
        <f t="shared" si="77"/>
        <v>0</v>
      </c>
    </row>
    <row r="2488" spans="1:2" x14ac:dyDescent="0.25">
      <c r="A2488">
        <f t="shared" si="76"/>
        <v>0</v>
      </c>
      <c r="B2488" s="3">
        <f t="shared" si="77"/>
        <v>0</v>
      </c>
    </row>
    <row r="2489" spans="1:2" x14ac:dyDescent="0.25">
      <c r="A2489">
        <f t="shared" si="76"/>
        <v>0</v>
      </c>
      <c r="B2489" s="3">
        <f t="shared" si="77"/>
        <v>0</v>
      </c>
    </row>
    <row r="2490" spans="1:2" x14ac:dyDescent="0.25">
      <c r="A2490">
        <f t="shared" si="76"/>
        <v>0</v>
      </c>
      <c r="B2490" s="3">
        <f t="shared" si="77"/>
        <v>0</v>
      </c>
    </row>
    <row r="2491" spans="1:2" x14ac:dyDescent="0.25">
      <c r="A2491">
        <f t="shared" si="76"/>
        <v>0</v>
      </c>
      <c r="B2491" s="3">
        <f t="shared" si="77"/>
        <v>0</v>
      </c>
    </row>
    <row r="2492" spans="1:2" x14ac:dyDescent="0.25">
      <c r="A2492">
        <f t="shared" si="76"/>
        <v>0</v>
      </c>
      <c r="B2492" s="3">
        <f t="shared" si="77"/>
        <v>0</v>
      </c>
    </row>
    <row r="2493" spans="1:2" x14ac:dyDescent="0.25">
      <c r="A2493">
        <f t="shared" si="76"/>
        <v>0</v>
      </c>
      <c r="B2493" s="3">
        <f t="shared" si="77"/>
        <v>0</v>
      </c>
    </row>
    <row r="2494" spans="1:2" x14ac:dyDescent="0.25">
      <c r="A2494">
        <f t="shared" si="76"/>
        <v>0</v>
      </c>
      <c r="B2494" s="3">
        <f t="shared" si="77"/>
        <v>0</v>
      </c>
    </row>
    <row r="2495" spans="1:2" x14ac:dyDescent="0.25">
      <c r="A2495">
        <f t="shared" si="76"/>
        <v>0</v>
      </c>
      <c r="B2495" s="3">
        <f t="shared" si="77"/>
        <v>0</v>
      </c>
    </row>
    <row r="2496" spans="1:2" x14ac:dyDescent="0.25">
      <c r="A2496">
        <f t="shared" si="76"/>
        <v>0</v>
      </c>
      <c r="B2496" s="3">
        <f t="shared" si="77"/>
        <v>0</v>
      </c>
    </row>
    <row r="2497" spans="1:2" x14ac:dyDescent="0.25">
      <c r="A2497">
        <f t="shared" si="76"/>
        <v>0</v>
      </c>
      <c r="B2497" s="3">
        <f t="shared" si="77"/>
        <v>0</v>
      </c>
    </row>
    <row r="2498" spans="1:2" x14ac:dyDescent="0.25">
      <c r="A2498">
        <f t="shared" si="76"/>
        <v>0</v>
      </c>
      <c r="B2498" s="3">
        <f t="shared" si="77"/>
        <v>0</v>
      </c>
    </row>
    <row r="2499" spans="1:2" x14ac:dyDescent="0.25">
      <c r="A2499">
        <f t="shared" si="76"/>
        <v>0</v>
      </c>
      <c r="B2499" s="3">
        <f t="shared" si="77"/>
        <v>0</v>
      </c>
    </row>
    <row r="2500" spans="1:2" x14ac:dyDescent="0.25">
      <c r="A2500">
        <f t="shared" si="76"/>
        <v>0</v>
      </c>
      <c r="B2500" s="3">
        <f t="shared" si="77"/>
        <v>0</v>
      </c>
    </row>
    <row r="2501" spans="1:2" x14ac:dyDescent="0.25">
      <c r="A2501">
        <f t="shared" si="76"/>
        <v>0</v>
      </c>
      <c r="B2501" s="3">
        <f t="shared" si="77"/>
        <v>0</v>
      </c>
    </row>
    <row r="2502" spans="1:2" x14ac:dyDescent="0.25">
      <c r="A2502">
        <f t="shared" si="76"/>
        <v>0</v>
      </c>
      <c r="B2502" s="3">
        <f t="shared" si="77"/>
        <v>0</v>
      </c>
    </row>
    <row r="2503" spans="1:2" x14ac:dyDescent="0.25">
      <c r="A2503">
        <f t="shared" ref="A2503:A2566" si="78">IF(ISNUMBER(C2503),C2503*F2503,)</f>
        <v>0</v>
      </c>
      <c r="B2503" s="3">
        <f t="shared" ref="B2503:B2566" si="79">IF(C2503&lt;&gt;"",1,0)</f>
        <v>0</v>
      </c>
    </row>
    <row r="2504" spans="1:2" x14ac:dyDescent="0.25">
      <c r="A2504">
        <f t="shared" si="78"/>
        <v>0</v>
      </c>
      <c r="B2504" s="3">
        <f t="shared" si="79"/>
        <v>0</v>
      </c>
    </row>
    <row r="2505" spans="1:2" x14ac:dyDescent="0.25">
      <c r="A2505">
        <f t="shared" si="78"/>
        <v>0</v>
      </c>
      <c r="B2505" s="3">
        <f t="shared" si="79"/>
        <v>0</v>
      </c>
    </row>
    <row r="2506" spans="1:2" x14ac:dyDescent="0.25">
      <c r="A2506">
        <f t="shared" si="78"/>
        <v>0</v>
      </c>
      <c r="B2506" s="3">
        <f t="shared" si="79"/>
        <v>0</v>
      </c>
    </row>
    <row r="2507" spans="1:2" x14ac:dyDescent="0.25">
      <c r="A2507">
        <f t="shared" si="78"/>
        <v>0</v>
      </c>
      <c r="B2507" s="3">
        <f t="shared" si="79"/>
        <v>0</v>
      </c>
    </row>
    <row r="2508" spans="1:2" x14ac:dyDescent="0.25">
      <c r="A2508">
        <f t="shared" si="78"/>
        <v>0</v>
      </c>
      <c r="B2508" s="3">
        <f t="shared" si="79"/>
        <v>0</v>
      </c>
    </row>
    <row r="2509" spans="1:2" x14ac:dyDescent="0.25">
      <c r="A2509">
        <f t="shared" si="78"/>
        <v>0</v>
      </c>
      <c r="B2509" s="3">
        <f t="shared" si="79"/>
        <v>0</v>
      </c>
    </row>
    <row r="2510" spans="1:2" x14ac:dyDescent="0.25">
      <c r="A2510">
        <f t="shared" si="78"/>
        <v>0</v>
      </c>
      <c r="B2510" s="3">
        <f t="shared" si="79"/>
        <v>0</v>
      </c>
    </row>
    <row r="2511" spans="1:2" x14ac:dyDescent="0.25">
      <c r="A2511">
        <f t="shared" si="78"/>
        <v>0</v>
      </c>
      <c r="B2511" s="3">
        <f t="shared" si="79"/>
        <v>0</v>
      </c>
    </row>
    <row r="2512" spans="1:2" x14ac:dyDescent="0.25">
      <c r="A2512">
        <f t="shared" si="78"/>
        <v>0</v>
      </c>
      <c r="B2512" s="3">
        <f t="shared" si="79"/>
        <v>0</v>
      </c>
    </row>
    <row r="2513" spans="1:2" x14ac:dyDescent="0.25">
      <c r="A2513">
        <f t="shared" si="78"/>
        <v>0</v>
      </c>
      <c r="B2513" s="3">
        <f t="shared" si="79"/>
        <v>0</v>
      </c>
    </row>
    <row r="2514" spans="1:2" x14ac:dyDescent="0.25">
      <c r="A2514">
        <f t="shared" si="78"/>
        <v>0</v>
      </c>
      <c r="B2514" s="3">
        <f t="shared" si="79"/>
        <v>0</v>
      </c>
    </row>
    <row r="2515" spans="1:2" x14ac:dyDescent="0.25">
      <c r="A2515">
        <f t="shared" si="78"/>
        <v>0</v>
      </c>
      <c r="B2515" s="3">
        <f t="shared" si="79"/>
        <v>0</v>
      </c>
    </row>
    <row r="2516" spans="1:2" x14ac:dyDescent="0.25">
      <c r="A2516">
        <f t="shared" si="78"/>
        <v>0</v>
      </c>
      <c r="B2516" s="3">
        <f t="shared" si="79"/>
        <v>0</v>
      </c>
    </row>
    <row r="2517" spans="1:2" x14ac:dyDescent="0.25">
      <c r="A2517">
        <f t="shared" si="78"/>
        <v>0</v>
      </c>
      <c r="B2517" s="3">
        <f t="shared" si="79"/>
        <v>0</v>
      </c>
    </row>
    <row r="2518" spans="1:2" x14ac:dyDescent="0.25">
      <c r="A2518">
        <f t="shared" si="78"/>
        <v>0</v>
      </c>
      <c r="B2518" s="3">
        <f t="shared" si="79"/>
        <v>0</v>
      </c>
    </row>
    <row r="2519" spans="1:2" x14ac:dyDescent="0.25">
      <c r="A2519">
        <f t="shared" si="78"/>
        <v>0</v>
      </c>
      <c r="B2519" s="3">
        <f t="shared" si="79"/>
        <v>0</v>
      </c>
    </row>
    <row r="2520" spans="1:2" x14ac:dyDescent="0.25">
      <c r="A2520">
        <f t="shared" si="78"/>
        <v>0</v>
      </c>
      <c r="B2520" s="3">
        <f t="shared" si="79"/>
        <v>0</v>
      </c>
    </row>
    <row r="2521" spans="1:2" x14ac:dyDescent="0.25">
      <c r="A2521">
        <f t="shared" si="78"/>
        <v>0</v>
      </c>
      <c r="B2521" s="3">
        <f t="shared" si="79"/>
        <v>0</v>
      </c>
    </row>
    <row r="2522" spans="1:2" x14ac:dyDescent="0.25">
      <c r="A2522">
        <f t="shared" si="78"/>
        <v>0</v>
      </c>
      <c r="B2522" s="3">
        <f t="shared" si="79"/>
        <v>0</v>
      </c>
    </row>
    <row r="2523" spans="1:2" x14ac:dyDescent="0.25">
      <c r="A2523">
        <f t="shared" si="78"/>
        <v>0</v>
      </c>
      <c r="B2523" s="3">
        <f t="shared" si="79"/>
        <v>0</v>
      </c>
    </row>
    <row r="2524" spans="1:2" x14ac:dyDescent="0.25">
      <c r="A2524">
        <f t="shared" si="78"/>
        <v>0</v>
      </c>
      <c r="B2524" s="3">
        <f t="shared" si="79"/>
        <v>0</v>
      </c>
    </row>
    <row r="2525" spans="1:2" x14ac:dyDescent="0.25">
      <c r="A2525">
        <f t="shared" si="78"/>
        <v>0</v>
      </c>
      <c r="B2525" s="3">
        <f t="shared" si="79"/>
        <v>0</v>
      </c>
    </row>
    <row r="2526" spans="1:2" x14ac:dyDescent="0.25">
      <c r="A2526">
        <f t="shared" si="78"/>
        <v>0</v>
      </c>
      <c r="B2526" s="3">
        <f t="shared" si="79"/>
        <v>0</v>
      </c>
    </row>
    <row r="2527" spans="1:2" x14ac:dyDescent="0.25">
      <c r="A2527">
        <f t="shared" si="78"/>
        <v>0</v>
      </c>
      <c r="B2527" s="3">
        <f t="shared" si="79"/>
        <v>0</v>
      </c>
    </row>
    <row r="2528" spans="1:2" x14ac:dyDescent="0.25">
      <c r="A2528">
        <f t="shared" si="78"/>
        <v>0</v>
      </c>
      <c r="B2528" s="3">
        <f t="shared" si="79"/>
        <v>0</v>
      </c>
    </row>
    <row r="2529" spans="1:2" x14ac:dyDescent="0.25">
      <c r="A2529">
        <f t="shared" si="78"/>
        <v>0</v>
      </c>
      <c r="B2529" s="3">
        <f t="shared" si="79"/>
        <v>0</v>
      </c>
    </row>
    <row r="2530" spans="1:2" x14ac:dyDescent="0.25">
      <c r="A2530">
        <f t="shared" si="78"/>
        <v>0</v>
      </c>
      <c r="B2530" s="3">
        <f t="shared" si="79"/>
        <v>0</v>
      </c>
    </row>
    <row r="2531" spans="1:2" x14ac:dyDescent="0.25">
      <c r="A2531">
        <f t="shared" si="78"/>
        <v>0</v>
      </c>
      <c r="B2531" s="3">
        <f t="shared" si="79"/>
        <v>0</v>
      </c>
    </row>
    <row r="2532" spans="1:2" x14ac:dyDescent="0.25">
      <c r="A2532">
        <f t="shared" si="78"/>
        <v>0</v>
      </c>
      <c r="B2532" s="3">
        <f t="shared" si="79"/>
        <v>0</v>
      </c>
    </row>
    <row r="2533" spans="1:2" x14ac:dyDescent="0.25">
      <c r="A2533">
        <f t="shared" si="78"/>
        <v>0</v>
      </c>
      <c r="B2533" s="3">
        <f t="shared" si="79"/>
        <v>0</v>
      </c>
    </row>
    <row r="2534" spans="1:2" x14ac:dyDescent="0.25">
      <c r="A2534">
        <f t="shared" si="78"/>
        <v>0</v>
      </c>
      <c r="B2534" s="3">
        <f t="shared" si="79"/>
        <v>0</v>
      </c>
    </row>
    <row r="2535" spans="1:2" x14ac:dyDescent="0.25">
      <c r="A2535">
        <f t="shared" si="78"/>
        <v>0</v>
      </c>
      <c r="B2535" s="3">
        <f t="shared" si="79"/>
        <v>0</v>
      </c>
    </row>
    <row r="2536" spans="1:2" x14ac:dyDescent="0.25">
      <c r="A2536">
        <f t="shared" si="78"/>
        <v>0</v>
      </c>
      <c r="B2536" s="3">
        <f t="shared" si="79"/>
        <v>0</v>
      </c>
    </row>
    <row r="2537" spans="1:2" x14ac:dyDescent="0.25">
      <c r="A2537">
        <f t="shared" si="78"/>
        <v>0</v>
      </c>
      <c r="B2537" s="3">
        <f t="shared" si="79"/>
        <v>0</v>
      </c>
    </row>
    <row r="2538" spans="1:2" x14ac:dyDescent="0.25">
      <c r="A2538">
        <f t="shared" si="78"/>
        <v>0</v>
      </c>
      <c r="B2538" s="3">
        <f t="shared" si="79"/>
        <v>0</v>
      </c>
    </row>
    <row r="2539" spans="1:2" x14ac:dyDescent="0.25">
      <c r="A2539">
        <f t="shared" si="78"/>
        <v>0</v>
      </c>
      <c r="B2539" s="3">
        <f t="shared" si="79"/>
        <v>0</v>
      </c>
    </row>
    <row r="2540" spans="1:2" x14ac:dyDescent="0.25">
      <c r="A2540">
        <f t="shared" si="78"/>
        <v>0</v>
      </c>
      <c r="B2540" s="3">
        <f t="shared" si="79"/>
        <v>0</v>
      </c>
    </row>
    <row r="2541" spans="1:2" x14ac:dyDescent="0.25">
      <c r="A2541">
        <f t="shared" si="78"/>
        <v>0</v>
      </c>
      <c r="B2541" s="3">
        <f t="shared" si="79"/>
        <v>0</v>
      </c>
    </row>
    <row r="2542" spans="1:2" x14ac:dyDescent="0.25">
      <c r="A2542">
        <f t="shared" si="78"/>
        <v>0</v>
      </c>
      <c r="B2542" s="3">
        <f t="shared" si="79"/>
        <v>0</v>
      </c>
    </row>
    <row r="2543" spans="1:2" x14ac:dyDescent="0.25">
      <c r="A2543">
        <f t="shared" si="78"/>
        <v>0</v>
      </c>
      <c r="B2543" s="3">
        <f t="shared" si="79"/>
        <v>0</v>
      </c>
    </row>
    <row r="2544" spans="1:2" x14ac:dyDescent="0.25">
      <c r="A2544">
        <f t="shared" si="78"/>
        <v>0</v>
      </c>
      <c r="B2544" s="3">
        <f t="shared" si="79"/>
        <v>0</v>
      </c>
    </row>
    <row r="2545" spans="1:2" x14ac:dyDescent="0.25">
      <c r="A2545">
        <f t="shared" si="78"/>
        <v>0</v>
      </c>
      <c r="B2545" s="3">
        <f t="shared" si="79"/>
        <v>0</v>
      </c>
    </row>
    <row r="2546" spans="1:2" x14ac:dyDescent="0.25">
      <c r="A2546">
        <f t="shared" si="78"/>
        <v>0</v>
      </c>
      <c r="B2546" s="3">
        <f t="shared" si="79"/>
        <v>0</v>
      </c>
    </row>
    <row r="2547" spans="1:2" x14ac:dyDescent="0.25">
      <c r="A2547">
        <f t="shared" si="78"/>
        <v>0</v>
      </c>
      <c r="B2547" s="3">
        <f t="shared" si="79"/>
        <v>0</v>
      </c>
    </row>
    <row r="2548" spans="1:2" x14ac:dyDescent="0.25">
      <c r="A2548">
        <f t="shared" si="78"/>
        <v>0</v>
      </c>
      <c r="B2548" s="3">
        <f t="shared" si="79"/>
        <v>0</v>
      </c>
    </row>
    <row r="2549" spans="1:2" x14ac:dyDescent="0.25">
      <c r="A2549">
        <f t="shared" si="78"/>
        <v>0</v>
      </c>
      <c r="B2549" s="3">
        <f t="shared" si="79"/>
        <v>0</v>
      </c>
    </row>
    <row r="2550" spans="1:2" x14ac:dyDescent="0.25">
      <c r="A2550">
        <f t="shared" si="78"/>
        <v>0</v>
      </c>
      <c r="B2550" s="3">
        <f t="shared" si="79"/>
        <v>0</v>
      </c>
    </row>
    <row r="2551" spans="1:2" x14ac:dyDescent="0.25">
      <c r="A2551">
        <f t="shared" si="78"/>
        <v>0</v>
      </c>
      <c r="B2551" s="3">
        <f t="shared" si="79"/>
        <v>0</v>
      </c>
    </row>
    <row r="2552" spans="1:2" x14ac:dyDescent="0.25">
      <c r="A2552">
        <f t="shared" si="78"/>
        <v>0</v>
      </c>
      <c r="B2552" s="3">
        <f t="shared" si="79"/>
        <v>0</v>
      </c>
    </row>
    <row r="2553" spans="1:2" x14ac:dyDescent="0.25">
      <c r="A2553">
        <f t="shared" si="78"/>
        <v>0</v>
      </c>
      <c r="B2553" s="3">
        <f t="shared" si="79"/>
        <v>0</v>
      </c>
    </row>
    <row r="2554" spans="1:2" x14ac:dyDescent="0.25">
      <c r="A2554">
        <f t="shared" si="78"/>
        <v>0</v>
      </c>
      <c r="B2554" s="3">
        <f t="shared" si="79"/>
        <v>0</v>
      </c>
    </row>
    <row r="2555" spans="1:2" x14ac:dyDescent="0.25">
      <c r="A2555">
        <f t="shared" si="78"/>
        <v>0</v>
      </c>
      <c r="B2555" s="3">
        <f t="shared" si="79"/>
        <v>0</v>
      </c>
    </row>
    <row r="2556" spans="1:2" x14ac:dyDescent="0.25">
      <c r="A2556">
        <f t="shared" si="78"/>
        <v>0</v>
      </c>
      <c r="B2556" s="3">
        <f t="shared" si="79"/>
        <v>0</v>
      </c>
    </row>
    <row r="2557" spans="1:2" x14ac:dyDescent="0.25">
      <c r="A2557">
        <f t="shared" si="78"/>
        <v>0</v>
      </c>
      <c r="B2557" s="3">
        <f t="shared" si="79"/>
        <v>0</v>
      </c>
    </row>
    <row r="2558" spans="1:2" x14ac:dyDescent="0.25">
      <c r="A2558">
        <f t="shared" si="78"/>
        <v>0</v>
      </c>
      <c r="B2558" s="3">
        <f t="shared" si="79"/>
        <v>0</v>
      </c>
    </row>
    <row r="2559" spans="1:2" x14ac:dyDescent="0.25">
      <c r="A2559">
        <f t="shared" si="78"/>
        <v>0</v>
      </c>
      <c r="B2559" s="3">
        <f t="shared" si="79"/>
        <v>0</v>
      </c>
    </row>
    <row r="2560" spans="1:2" x14ac:dyDescent="0.25">
      <c r="A2560">
        <f t="shared" si="78"/>
        <v>0</v>
      </c>
      <c r="B2560" s="3">
        <f t="shared" si="79"/>
        <v>0</v>
      </c>
    </row>
    <row r="2561" spans="1:2" x14ac:dyDescent="0.25">
      <c r="A2561">
        <f t="shared" si="78"/>
        <v>0</v>
      </c>
      <c r="B2561" s="3">
        <f t="shared" si="79"/>
        <v>0</v>
      </c>
    </row>
    <row r="2562" spans="1:2" x14ac:dyDescent="0.25">
      <c r="A2562">
        <f t="shared" si="78"/>
        <v>0</v>
      </c>
      <c r="B2562" s="3">
        <f t="shared" si="79"/>
        <v>0</v>
      </c>
    </row>
    <row r="2563" spans="1:2" x14ac:dyDescent="0.25">
      <c r="A2563">
        <f t="shared" si="78"/>
        <v>0</v>
      </c>
      <c r="B2563" s="3">
        <f t="shared" si="79"/>
        <v>0</v>
      </c>
    </row>
    <row r="2564" spans="1:2" x14ac:dyDescent="0.25">
      <c r="A2564">
        <f t="shared" si="78"/>
        <v>0</v>
      </c>
      <c r="B2564" s="3">
        <f t="shared" si="79"/>
        <v>0</v>
      </c>
    </row>
    <row r="2565" spans="1:2" x14ac:dyDescent="0.25">
      <c r="A2565">
        <f t="shared" si="78"/>
        <v>0</v>
      </c>
      <c r="B2565" s="3">
        <f t="shared" si="79"/>
        <v>0</v>
      </c>
    </row>
    <row r="2566" spans="1:2" x14ac:dyDescent="0.25">
      <c r="A2566">
        <f t="shared" si="78"/>
        <v>0</v>
      </c>
      <c r="B2566" s="3">
        <f t="shared" si="79"/>
        <v>0</v>
      </c>
    </row>
    <row r="2567" spans="1:2" x14ac:dyDescent="0.25">
      <c r="A2567">
        <f t="shared" ref="A2567:A2630" si="80">IF(ISNUMBER(C2567),C2567*F2567,)</f>
        <v>0</v>
      </c>
      <c r="B2567" s="3">
        <f t="shared" ref="B2567:B2630" si="81">IF(C2567&lt;&gt;"",1,0)</f>
        <v>0</v>
      </c>
    </row>
    <row r="2568" spans="1:2" x14ac:dyDescent="0.25">
      <c r="A2568">
        <f t="shared" si="80"/>
        <v>0</v>
      </c>
      <c r="B2568" s="3">
        <f t="shared" si="81"/>
        <v>0</v>
      </c>
    </row>
    <row r="2569" spans="1:2" x14ac:dyDescent="0.25">
      <c r="A2569">
        <f t="shared" si="80"/>
        <v>0</v>
      </c>
      <c r="B2569" s="3">
        <f t="shared" si="81"/>
        <v>0</v>
      </c>
    </row>
    <row r="2570" spans="1:2" x14ac:dyDescent="0.25">
      <c r="A2570">
        <f t="shared" si="80"/>
        <v>0</v>
      </c>
      <c r="B2570" s="3">
        <f t="shared" si="81"/>
        <v>0</v>
      </c>
    </row>
    <row r="2571" spans="1:2" x14ac:dyDescent="0.25">
      <c r="A2571">
        <f t="shared" si="80"/>
        <v>0</v>
      </c>
      <c r="B2571" s="3">
        <f t="shared" si="81"/>
        <v>0</v>
      </c>
    </row>
    <row r="2572" spans="1:2" x14ac:dyDescent="0.25">
      <c r="A2572">
        <f t="shared" si="80"/>
        <v>0</v>
      </c>
      <c r="B2572" s="3">
        <f t="shared" si="81"/>
        <v>0</v>
      </c>
    </row>
    <row r="2573" spans="1:2" x14ac:dyDescent="0.25">
      <c r="A2573">
        <f t="shared" si="80"/>
        <v>0</v>
      </c>
      <c r="B2573" s="3">
        <f t="shared" si="81"/>
        <v>0</v>
      </c>
    </row>
    <row r="2574" spans="1:2" x14ac:dyDescent="0.25">
      <c r="A2574">
        <f t="shared" si="80"/>
        <v>0</v>
      </c>
      <c r="B2574" s="3">
        <f t="shared" si="81"/>
        <v>0</v>
      </c>
    </row>
    <row r="2575" spans="1:2" x14ac:dyDescent="0.25">
      <c r="A2575">
        <f t="shared" si="80"/>
        <v>0</v>
      </c>
      <c r="B2575" s="3">
        <f t="shared" si="81"/>
        <v>0</v>
      </c>
    </row>
    <row r="2576" spans="1:2" x14ac:dyDescent="0.25">
      <c r="A2576">
        <f t="shared" si="80"/>
        <v>0</v>
      </c>
      <c r="B2576" s="3">
        <f t="shared" si="81"/>
        <v>0</v>
      </c>
    </row>
    <row r="2577" spans="1:2" x14ac:dyDescent="0.25">
      <c r="A2577">
        <f t="shared" si="80"/>
        <v>0</v>
      </c>
      <c r="B2577" s="3">
        <f t="shared" si="81"/>
        <v>0</v>
      </c>
    </row>
    <row r="2578" spans="1:2" x14ac:dyDescent="0.25">
      <c r="A2578">
        <f t="shared" si="80"/>
        <v>0</v>
      </c>
      <c r="B2578" s="3">
        <f t="shared" si="81"/>
        <v>0</v>
      </c>
    </row>
    <row r="2579" spans="1:2" x14ac:dyDescent="0.25">
      <c r="A2579">
        <f t="shared" si="80"/>
        <v>0</v>
      </c>
      <c r="B2579" s="3">
        <f t="shared" si="81"/>
        <v>0</v>
      </c>
    </row>
    <row r="2580" spans="1:2" x14ac:dyDescent="0.25">
      <c r="A2580">
        <f t="shared" si="80"/>
        <v>0</v>
      </c>
      <c r="B2580" s="3">
        <f t="shared" si="81"/>
        <v>0</v>
      </c>
    </row>
    <row r="2581" spans="1:2" x14ac:dyDescent="0.25">
      <c r="A2581">
        <f t="shared" si="80"/>
        <v>0</v>
      </c>
      <c r="B2581" s="3">
        <f t="shared" si="81"/>
        <v>0</v>
      </c>
    </row>
    <row r="2582" spans="1:2" x14ac:dyDescent="0.25">
      <c r="A2582">
        <f t="shared" si="80"/>
        <v>0</v>
      </c>
      <c r="B2582" s="3">
        <f t="shared" si="81"/>
        <v>0</v>
      </c>
    </row>
    <row r="2583" spans="1:2" x14ac:dyDescent="0.25">
      <c r="A2583">
        <f t="shared" si="80"/>
        <v>0</v>
      </c>
      <c r="B2583" s="3">
        <f t="shared" si="81"/>
        <v>0</v>
      </c>
    </row>
    <row r="2584" spans="1:2" x14ac:dyDescent="0.25">
      <c r="A2584">
        <f t="shared" si="80"/>
        <v>0</v>
      </c>
      <c r="B2584" s="3">
        <f t="shared" si="81"/>
        <v>0</v>
      </c>
    </row>
    <row r="2585" spans="1:2" x14ac:dyDescent="0.25">
      <c r="A2585">
        <f t="shared" si="80"/>
        <v>0</v>
      </c>
      <c r="B2585" s="3">
        <f t="shared" si="81"/>
        <v>0</v>
      </c>
    </row>
    <row r="2586" spans="1:2" x14ac:dyDescent="0.25">
      <c r="A2586">
        <f t="shared" si="80"/>
        <v>0</v>
      </c>
      <c r="B2586" s="3">
        <f t="shared" si="81"/>
        <v>0</v>
      </c>
    </row>
    <row r="2587" spans="1:2" x14ac:dyDescent="0.25">
      <c r="A2587">
        <f t="shared" si="80"/>
        <v>0</v>
      </c>
      <c r="B2587" s="3">
        <f t="shared" si="81"/>
        <v>0</v>
      </c>
    </row>
    <row r="2588" spans="1:2" x14ac:dyDescent="0.25">
      <c r="A2588">
        <f t="shared" si="80"/>
        <v>0</v>
      </c>
      <c r="B2588" s="3">
        <f t="shared" si="81"/>
        <v>0</v>
      </c>
    </row>
    <row r="2589" spans="1:2" x14ac:dyDescent="0.25">
      <c r="A2589">
        <f t="shared" si="80"/>
        <v>0</v>
      </c>
      <c r="B2589" s="3">
        <f t="shared" si="81"/>
        <v>0</v>
      </c>
    </row>
    <row r="2590" spans="1:2" x14ac:dyDescent="0.25">
      <c r="A2590">
        <f t="shared" si="80"/>
        <v>0</v>
      </c>
      <c r="B2590" s="3">
        <f t="shared" si="81"/>
        <v>0</v>
      </c>
    </row>
    <row r="2591" spans="1:2" x14ac:dyDescent="0.25">
      <c r="A2591">
        <f t="shared" si="80"/>
        <v>0</v>
      </c>
      <c r="B2591" s="3">
        <f t="shared" si="81"/>
        <v>0</v>
      </c>
    </row>
    <row r="2592" spans="1:2" x14ac:dyDescent="0.25">
      <c r="A2592">
        <f t="shared" si="80"/>
        <v>0</v>
      </c>
      <c r="B2592" s="3">
        <f t="shared" si="81"/>
        <v>0</v>
      </c>
    </row>
    <row r="2593" spans="1:2" x14ac:dyDescent="0.25">
      <c r="A2593">
        <f t="shared" si="80"/>
        <v>0</v>
      </c>
      <c r="B2593" s="3">
        <f t="shared" si="81"/>
        <v>0</v>
      </c>
    </row>
    <row r="2594" spans="1:2" x14ac:dyDescent="0.25">
      <c r="A2594">
        <f t="shared" si="80"/>
        <v>0</v>
      </c>
      <c r="B2594" s="3">
        <f t="shared" si="81"/>
        <v>0</v>
      </c>
    </row>
    <row r="2595" spans="1:2" x14ac:dyDescent="0.25">
      <c r="A2595">
        <f t="shared" si="80"/>
        <v>0</v>
      </c>
      <c r="B2595" s="3">
        <f t="shared" si="81"/>
        <v>0</v>
      </c>
    </row>
    <row r="2596" spans="1:2" x14ac:dyDescent="0.25">
      <c r="A2596">
        <f t="shared" si="80"/>
        <v>0</v>
      </c>
      <c r="B2596" s="3">
        <f t="shared" si="81"/>
        <v>0</v>
      </c>
    </row>
    <row r="2597" spans="1:2" x14ac:dyDescent="0.25">
      <c r="A2597">
        <f t="shared" si="80"/>
        <v>0</v>
      </c>
      <c r="B2597" s="3">
        <f t="shared" si="81"/>
        <v>0</v>
      </c>
    </row>
    <row r="2598" spans="1:2" x14ac:dyDescent="0.25">
      <c r="A2598">
        <f t="shared" si="80"/>
        <v>0</v>
      </c>
      <c r="B2598" s="3">
        <f t="shared" si="81"/>
        <v>0</v>
      </c>
    </row>
    <row r="2599" spans="1:2" x14ac:dyDescent="0.25">
      <c r="A2599">
        <f t="shared" si="80"/>
        <v>0</v>
      </c>
      <c r="B2599" s="3">
        <f t="shared" si="81"/>
        <v>0</v>
      </c>
    </row>
    <row r="2600" spans="1:2" x14ac:dyDescent="0.25">
      <c r="A2600">
        <f t="shared" si="80"/>
        <v>0</v>
      </c>
      <c r="B2600" s="3">
        <f t="shared" si="81"/>
        <v>0</v>
      </c>
    </row>
    <row r="2601" spans="1:2" x14ac:dyDescent="0.25">
      <c r="A2601">
        <f t="shared" si="80"/>
        <v>0</v>
      </c>
      <c r="B2601" s="3">
        <f t="shared" si="81"/>
        <v>0</v>
      </c>
    </row>
    <row r="2602" spans="1:2" x14ac:dyDescent="0.25">
      <c r="A2602">
        <f t="shared" si="80"/>
        <v>0</v>
      </c>
      <c r="B2602" s="3">
        <f t="shared" si="81"/>
        <v>0</v>
      </c>
    </row>
    <row r="2603" spans="1:2" x14ac:dyDescent="0.25">
      <c r="A2603">
        <f t="shared" si="80"/>
        <v>0</v>
      </c>
      <c r="B2603" s="3">
        <f t="shared" si="81"/>
        <v>0</v>
      </c>
    </row>
    <row r="2604" spans="1:2" x14ac:dyDescent="0.25">
      <c r="A2604">
        <f t="shared" si="80"/>
        <v>0</v>
      </c>
      <c r="B2604" s="3">
        <f t="shared" si="81"/>
        <v>0</v>
      </c>
    </row>
    <row r="2605" spans="1:2" x14ac:dyDescent="0.25">
      <c r="A2605">
        <f t="shared" si="80"/>
        <v>0</v>
      </c>
      <c r="B2605" s="3">
        <f t="shared" si="81"/>
        <v>0</v>
      </c>
    </row>
    <row r="2606" spans="1:2" x14ac:dyDescent="0.25">
      <c r="A2606">
        <f t="shared" si="80"/>
        <v>0</v>
      </c>
      <c r="B2606" s="3">
        <f t="shared" si="81"/>
        <v>0</v>
      </c>
    </row>
    <row r="2607" spans="1:2" x14ac:dyDescent="0.25">
      <c r="A2607">
        <f t="shared" si="80"/>
        <v>0</v>
      </c>
      <c r="B2607" s="3">
        <f t="shared" si="81"/>
        <v>0</v>
      </c>
    </row>
    <row r="2608" spans="1:2" x14ac:dyDescent="0.25">
      <c r="A2608">
        <f t="shared" si="80"/>
        <v>0</v>
      </c>
      <c r="B2608" s="3">
        <f t="shared" si="81"/>
        <v>0</v>
      </c>
    </row>
    <row r="2609" spans="1:2" x14ac:dyDescent="0.25">
      <c r="A2609">
        <f t="shared" si="80"/>
        <v>0</v>
      </c>
      <c r="B2609" s="3">
        <f t="shared" si="81"/>
        <v>0</v>
      </c>
    </row>
    <row r="2610" spans="1:2" x14ac:dyDescent="0.25">
      <c r="A2610">
        <f t="shared" si="80"/>
        <v>0</v>
      </c>
      <c r="B2610" s="3">
        <f t="shared" si="81"/>
        <v>0</v>
      </c>
    </row>
    <row r="2611" spans="1:2" x14ac:dyDescent="0.25">
      <c r="A2611">
        <f t="shared" si="80"/>
        <v>0</v>
      </c>
      <c r="B2611" s="3">
        <f t="shared" si="81"/>
        <v>0</v>
      </c>
    </row>
    <row r="2612" spans="1:2" x14ac:dyDescent="0.25">
      <c r="A2612">
        <f t="shared" si="80"/>
        <v>0</v>
      </c>
      <c r="B2612" s="3">
        <f t="shared" si="81"/>
        <v>0</v>
      </c>
    </row>
    <row r="2613" spans="1:2" x14ac:dyDescent="0.25">
      <c r="A2613">
        <f t="shared" si="80"/>
        <v>0</v>
      </c>
      <c r="B2613" s="3">
        <f t="shared" si="81"/>
        <v>0</v>
      </c>
    </row>
    <row r="2614" spans="1:2" x14ac:dyDescent="0.25">
      <c r="A2614">
        <f t="shared" si="80"/>
        <v>0</v>
      </c>
      <c r="B2614" s="3">
        <f t="shared" si="81"/>
        <v>0</v>
      </c>
    </row>
    <row r="2615" spans="1:2" x14ac:dyDescent="0.25">
      <c r="A2615">
        <f t="shared" si="80"/>
        <v>0</v>
      </c>
      <c r="B2615" s="3">
        <f t="shared" si="81"/>
        <v>0</v>
      </c>
    </row>
    <row r="2616" spans="1:2" x14ac:dyDescent="0.25">
      <c r="A2616">
        <f t="shared" si="80"/>
        <v>0</v>
      </c>
      <c r="B2616" s="3">
        <f t="shared" si="81"/>
        <v>0</v>
      </c>
    </row>
    <row r="2617" spans="1:2" x14ac:dyDescent="0.25">
      <c r="A2617">
        <f t="shared" si="80"/>
        <v>0</v>
      </c>
      <c r="B2617" s="3">
        <f t="shared" si="81"/>
        <v>0</v>
      </c>
    </row>
    <row r="2618" spans="1:2" x14ac:dyDescent="0.25">
      <c r="A2618">
        <f t="shared" si="80"/>
        <v>0</v>
      </c>
      <c r="B2618" s="3">
        <f t="shared" si="81"/>
        <v>0</v>
      </c>
    </row>
    <row r="2619" spans="1:2" x14ac:dyDescent="0.25">
      <c r="A2619">
        <f t="shared" si="80"/>
        <v>0</v>
      </c>
      <c r="B2619" s="3">
        <f t="shared" si="81"/>
        <v>0</v>
      </c>
    </row>
    <row r="2620" spans="1:2" x14ac:dyDescent="0.25">
      <c r="A2620">
        <f t="shared" si="80"/>
        <v>0</v>
      </c>
      <c r="B2620" s="3">
        <f t="shared" si="81"/>
        <v>0</v>
      </c>
    </row>
    <row r="2621" spans="1:2" x14ac:dyDescent="0.25">
      <c r="A2621">
        <f t="shared" si="80"/>
        <v>0</v>
      </c>
      <c r="B2621" s="3">
        <f t="shared" si="81"/>
        <v>0</v>
      </c>
    </row>
    <row r="2622" spans="1:2" x14ac:dyDescent="0.25">
      <c r="A2622">
        <f t="shared" si="80"/>
        <v>0</v>
      </c>
      <c r="B2622" s="3">
        <f t="shared" si="81"/>
        <v>0</v>
      </c>
    </row>
    <row r="2623" spans="1:2" x14ac:dyDescent="0.25">
      <c r="A2623">
        <f t="shared" si="80"/>
        <v>0</v>
      </c>
      <c r="B2623" s="3">
        <f t="shared" si="81"/>
        <v>0</v>
      </c>
    </row>
    <row r="2624" spans="1:2" x14ac:dyDescent="0.25">
      <c r="A2624">
        <f t="shared" si="80"/>
        <v>0</v>
      </c>
      <c r="B2624" s="3">
        <f t="shared" si="81"/>
        <v>0</v>
      </c>
    </row>
    <row r="2625" spans="1:2" x14ac:dyDescent="0.25">
      <c r="A2625">
        <f t="shared" si="80"/>
        <v>0</v>
      </c>
      <c r="B2625" s="3">
        <f t="shared" si="81"/>
        <v>0</v>
      </c>
    </row>
    <row r="2626" spans="1:2" x14ac:dyDescent="0.25">
      <c r="A2626">
        <f t="shared" si="80"/>
        <v>0</v>
      </c>
      <c r="B2626" s="3">
        <f t="shared" si="81"/>
        <v>0</v>
      </c>
    </row>
    <row r="2627" spans="1:2" x14ac:dyDescent="0.25">
      <c r="A2627">
        <f t="shared" si="80"/>
        <v>0</v>
      </c>
      <c r="B2627" s="3">
        <f t="shared" si="81"/>
        <v>0</v>
      </c>
    </row>
    <row r="2628" spans="1:2" x14ac:dyDescent="0.25">
      <c r="A2628">
        <f t="shared" si="80"/>
        <v>0</v>
      </c>
      <c r="B2628" s="3">
        <f t="shared" si="81"/>
        <v>0</v>
      </c>
    </row>
    <row r="2629" spans="1:2" x14ac:dyDescent="0.25">
      <c r="A2629">
        <f t="shared" si="80"/>
        <v>0</v>
      </c>
      <c r="B2629" s="3">
        <f t="shared" si="81"/>
        <v>0</v>
      </c>
    </row>
    <row r="2630" spans="1:2" x14ac:dyDescent="0.25">
      <c r="A2630">
        <f t="shared" si="80"/>
        <v>0</v>
      </c>
      <c r="B2630" s="3">
        <f t="shared" si="81"/>
        <v>0</v>
      </c>
    </row>
    <row r="2631" spans="1:2" x14ac:dyDescent="0.25">
      <c r="A2631">
        <f t="shared" ref="A2631:A2694" si="82">IF(ISNUMBER(C2631),C2631*F2631,)</f>
        <v>0</v>
      </c>
      <c r="B2631" s="3">
        <f t="shared" ref="B2631:B2694" si="83">IF(C2631&lt;&gt;"",1,0)</f>
        <v>0</v>
      </c>
    </row>
    <row r="2632" spans="1:2" x14ac:dyDescent="0.25">
      <c r="A2632">
        <f t="shared" si="82"/>
        <v>0</v>
      </c>
      <c r="B2632" s="3">
        <f t="shared" si="83"/>
        <v>0</v>
      </c>
    </row>
    <row r="2633" spans="1:2" x14ac:dyDescent="0.25">
      <c r="A2633">
        <f t="shared" si="82"/>
        <v>0</v>
      </c>
      <c r="B2633" s="3">
        <f t="shared" si="83"/>
        <v>0</v>
      </c>
    </row>
    <row r="2634" spans="1:2" x14ac:dyDescent="0.25">
      <c r="A2634">
        <f t="shared" si="82"/>
        <v>0</v>
      </c>
      <c r="B2634" s="3">
        <f t="shared" si="83"/>
        <v>0</v>
      </c>
    </row>
    <row r="2635" spans="1:2" x14ac:dyDescent="0.25">
      <c r="A2635">
        <f t="shared" si="82"/>
        <v>0</v>
      </c>
      <c r="B2635" s="3">
        <f t="shared" si="83"/>
        <v>0</v>
      </c>
    </row>
    <row r="2636" spans="1:2" x14ac:dyDescent="0.25">
      <c r="A2636">
        <f t="shared" si="82"/>
        <v>0</v>
      </c>
      <c r="B2636" s="3">
        <f t="shared" si="83"/>
        <v>0</v>
      </c>
    </row>
    <row r="2637" spans="1:2" x14ac:dyDescent="0.25">
      <c r="A2637">
        <f t="shared" si="82"/>
        <v>0</v>
      </c>
      <c r="B2637" s="3">
        <f t="shared" si="83"/>
        <v>0</v>
      </c>
    </row>
    <row r="2638" spans="1:2" x14ac:dyDescent="0.25">
      <c r="A2638">
        <f t="shared" si="82"/>
        <v>0</v>
      </c>
      <c r="B2638" s="3">
        <f t="shared" si="83"/>
        <v>0</v>
      </c>
    </row>
    <row r="2639" spans="1:2" x14ac:dyDescent="0.25">
      <c r="A2639">
        <f t="shared" si="82"/>
        <v>0</v>
      </c>
      <c r="B2639" s="3">
        <f t="shared" si="83"/>
        <v>0</v>
      </c>
    </row>
    <row r="2640" spans="1:2" x14ac:dyDescent="0.25">
      <c r="A2640">
        <f t="shared" si="82"/>
        <v>0</v>
      </c>
      <c r="B2640" s="3">
        <f t="shared" si="83"/>
        <v>0</v>
      </c>
    </row>
    <row r="2641" spans="1:2" x14ac:dyDescent="0.25">
      <c r="A2641">
        <f t="shared" si="82"/>
        <v>0</v>
      </c>
      <c r="B2641" s="3">
        <f t="shared" si="83"/>
        <v>0</v>
      </c>
    </row>
    <row r="2642" spans="1:2" x14ac:dyDescent="0.25">
      <c r="A2642">
        <f t="shared" si="82"/>
        <v>0</v>
      </c>
      <c r="B2642" s="3">
        <f t="shared" si="83"/>
        <v>0</v>
      </c>
    </row>
    <row r="2643" spans="1:2" x14ac:dyDescent="0.25">
      <c r="A2643">
        <f t="shared" si="82"/>
        <v>0</v>
      </c>
      <c r="B2643" s="3">
        <f t="shared" si="83"/>
        <v>0</v>
      </c>
    </row>
    <row r="2644" spans="1:2" x14ac:dyDescent="0.25">
      <c r="A2644">
        <f t="shared" si="82"/>
        <v>0</v>
      </c>
      <c r="B2644" s="3">
        <f t="shared" si="83"/>
        <v>0</v>
      </c>
    </row>
    <row r="2645" spans="1:2" x14ac:dyDescent="0.25">
      <c r="A2645">
        <f t="shared" si="82"/>
        <v>0</v>
      </c>
      <c r="B2645" s="3">
        <f t="shared" si="83"/>
        <v>0</v>
      </c>
    </row>
    <row r="2646" spans="1:2" x14ac:dyDescent="0.25">
      <c r="A2646">
        <f t="shared" si="82"/>
        <v>0</v>
      </c>
      <c r="B2646" s="3">
        <f t="shared" si="83"/>
        <v>0</v>
      </c>
    </row>
    <row r="2647" spans="1:2" x14ac:dyDescent="0.25">
      <c r="A2647">
        <f t="shared" si="82"/>
        <v>0</v>
      </c>
      <c r="B2647" s="3">
        <f t="shared" si="83"/>
        <v>0</v>
      </c>
    </row>
    <row r="2648" spans="1:2" x14ac:dyDescent="0.25">
      <c r="A2648">
        <f t="shared" si="82"/>
        <v>0</v>
      </c>
      <c r="B2648" s="3">
        <f t="shared" si="83"/>
        <v>0</v>
      </c>
    </row>
    <row r="2649" spans="1:2" x14ac:dyDescent="0.25">
      <c r="A2649">
        <f t="shared" si="82"/>
        <v>0</v>
      </c>
      <c r="B2649" s="3">
        <f t="shared" si="83"/>
        <v>0</v>
      </c>
    </row>
    <row r="2650" spans="1:2" x14ac:dyDescent="0.25">
      <c r="A2650">
        <f t="shared" si="82"/>
        <v>0</v>
      </c>
      <c r="B2650" s="3">
        <f t="shared" si="83"/>
        <v>0</v>
      </c>
    </row>
    <row r="2651" spans="1:2" x14ac:dyDescent="0.25">
      <c r="A2651">
        <f t="shared" si="82"/>
        <v>0</v>
      </c>
      <c r="B2651" s="3">
        <f t="shared" si="83"/>
        <v>0</v>
      </c>
    </row>
    <row r="2652" spans="1:2" x14ac:dyDescent="0.25">
      <c r="A2652">
        <f t="shared" si="82"/>
        <v>0</v>
      </c>
      <c r="B2652" s="3">
        <f t="shared" si="83"/>
        <v>0</v>
      </c>
    </row>
    <row r="2653" spans="1:2" x14ac:dyDescent="0.25">
      <c r="A2653">
        <f t="shared" si="82"/>
        <v>0</v>
      </c>
      <c r="B2653" s="3">
        <f t="shared" si="83"/>
        <v>0</v>
      </c>
    </row>
    <row r="2654" spans="1:2" x14ac:dyDescent="0.25">
      <c r="A2654">
        <f t="shared" si="82"/>
        <v>0</v>
      </c>
      <c r="B2654" s="3">
        <f t="shared" si="83"/>
        <v>0</v>
      </c>
    </row>
    <row r="2655" spans="1:2" x14ac:dyDescent="0.25">
      <c r="A2655">
        <f t="shared" si="82"/>
        <v>0</v>
      </c>
      <c r="B2655" s="3">
        <f t="shared" si="83"/>
        <v>0</v>
      </c>
    </row>
    <row r="2656" spans="1:2" x14ac:dyDescent="0.25">
      <c r="A2656">
        <f t="shared" si="82"/>
        <v>0</v>
      </c>
      <c r="B2656" s="3">
        <f t="shared" si="83"/>
        <v>0</v>
      </c>
    </row>
    <row r="2657" spans="1:2" x14ac:dyDescent="0.25">
      <c r="A2657">
        <f t="shared" si="82"/>
        <v>0</v>
      </c>
      <c r="B2657" s="3">
        <f t="shared" si="83"/>
        <v>0</v>
      </c>
    </row>
    <row r="2658" spans="1:2" x14ac:dyDescent="0.25">
      <c r="A2658">
        <f t="shared" si="82"/>
        <v>0</v>
      </c>
      <c r="B2658" s="3">
        <f t="shared" si="83"/>
        <v>0</v>
      </c>
    </row>
    <row r="2659" spans="1:2" x14ac:dyDescent="0.25">
      <c r="A2659">
        <f t="shared" si="82"/>
        <v>0</v>
      </c>
      <c r="B2659" s="3">
        <f t="shared" si="83"/>
        <v>0</v>
      </c>
    </row>
    <row r="2660" spans="1:2" x14ac:dyDescent="0.25">
      <c r="A2660">
        <f t="shared" si="82"/>
        <v>0</v>
      </c>
      <c r="B2660" s="3">
        <f t="shared" si="83"/>
        <v>0</v>
      </c>
    </row>
    <row r="2661" spans="1:2" x14ac:dyDescent="0.25">
      <c r="A2661">
        <f t="shared" si="82"/>
        <v>0</v>
      </c>
      <c r="B2661" s="3">
        <f t="shared" si="83"/>
        <v>0</v>
      </c>
    </row>
    <row r="2662" spans="1:2" x14ac:dyDescent="0.25">
      <c r="A2662">
        <f t="shared" si="82"/>
        <v>0</v>
      </c>
      <c r="B2662" s="3">
        <f t="shared" si="83"/>
        <v>0</v>
      </c>
    </row>
    <row r="2663" spans="1:2" x14ac:dyDescent="0.25">
      <c r="A2663">
        <f t="shared" si="82"/>
        <v>0</v>
      </c>
      <c r="B2663" s="3">
        <f t="shared" si="83"/>
        <v>0</v>
      </c>
    </row>
    <row r="2664" spans="1:2" x14ac:dyDescent="0.25">
      <c r="A2664">
        <f t="shared" si="82"/>
        <v>0</v>
      </c>
      <c r="B2664" s="3">
        <f t="shared" si="83"/>
        <v>0</v>
      </c>
    </row>
    <row r="2665" spans="1:2" x14ac:dyDescent="0.25">
      <c r="A2665">
        <f t="shared" si="82"/>
        <v>0</v>
      </c>
      <c r="B2665" s="3">
        <f t="shared" si="83"/>
        <v>0</v>
      </c>
    </row>
    <row r="2666" spans="1:2" x14ac:dyDescent="0.25">
      <c r="A2666">
        <f t="shared" si="82"/>
        <v>0</v>
      </c>
      <c r="B2666" s="3">
        <f t="shared" si="83"/>
        <v>0</v>
      </c>
    </row>
    <row r="2667" spans="1:2" x14ac:dyDescent="0.25">
      <c r="A2667">
        <f t="shared" si="82"/>
        <v>0</v>
      </c>
      <c r="B2667" s="3">
        <f t="shared" si="83"/>
        <v>0</v>
      </c>
    </row>
    <row r="2668" spans="1:2" x14ac:dyDescent="0.25">
      <c r="A2668">
        <f t="shared" si="82"/>
        <v>0</v>
      </c>
      <c r="B2668" s="3">
        <f t="shared" si="83"/>
        <v>0</v>
      </c>
    </row>
    <row r="2669" spans="1:2" x14ac:dyDescent="0.25">
      <c r="A2669">
        <f t="shared" si="82"/>
        <v>0</v>
      </c>
      <c r="B2669" s="3">
        <f t="shared" si="83"/>
        <v>0</v>
      </c>
    </row>
    <row r="2670" spans="1:2" x14ac:dyDescent="0.25">
      <c r="A2670">
        <f t="shared" si="82"/>
        <v>0</v>
      </c>
      <c r="B2670" s="3">
        <f t="shared" si="83"/>
        <v>0</v>
      </c>
    </row>
    <row r="2671" spans="1:2" x14ac:dyDescent="0.25">
      <c r="A2671">
        <f t="shared" si="82"/>
        <v>0</v>
      </c>
      <c r="B2671" s="3">
        <f t="shared" si="83"/>
        <v>0</v>
      </c>
    </row>
    <row r="2672" spans="1:2" x14ac:dyDescent="0.25">
      <c r="A2672">
        <f t="shared" si="82"/>
        <v>0</v>
      </c>
      <c r="B2672" s="3">
        <f t="shared" si="83"/>
        <v>0</v>
      </c>
    </row>
    <row r="2673" spans="1:2" x14ac:dyDescent="0.25">
      <c r="A2673">
        <f t="shared" si="82"/>
        <v>0</v>
      </c>
      <c r="B2673" s="3">
        <f t="shared" si="83"/>
        <v>0</v>
      </c>
    </row>
    <row r="2674" spans="1:2" x14ac:dyDescent="0.25">
      <c r="A2674">
        <f t="shared" si="82"/>
        <v>0</v>
      </c>
      <c r="B2674" s="3">
        <f t="shared" si="83"/>
        <v>0</v>
      </c>
    </row>
    <row r="2675" spans="1:2" x14ac:dyDescent="0.25">
      <c r="A2675">
        <f t="shared" si="82"/>
        <v>0</v>
      </c>
      <c r="B2675" s="3">
        <f t="shared" si="83"/>
        <v>0</v>
      </c>
    </row>
    <row r="2676" spans="1:2" x14ac:dyDescent="0.25">
      <c r="A2676">
        <f t="shared" si="82"/>
        <v>0</v>
      </c>
      <c r="B2676" s="3">
        <f t="shared" si="83"/>
        <v>0</v>
      </c>
    </row>
    <row r="2677" spans="1:2" x14ac:dyDescent="0.25">
      <c r="A2677">
        <f t="shared" si="82"/>
        <v>0</v>
      </c>
      <c r="B2677" s="3">
        <f t="shared" si="83"/>
        <v>0</v>
      </c>
    </row>
    <row r="2678" spans="1:2" x14ac:dyDescent="0.25">
      <c r="A2678">
        <f t="shared" si="82"/>
        <v>0</v>
      </c>
      <c r="B2678" s="3">
        <f t="shared" si="83"/>
        <v>0</v>
      </c>
    </row>
    <row r="2679" spans="1:2" x14ac:dyDescent="0.25">
      <c r="A2679">
        <f t="shared" si="82"/>
        <v>0</v>
      </c>
      <c r="B2679" s="3">
        <f t="shared" si="83"/>
        <v>0</v>
      </c>
    </row>
    <row r="2680" spans="1:2" x14ac:dyDescent="0.25">
      <c r="A2680">
        <f t="shared" si="82"/>
        <v>0</v>
      </c>
      <c r="B2680" s="3">
        <f t="shared" si="83"/>
        <v>0</v>
      </c>
    </row>
    <row r="2681" spans="1:2" x14ac:dyDescent="0.25">
      <c r="A2681">
        <f t="shared" si="82"/>
        <v>0</v>
      </c>
      <c r="B2681" s="3">
        <f t="shared" si="83"/>
        <v>0</v>
      </c>
    </row>
    <row r="2682" spans="1:2" x14ac:dyDescent="0.25">
      <c r="A2682">
        <f t="shared" si="82"/>
        <v>0</v>
      </c>
      <c r="B2682" s="3">
        <f t="shared" si="83"/>
        <v>0</v>
      </c>
    </row>
    <row r="2683" spans="1:2" x14ac:dyDescent="0.25">
      <c r="A2683">
        <f t="shared" si="82"/>
        <v>0</v>
      </c>
      <c r="B2683" s="3">
        <f t="shared" si="83"/>
        <v>0</v>
      </c>
    </row>
    <row r="2684" spans="1:2" x14ac:dyDescent="0.25">
      <c r="A2684">
        <f t="shared" si="82"/>
        <v>0</v>
      </c>
      <c r="B2684" s="3">
        <f t="shared" si="83"/>
        <v>0</v>
      </c>
    </row>
    <row r="2685" spans="1:2" x14ac:dyDescent="0.25">
      <c r="A2685">
        <f t="shared" si="82"/>
        <v>0</v>
      </c>
      <c r="B2685" s="3">
        <f t="shared" si="83"/>
        <v>0</v>
      </c>
    </row>
    <row r="2686" spans="1:2" x14ac:dyDescent="0.25">
      <c r="A2686">
        <f t="shared" si="82"/>
        <v>0</v>
      </c>
      <c r="B2686" s="3">
        <f t="shared" si="83"/>
        <v>0</v>
      </c>
    </row>
    <row r="2687" spans="1:2" x14ac:dyDescent="0.25">
      <c r="A2687">
        <f t="shared" si="82"/>
        <v>0</v>
      </c>
      <c r="B2687" s="3">
        <f t="shared" si="83"/>
        <v>0</v>
      </c>
    </row>
    <row r="2688" spans="1:2" x14ac:dyDescent="0.25">
      <c r="A2688">
        <f t="shared" si="82"/>
        <v>0</v>
      </c>
      <c r="B2688" s="3">
        <f t="shared" si="83"/>
        <v>0</v>
      </c>
    </row>
    <row r="2689" spans="1:2" x14ac:dyDescent="0.25">
      <c r="A2689">
        <f t="shared" si="82"/>
        <v>0</v>
      </c>
      <c r="B2689" s="3">
        <f t="shared" si="83"/>
        <v>0</v>
      </c>
    </row>
    <row r="2690" spans="1:2" x14ac:dyDescent="0.25">
      <c r="A2690">
        <f t="shared" si="82"/>
        <v>0</v>
      </c>
      <c r="B2690" s="3">
        <f t="shared" si="83"/>
        <v>0</v>
      </c>
    </row>
    <row r="2691" spans="1:2" x14ac:dyDescent="0.25">
      <c r="A2691">
        <f t="shared" si="82"/>
        <v>0</v>
      </c>
      <c r="B2691" s="3">
        <f t="shared" si="83"/>
        <v>0</v>
      </c>
    </row>
    <row r="2692" spans="1:2" x14ac:dyDescent="0.25">
      <c r="A2692">
        <f t="shared" si="82"/>
        <v>0</v>
      </c>
      <c r="B2692" s="3">
        <f t="shared" si="83"/>
        <v>0</v>
      </c>
    </row>
    <row r="2693" spans="1:2" x14ac:dyDescent="0.25">
      <c r="A2693">
        <f t="shared" si="82"/>
        <v>0</v>
      </c>
      <c r="B2693" s="3">
        <f t="shared" si="83"/>
        <v>0</v>
      </c>
    </row>
    <row r="2694" spans="1:2" x14ac:dyDescent="0.25">
      <c r="A2694">
        <f t="shared" si="82"/>
        <v>0</v>
      </c>
      <c r="B2694" s="3">
        <f t="shared" si="83"/>
        <v>0</v>
      </c>
    </row>
    <row r="2695" spans="1:2" x14ac:dyDescent="0.25">
      <c r="A2695">
        <f t="shared" ref="A2695:A2758" si="84">IF(ISNUMBER(C2695),C2695*F2695,)</f>
        <v>0</v>
      </c>
      <c r="B2695" s="3">
        <f t="shared" ref="B2695:B2758" si="85">IF(C2695&lt;&gt;"",1,0)</f>
        <v>0</v>
      </c>
    </row>
    <row r="2696" spans="1:2" x14ac:dyDescent="0.25">
      <c r="A2696">
        <f t="shared" si="84"/>
        <v>0</v>
      </c>
      <c r="B2696" s="3">
        <f t="shared" si="85"/>
        <v>0</v>
      </c>
    </row>
    <row r="2697" spans="1:2" x14ac:dyDescent="0.25">
      <c r="A2697">
        <f t="shared" si="84"/>
        <v>0</v>
      </c>
      <c r="B2697" s="3">
        <f t="shared" si="85"/>
        <v>0</v>
      </c>
    </row>
    <row r="2698" spans="1:2" x14ac:dyDescent="0.25">
      <c r="A2698">
        <f t="shared" si="84"/>
        <v>0</v>
      </c>
      <c r="B2698" s="3">
        <f t="shared" si="85"/>
        <v>0</v>
      </c>
    </row>
    <row r="2699" spans="1:2" x14ac:dyDescent="0.25">
      <c r="A2699">
        <f t="shared" si="84"/>
        <v>0</v>
      </c>
      <c r="B2699" s="3">
        <f t="shared" si="85"/>
        <v>0</v>
      </c>
    </row>
    <row r="2700" spans="1:2" x14ac:dyDescent="0.25">
      <c r="A2700">
        <f t="shared" si="84"/>
        <v>0</v>
      </c>
      <c r="B2700" s="3">
        <f t="shared" si="85"/>
        <v>0</v>
      </c>
    </row>
    <row r="2701" spans="1:2" x14ac:dyDescent="0.25">
      <c r="A2701">
        <f t="shared" si="84"/>
        <v>0</v>
      </c>
      <c r="B2701" s="3">
        <f t="shared" si="85"/>
        <v>0</v>
      </c>
    </row>
    <row r="2702" spans="1:2" x14ac:dyDescent="0.25">
      <c r="A2702">
        <f t="shared" si="84"/>
        <v>0</v>
      </c>
      <c r="B2702" s="3">
        <f t="shared" si="85"/>
        <v>0</v>
      </c>
    </row>
    <row r="2703" spans="1:2" x14ac:dyDescent="0.25">
      <c r="A2703">
        <f t="shared" si="84"/>
        <v>0</v>
      </c>
      <c r="B2703" s="3">
        <f t="shared" si="85"/>
        <v>0</v>
      </c>
    </row>
    <row r="2704" spans="1:2" x14ac:dyDescent="0.25">
      <c r="A2704">
        <f t="shared" si="84"/>
        <v>0</v>
      </c>
      <c r="B2704" s="3">
        <f t="shared" si="85"/>
        <v>0</v>
      </c>
    </row>
    <row r="2705" spans="1:2" x14ac:dyDescent="0.25">
      <c r="A2705">
        <f t="shared" si="84"/>
        <v>0</v>
      </c>
      <c r="B2705" s="3">
        <f t="shared" si="85"/>
        <v>0</v>
      </c>
    </row>
    <row r="2706" spans="1:2" x14ac:dyDescent="0.25">
      <c r="A2706">
        <f t="shared" si="84"/>
        <v>0</v>
      </c>
      <c r="B2706" s="3">
        <f t="shared" si="85"/>
        <v>0</v>
      </c>
    </row>
    <row r="2707" spans="1:2" x14ac:dyDescent="0.25">
      <c r="A2707">
        <f t="shared" si="84"/>
        <v>0</v>
      </c>
      <c r="B2707" s="3">
        <f t="shared" si="85"/>
        <v>0</v>
      </c>
    </row>
    <row r="2708" spans="1:2" x14ac:dyDescent="0.25">
      <c r="A2708">
        <f t="shared" si="84"/>
        <v>0</v>
      </c>
      <c r="B2708" s="3">
        <f t="shared" si="85"/>
        <v>0</v>
      </c>
    </row>
    <row r="2709" spans="1:2" x14ac:dyDescent="0.25">
      <c r="A2709">
        <f t="shared" si="84"/>
        <v>0</v>
      </c>
      <c r="B2709" s="3">
        <f t="shared" si="85"/>
        <v>0</v>
      </c>
    </row>
    <row r="2710" spans="1:2" x14ac:dyDescent="0.25">
      <c r="A2710">
        <f t="shared" si="84"/>
        <v>0</v>
      </c>
      <c r="B2710" s="3">
        <f t="shared" si="85"/>
        <v>0</v>
      </c>
    </row>
    <row r="2711" spans="1:2" x14ac:dyDescent="0.25">
      <c r="A2711">
        <f t="shared" si="84"/>
        <v>0</v>
      </c>
      <c r="B2711" s="3">
        <f t="shared" si="85"/>
        <v>0</v>
      </c>
    </row>
    <row r="2712" spans="1:2" x14ac:dyDescent="0.25">
      <c r="A2712">
        <f t="shared" si="84"/>
        <v>0</v>
      </c>
      <c r="B2712" s="3">
        <f t="shared" si="85"/>
        <v>0</v>
      </c>
    </row>
    <row r="2713" spans="1:2" x14ac:dyDescent="0.25">
      <c r="A2713">
        <f t="shared" si="84"/>
        <v>0</v>
      </c>
      <c r="B2713" s="3">
        <f t="shared" si="85"/>
        <v>0</v>
      </c>
    </row>
    <row r="2714" spans="1:2" x14ac:dyDescent="0.25">
      <c r="A2714">
        <f t="shared" si="84"/>
        <v>0</v>
      </c>
      <c r="B2714" s="3">
        <f t="shared" si="85"/>
        <v>0</v>
      </c>
    </row>
    <row r="2715" spans="1:2" x14ac:dyDescent="0.25">
      <c r="A2715">
        <f t="shared" si="84"/>
        <v>0</v>
      </c>
      <c r="B2715" s="3">
        <f t="shared" si="85"/>
        <v>0</v>
      </c>
    </row>
    <row r="2716" spans="1:2" x14ac:dyDescent="0.25">
      <c r="A2716">
        <f t="shared" si="84"/>
        <v>0</v>
      </c>
      <c r="B2716" s="3">
        <f t="shared" si="85"/>
        <v>0</v>
      </c>
    </row>
    <row r="2717" spans="1:2" x14ac:dyDescent="0.25">
      <c r="A2717">
        <f t="shared" si="84"/>
        <v>0</v>
      </c>
      <c r="B2717" s="3">
        <f t="shared" si="85"/>
        <v>0</v>
      </c>
    </row>
    <row r="2718" spans="1:2" x14ac:dyDescent="0.25">
      <c r="A2718">
        <f t="shared" si="84"/>
        <v>0</v>
      </c>
      <c r="B2718" s="3">
        <f t="shared" si="85"/>
        <v>0</v>
      </c>
    </row>
    <row r="2719" spans="1:2" x14ac:dyDescent="0.25">
      <c r="A2719">
        <f t="shared" si="84"/>
        <v>0</v>
      </c>
      <c r="B2719" s="3">
        <f t="shared" si="85"/>
        <v>0</v>
      </c>
    </row>
    <row r="2720" spans="1:2" x14ac:dyDescent="0.25">
      <c r="A2720">
        <f t="shared" si="84"/>
        <v>0</v>
      </c>
      <c r="B2720" s="3">
        <f t="shared" si="85"/>
        <v>0</v>
      </c>
    </row>
    <row r="2721" spans="1:2" x14ac:dyDescent="0.25">
      <c r="A2721">
        <f t="shared" si="84"/>
        <v>0</v>
      </c>
      <c r="B2721" s="3">
        <f t="shared" si="85"/>
        <v>0</v>
      </c>
    </row>
    <row r="2722" spans="1:2" x14ac:dyDescent="0.25">
      <c r="A2722">
        <f t="shared" si="84"/>
        <v>0</v>
      </c>
      <c r="B2722" s="3">
        <f t="shared" si="85"/>
        <v>0</v>
      </c>
    </row>
    <row r="2723" spans="1:2" x14ac:dyDescent="0.25">
      <c r="A2723">
        <f t="shared" si="84"/>
        <v>0</v>
      </c>
      <c r="B2723" s="3">
        <f t="shared" si="85"/>
        <v>0</v>
      </c>
    </row>
    <row r="2724" spans="1:2" x14ac:dyDescent="0.25">
      <c r="A2724">
        <f t="shared" si="84"/>
        <v>0</v>
      </c>
      <c r="B2724" s="3">
        <f t="shared" si="85"/>
        <v>0</v>
      </c>
    </row>
    <row r="2725" spans="1:2" x14ac:dyDescent="0.25">
      <c r="A2725">
        <f t="shared" si="84"/>
        <v>0</v>
      </c>
      <c r="B2725" s="3">
        <f t="shared" si="85"/>
        <v>0</v>
      </c>
    </row>
    <row r="2726" spans="1:2" x14ac:dyDescent="0.25">
      <c r="A2726">
        <f t="shared" si="84"/>
        <v>0</v>
      </c>
      <c r="B2726" s="3">
        <f t="shared" si="85"/>
        <v>0</v>
      </c>
    </row>
    <row r="2727" spans="1:2" x14ac:dyDescent="0.25">
      <c r="A2727">
        <f t="shared" si="84"/>
        <v>0</v>
      </c>
      <c r="B2727" s="3">
        <f t="shared" si="85"/>
        <v>0</v>
      </c>
    </row>
    <row r="2728" spans="1:2" x14ac:dyDescent="0.25">
      <c r="A2728">
        <f t="shared" si="84"/>
        <v>0</v>
      </c>
      <c r="B2728" s="3">
        <f t="shared" si="85"/>
        <v>0</v>
      </c>
    </row>
    <row r="2729" spans="1:2" x14ac:dyDescent="0.25">
      <c r="A2729">
        <f t="shared" si="84"/>
        <v>0</v>
      </c>
      <c r="B2729" s="3">
        <f t="shared" si="85"/>
        <v>0</v>
      </c>
    </row>
    <row r="2730" spans="1:2" x14ac:dyDescent="0.25">
      <c r="A2730">
        <f t="shared" si="84"/>
        <v>0</v>
      </c>
      <c r="B2730" s="3">
        <f t="shared" si="85"/>
        <v>0</v>
      </c>
    </row>
    <row r="2731" spans="1:2" x14ac:dyDescent="0.25">
      <c r="A2731">
        <f t="shared" si="84"/>
        <v>0</v>
      </c>
      <c r="B2731" s="3">
        <f t="shared" si="85"/>
        <v>0</v>
      </c>
    </row>
    <row r="2732" spans="1:2" x14ac:dyDescent="0.25">
      <c r="A2732">
        <f t="shared" si="84"/>
        <v>0</v>
      </c>
      <c r="B2732" s="3">
        <f t="shared" si="85"/>
        <v>0</v>
      </c>
    </row>
    <row r="2733" spans="1:2" x14ac:dyDescent="0.25">
      <c r="A2733">
        <f t="shared" si="84"/>
        <v>0</v>
      </c>
      <c r="B2733" s="3">
        <f t="shared" si="85"/>
        <v>0</v>
      </c>
    </row>
    <row r="2734" spans="1:2" x14ac:dyDescent="0.25">
      <c r="A2734">
        <f t="shared" si="84"/>
        <v>0</v>
      </c>
      <c r="B2734" s="3">
        <f t="shared" si="85"/>
        <v>0</v>
      </c>
    </row>
    <row r="2735" spans="1:2" x14ac:dyDescent="0.25">
      <c r="A2735">
        <f t="shared" si="84"/>
        <v>0</v>
      </c>
      <c r="B2735" s="3">
        <f t="shared" si="85"/>
        <v>0</v>
      </c>
    </row>
    <row r="2736" spans="1:2" x14ac:dyDescent="0.25">
      <c r="A2736">
        <f t="shared" si="84"/>
        <v>0</v>
      </c>
      <c r="B2736" s="3">
        <f t="shared" si="85"/>
        <v>0</v>
      </c>
    </row>
    <row r="2737" spans="1:2" x14ac:dyDescent="0.25">
      <c r="A2737">
        <f t="shared" si="84"/>
        <v>0</v>
      </c>
      <c r="B2737" s="3">
        <f t="shared" si="85"/>
        <v>0</v>
      </c>
    </row>
    <row r="2738" spans="1:2" x14ac:dyDescent="0.25">
      <c r="A2738">
        <f t="shared" si="84"/>
        <v>0</v>
      </c>
      <c r="B2738" s="3">
        <f t="shared" si="85"/>
        <v>0</v>
      </c>
    </row>
    <row r="2739" spans="1:2" x14ac:dyDescent="0.25">
      <c r="A2739">
        <f t="shared" si="84"/>
        <v>0</v>
      </c>
      <c r="B2739" s="3">
        <f t="shared" si="85"/>
        <v>0</v>
      </c>
    </row>
    <row r="2740" spans="1:2" x14ac:dyDescent="0.25">
      <c r="A2740">
        <f t="shared" si="84"/>
        <v>0</v>
      </c>
      <c r="B2740" s="3">
        <f t="shared" si="85"/>
        <v>0</v>
      </c>
    </row>
    <row r="2741" spans="1:2" x14ac:dyDescent="0.25">
      <c r="A2741">
        <f t="shared" si="84"/>
        <v>0</v>
      </c>
      <c r="B2741" s="3">
        <f t="shared" si="85"/>
        <v>0</v>
      </c>
    </row>
    <row r="2742" spans="1:2" x14ac:dyDescent="0.25">
      <c r="A2742">
        <f t="shared" si="84"/>
        <v>0</v>
      </c>
      <c r="B2742" s="3">
        <f t="shared" si="85"/>
        <v>0</v>
      </c>
    </row>
    <row r="2743" spans="1:2" x14ac:dyDescent="0.25">
      <c r="A2743">
        <f t="shared" si="84"/>
        <v>0</v>
      </c>
      <c r="B2743" s="3">
        <f t="shared" si="85"/>
        <v>0</v>
      </c>
    </row>
    <row r="2744" spans="1:2" x14ac:dyDescent="0.25">
      <c r="A2744">
        <f t="shared" si="84"/>
        <v>0</v>
      </c>
      <c r="B2744" s="3">
        <f t="shared" si="85"/>
        <v>0</v>
      </c>
    </row>
    <row r="2745" spans="1:2" x14ac:dyDescent="0.25">
      <c r="A2745">
        <f t="shared" si="84"/>
        <v>0</v>
      </c>
      <c r="B2745" s="3">
        <f t="shared" si="85"/>
        <v>0</v>
      </c>
    </row>
    <row r="2746" spans="1:2" x14ac:dyDescent="0.25">
      <c r="A2746">
        <f t="shared" si="84"/>
        <v>0</v>
      </c>
      <c r="B2746" s="3">
        <f t="shared" si="85"/>
        <v>0</v>
      </c>
    </row>
    <row r="2747" spans="1:2" x14ac:dyDescent="0.25">
      <c r="A2747">
        <f t="shared" si="84"/>
        <v>0</v>
      </c>
      <c r="B2747" s="3">
        <f t="shared" si="85"/>
        <v>0</v>
      </c>
    </row>
    <row r="2748" spans="1:2" x14ac:dyDescent="0.25">
      <c r="A2748">
        <f t="shared" si="84"/>
        <v>0</v>
      </c>
      <c r="B2748" s="3">
        <f t="shared" si="85"/>
        <v>0</v>
      </c>
    </row>
    <row r="2749" spans="1:2" x14ac:dyDescent="0.25">
      <c r="A2749">
        <f t="shared" si="84"/>
        <v>0</v>
      </c>
      <c r="B2749" s="3">
        <f t="shared" si="85"/>
        <v>0</v>
      </c>
    </row>
    <row r="2750" spans="1:2" x14ac:dyDescent="0.25">
      <c r="A2750">
        <f t="shared" si="84"/>
        <v>0</v>
      </c>
      <c r="B2750" s="3">
        <f t="shared" si="85"/>
        <v>0</v>
      </c>
    </row>
    <row r="2751" spans="1:2" x14ac:dyDescent="0.25">
      <c r="A2751">
        <f t="shared" si="84"/>
        <v>0</v>
      </c>
      <c r="B2751" s="3">
        <f t="shared" si="85"/>
        <v>0</v>
      </c>
    </row>
    <row r="2752" spans="1:2" x14ac:dyDescent="0.25">
      <c r="A2752">
        <f t="shared" si="84"/>
        <v>0</v>
      </c>
      <c r="B2752" s="3">
        <f t="shared" si="85"/>
        <v>0</v>
      </c>
    </row>
    <row r="2753" spans="1:2" x14ac:dyDescent="0.25">
      <c r="A2753">
        <f t="shared" si="84"/>
        <v>0</v>
      </c>
      <c r="B2753" s="3">
        <f t="shared" si="85"/>
        <v>0</v>
      </c>
    </row>
    <row r="2754" spans="1:2" x14ac:dyDescent="0.25">
      <c r="A2754">
        <f t="shared" si="84"/>
        <v>0</v>
      </c>
      <c r="B2754" s="3">
        <f t="shared" si="85"/>
        <v>0</v>
      </c>
    </row>
    <row r="2755" spans="1:2" x14ac:dyDescent="0.25">
      <c r="A2755">
        <f t="shared" si="84"/>
        <v>0</v>
      </c>
      <c r="B2755" s="3">
        <f t="shared" si="85"/>
        <v>0</v>
      </c>
    </row>
    <row r="2756" spans="1:2" x14ac:dyDescent="0.25">
      <c r="A2756">
        <f t="shared" si="84"/>
        <v>0</v>
      </c>
      <c r="B2756" s="3">
        <f t="shared" si="85"/>
        <v>0</v>
      </c>
    </row>
    <row r="2757" spans="1:2" x14ac:dyDescent="0.25">
      <c r="A2757">
        <f t="shared" si="84"/>
        <v>0</v>
      </c>
      <c r="B2757" s="3">
        <f t="shared" si="85"/>
        <v>0</v>
      </c>
    </row>
    <row r="2758" spans="1:2" x14ac:dyDescent="0.25">
      <c r="A2758">
        <f t="shared" si="84"/>
        <v>0</v>
      </c>
      <c r="B2758" s="3">
        <f t="shared" si="85"/>
        <v>0</v>
      </c>
    </row>
    <row r="2759" spans="1:2" x14ac:dyDescent="0.25">
      <c r="A2759">
        <f t="shared" ref="A2759:A2822" si="86">IF(ISNUMBER(C2759),C2759*F2759,)</f>
        <v>0</v>
      </c>
      <c r="B2759" s="3">
        <f t="shared" ref="B2759:B2822" si="87">IF(C2759&lt;&gt;"",1,0)</f>
        <v>0</v>
      </c>
    </row>
    <row r="2760" spans="1:2" x14ac:dyDescent="0.25">
      <c r="A2760">
        <f t="shared" si="86"/>
        <v>0</v>
      </c>
      <c r="B2760" s="3">
        <f t="shared" si="87"/>
        <v>0</v>
      </c>
    </row>
    <row r="2761" spans="1:2" x14ac:dyDescent="0.25">
      <c r="A2761">
        <f t="shared" si="86"/>
        <v>0</v>
      </c>
      <c r="B2761" s="3">
        <f t="shared" si="87"/>
        <v>0</v>
      </c>
    </row>
    <row r="2762" spans="1:2" x14ac:dyDescent="0.25">
      <c r="A2762">
        <f t="shared" si="86"/>
        <v>0</v>
      </c>
      <c r="B2762" s="3">
        <f t="shared" si="87"/>
        <v>0</v>
      </c>
    </row>
    <row r="2763" spans="1:2" x14ac:dyDescent="0.25">
      <c r="A2763">
        <f t="shared" si="86"/>
        <v>0</v>
      </c>
      <c r="B2763" s="3">
        <f t="shared" si="87"/>
        <v>0</v>
      </c>
    </row>
    <row r="2764" spans="1:2" x14ac:dyDescent="0.25">
      <c r="A2764">
        <f t="shared" si="86"/>
        <v>0</v>
      </c>
      <c r="B2764" s="3">
        <f t="shared" si="87"/>
        <v>0</v>
      </c>
    </row>
    <row r="2765" spans="1:2" x14ac:dyDescent="0.25">
      <c r="A2765">
        <f t="shared" si="86"/>
        <v>0</v>
      </c>
      <c r="B2765" s="3">
        <f t="shared" si="87"/>
        <v>0</v>
      </c>
    </row>
    <row r="2766" spans="1:2" x14ac:dyDescent="0.25">
      <c r="A2766">
        <f t="shared" si="86"/>
        <v>0</v>
      </c>
      <c r="B2766" s="3">
        <f t="shared" si="87"/>
        <v>0</v>
      </c>
    </row>
    <row r="2767" spans="1:2" x14ac:dyDescent="0.25">
      <c r="A2767">
        <f t="shared" si="86"/>
        <v>0</v>
      </c>
      <c r="B2767" s="3">
        <f t="shared" si="87"/>
        <v>0</v>
      </c>
    </row>
    <row r="2768" spans="1:2" x14ac:dyDescent="0.25">
      <c r="A2768">
        <f t="shared" si="86"/>
        <v>0</v>
      </c>
      <c r="B2768" s="3">
        <f t="shared" si="87"/>
        <v>0</v>
      </c>
    </row>
    <row r="2769" spans="1:2" x14ac:dyDescent="0.25">
      <c r="A2769">
        <f t="shared" si="86"/>
        <v>0</v>
      </c>
      <c r="B2769" s="3">
        <f t="shared" si="87"/>
        <v>0</v>
      </c>
    </row>
    <row r="2770" spans="1:2" x14ac:dyDescent="0.25">
      <c r="A2770">
        <f t="shared" si="86"/>
        <v>0</v>
      </c>
      <c r="B2770" s="3">
        <f t="shared" si="87"/>
        <v>0</v>
      </c>
    </row>
    <row r="2771" spans="1:2" x14ac:dyDescent="0.25">
      <c r="A2771">
        <f t="shared" si="86"/>
        <v>0</v>
      </c>
      <c r="B2771" s="3">
        <f t="shared" si="87"/>
        <v>0</v>
      </c>
    </row>
    <row r="2772" spans="1:2" x14ac:dyDescent="0.25">
      <c r="A2772">
        <f t="shared" si="86"/>
        <v>0</v>
      </c>
      <c r="B2772" s="3">
        <f t="shared" si="87"/>
        <v>0</v>
      </c>
    </row>
    <row r="2773" spans="1:2" x14ac:dyDescent="0.25">
      <c r="A2773">
        <f t="shared" si="86"/>
        <v>0</v>
      </c>
      <c r="B2773" s="3">
        <f t="shared" si="87"/>
        <v>0</v>
      </c>
    </row>
    <row r="2774" spans="1:2" x14ac:dyDescent="0.25">
      <c r="A2774">
        <f t="shared" si="86"/>
        <v>0</v>
      </c>
      <c r="B2774" s="3">
        <f t="shared" si="87"/>
        <v>0</v>
      </c>
    </row>
    <row r="2775" spans="1:2" x14ac:dyDescent="0.25">
      <c r="A2775">
        <f t="shared" si="86"/>
        <v>0</v>
      </c>
      <c r="B2775" s="3">
        <f t="shared" si="87"/>
        <v>0</v>
      </c>
    </row>
    <row r="2776" spans="1:2" x14ac:dyDescent="0.25">
      <c r="A2776">
        <f t="shared" si="86"/>
        <v>0</v>
      </c>
      <c r="B2776" s="3">
        <f t="shared" si="87"/>
        <v>0</v>
      </c>
    </row>
    <row r="2777" spans="1:2" x14ac:dyDescent="0.25">
      <c r="A2777">
        <f t="shared" si="86"/>
        <v>0</v>
      </c>
      <c r="B2777" s="3">
        <f t="shared" si="87"/>
        <v>0</v>
      </c>
    </row>
    <row r="2778" spans="1:2" x14ac:dyDescent="0.25">
      <c r="A2778">
        <f t="shared" si="86"/>
        <v>0</v>
      </c>
      <c r="B2778" s="3">
        <f t="shared" si="87"/>
        <v>0</v>
      </c>
    </row>
    <row r="2779" spans="1:2" x14ac:dyDescent="0.25">
      <c r="A2779">
        <f t="shared" si="86"/>
        <v>0</v>
      </c>
      <c r="B2779" s="3">
        <f t="shared" si="87"/>
        <v>0</v>
      </c>
    </row>
    <row r="2780" spans="1:2" x14ac:dyDescent="0.25">
      <c r="A2780">
        <f t="shared" si="86"/>
        <v>0</v>
      </c>
      <c r="B2780" s="3">
        <f t="shared" si="87"/>
        <v>0</v>
      </c>
    </row>
    <row r="2781" spans="1:2" x14ac:dyDescent="0.25">
      <c r="A2781">
        <f t="shared" si="86"/>
        <v>0</v>
      </c>
      <c r="B2781" s="3">
        <f t="shared" si="87"/>
        <v>0</v>
      </c>
    </row>
    <row r="2782" spans="1:2" x14ac:dyDescent="0.25">
      <c r="A2782">
        <f t="shared" si="86"/>
        <v>0</v>
      </c>
      <c r="B2782" s="3">
        <f t="shared" si="87"/>
        <v>0</v>
      </c>
    </row>
    <row r="2783" spans="1:2" x14ac:dyDescent="0.25">
      <c r="A2783">
        <f t="shared" si="86"/>
        <v>0</v>
      </c>
      <c r="B2783" s="3">
        <f t="shared" si="87"/>
        <v>0</v>
      </c>
    </row>
    <row r="2784" spans="1:2" x14ac:dyDescent="0.25">
      <c r="A2784">
        <f t="shared" si="86"/>
        <v>0</v>
      </c>
      <c r="B2784" s="3">
        <f t="shared" si="87"/>
        <v>0</v>
      </c>
    </row>
    <row r="2785" spans="1:2" x14ac:dyDescent="0.25">
      <c r="A2785">
        <f t="shared" si="86"/>
        <v>0</v>
      </c>
      <c r="B2785" s="3">
        <f t="shared" si="87"/>
        <v>0</v>
      </c>
    </row>
    <row r="2786" spans="1:2" x14ac:dyDescent="0.25">
      <c r="A2786">
        <f t="shared" si="86"/>
        <v>0</v>
      </c>
      <c r="B2786" s="3">
        <f t="shared" si="87"/>
        <v>0</v>
      </c>
    </row>
    <row r="2787" spans="1:2" x14ac:dyDescent="0.25">
      <c r="A2787">
        <f t="shared" si="86"/>
        <v>0</v>
      </c>
      <c r="B2787" s="3">
        <f t="shared" si="87"/>
        <v>0</v>
      </c>
    </row>
    <row r="2788" spans="1:2" x14ac:dyDescent="0.25">
      <c r="A2788">
        <f t="shared" si="86"/>
        <v>0</v>
      </c>
      <c r="B2788" s="3">
        <f t="shared" si="87"/>
        <v>0</v>
      </c>
    </row>
    <row r="2789" spans="1:2" x14ac:dyDescent="0.25">
      <c r="A2789">
        <f t="shared" si="86"/>
        <v>0</v>
      </c>
      <c r="B2789" s="3">
        <f t="shared" si="87"/>
        <v>0</v>
      </c>
    </row>
    <row r="2790" spans="1:2" x14ac:dyDescent="0.25">
      <c r="A2790">
        <f t="shared" si="86"/>
        <v>0</v>
      </c>
      <c r="B2790" s="3">
        <f t="shared" si="87"/>
        <v>0</v>
      </c>
    </row>
    <row r="2791" spans="1:2" x14ac:dyDescent="0.25">
      <c r="A2791">
        <f t="shared" si="86"/>
        <v>0</v>
      </c>
      <c r="B2791" s="3">
        <f t="shared" si="87"/>
        <v>0</v>
      </c>
    </row>
    <row r="2792" spans="1:2" x14ac:dyDescent="0.25">
      <c r="A2792">
        <f t="shared" si="86"/>
        <v>0</v>
      </c>
      <c r="B2792" s="3">
        <f t="shared" si="87"/>
        <v>0</v>
      </c>
    </row>
    <row r="2793" spans="1:2" x14ac:dyDescent="0.25">
      <c r="A2793">
        <f t="shared" si="86"/>
        <v>0</v>
      </c>
      <c r="B2793" s="3">
        <f t="shared" si="87"/>
        <v>0</v>
      </c>
    </row>
    <row r="2794" spans="1:2" x14ac:dyDescent="0.25">
      <c r="A2794">
        <f t="shared" si="86"/>
        <v>0</v>
      </c>
      <c r="B2794" s="3">
        <f t="shared" si="87"/>
        <v>0</v>
      </c>
    </row>
    <row r="2795" spans="1:2" x14ac:dyDescent="0.25">
      <c r="A2795">
        <f t="shared" si="86"/>
        <v>0</v>
      </c>
      <c r="B2795" s="3">
        <f t="shared" si="87"/>
        <v>0</v>
      </c>
    </row>
    <row r="2796" spans="1:2" x14ac:dyDescent="0.25">
      <c r="A2796">
        <f t="shared" si="86"/>
        <v>0</v>
      </c>
      <c r="B2796" s="3">
        <f t="shared" si="87"/>
        <v>0</v>
      </c>
    </row>
    <row r="2797" spans="1:2" x14ac:dyDescent="0.25">
      <c r="A2797">
        <f t="shared" si="86"/>
        <v>0</v>
      </c>
      <c r="B2797" s="3">
        <f t="shared" si="87"/>
        <v>0</v>
      </c>
    </row>
    <row r="2798" spans="1:2" x14ac:dyDescent="0.25">
      <c r="A2798">
        <f t="shared" si="86"/>
        <v>0</v>
      </c>
      <c r="B2798" s="3">
        <f t="shared" si="87"/>
        <v>0</v>
      </c>
    </row>
    <row r="2799" spans="1:2" x14ac:dyDescent="0.25">
      <c r="A2799">
        <f t="shared" si="86"/>
        <v>0</v>
      </c>
      <c r="B2799" s="3">
        <f t="shared" si="87"/>
        <v>0</v>
      </c>
    </row>
    <row r="2800" spans="1:2" x14ac:dyDescent="0.25">
      <c r="A2800">
        <f t="shared" si="86"/>
        <v>0</v>
      </c>
      <c r="B2800" s="3">
        <f t="shared" si="87"/>
        <v>0</v>
      </c>
    </row>
    <row r="2801" spans="1:2" x14ac:dyDescent="0.25">
      <c r="A2801">
        <f t="shared" si="86"/>
        <v>0</v>
      </c>
      <c r="B2801" s="3">
        <f t="shared" si="87"/>
        <v>0</v>
      </c>
    </row>
    <row r="2802" spans="1:2" x14ac:dyDescent="0.25">
      <c r="A2802">
        <f t="shared" si="86"/>
        <v>0</v>
      </c>
      <c r="B2802" s="3">
        <f t="shared" si="87"/>
        <v>0</v>
      </c>
    </row>
    <row r="2803" spans="1:2" x14ac:dyDescent="0.25">
      <c r="A2803">
        <f t="shared" si="86"/>
        <v>0</v>
      </c>
      <c r="B2803" s="3">
        <f t="shared" si="87"/>
        <v>0</v>
      </c>
    </row>
    <row r="2804" spans="1:2" x14ac:dyDescent="0.25">
      <c r="A2804">
        <f t="shared" si="86"/>
        <v>0</v>
      </c>
      <c r="B2804" s="3">
        <f t="shared" si="87"/>
        <v>0</v>
      </c>
    </row>
    <row r="2805" spans="1:2" x14ac:dyDescent="0.25">
      <c r="A2805">
        <f t="shared" si="86"/>
        <v>0</v>
      </c>
      <c r="B2805" s="3">
        <f t="shared" si="87"/>
        <v>0</v>
      </c>
    </row>
    <row r="2806" spans="1:2" x14ac:dyDescent="0.25">
      <c r="A2806">
        <f t="shared" si="86"/>
        <v>0</v>
      </c>
      <c r="B2806" s="3">
        <f t="shared" si="87"/>
        <v>0</v>
      </c>
    </row>
    <row r="2807" spans="1:2" x14ac:dyDescent="0.25">
      <c r="A2807">
        <f t="shared" si="86"/>
        <v>0</v>
      </c>
      <c r="B2807" s="3">
        <f t="shared" si="87"/>
        <v>0</v>
      </c>
    </row>
    <row r="2808" spans="1:2" x14ac:dyDescent="0.25">
      <c r="A2808">
        <f t="shared" si="86"/>
        <v>0</v>
      </c>
      <c r="B2808" s="3">
        <f t="shared" si="87"/>
        <v>0</v>
      </c>
    </row>
    <row r="2809" spans="1:2" x14ac:dyDescent="0.25">
      <c r="A2809">
        <f t="shared" si="86"/>
        <v>0</v>
      </c>
      <c r="B2809" s="3">
        <f t="shared" si="87"/>
        <v>0</v>
      </c>
    </row>
    <row r="2810" spans="1:2" x14ac:dyDescent="0.25">
      <c r="A2810">
        <f t="shared" si="86"/>
        <v>0</v>
      </c>
      <c r="B2810" s="3">
        <f t="shared" si="87"/>
        <v>0</v>
      </c>
    </row>
    <row r="2811" spans="1:2" x14ac:dyDescent="0.25">
      <c r="A2811">
        <f t="shared" si="86"/>
        <v>0</v>
      </c>
      <c r="B2811" s="3">
        <f t="shared" si="87"/>
        <v>0</v>
      </c>
    </row>
    <row r="2812" spans="1:2" x14ac:dyDescent="0.25">
      <c r="A2812">
        <f t="shared" si="86"/>
        <v>0</v>
      </c>
      <c r="B2812" s="3">
        <f t="shared" si="87"/>
        <v>0</v>
      </c>
    </row>
    <row r="2813" spans="1:2" x14ac:dyDescent="0.25">
      <c r="A2813">
        <f t="shared" si="86"/>
        <v>0</v>
      </c>
      <c r="B2813" s="3">
        <f t="shared" si="87"/>
        <v>0</v>
      </c>
    </row>
    <row r="2814" spans="1:2" x14ac:dyDescent="0.25">
      <c r="A2814">
        <f t="shared" si="86"/>
        <v>0</v>
      </c>
      <c r="B2814" s="3">
        <f t="shared" si="87"/>
        <v>0</v>
      </c>
    </row>
    <row r="2815" spans="1:2" x14ac:dyDescent="0.25">
      <c r="A2815">
        <f t="shared" si="86"/>
        <v>0</v>
      </c>
      <c r="B2815" s="3">
        <f t="shared" si="87"/>
        <v>0</v>
      </c>
    </row>
    <row r="2816" spans="1:2" x14ac:dyDescent="0.25">
      <c r="A2816">
        <f t="shared" si="86"/>
        <v>0</v>
      </c>
      <c r="B2816" s="3">
        <f t="shared" si="87"/>
        <v>0</v>
      </c>
    </row>
    <row r="2817" spans="1:2" x14ac:dyDescent="0.25">
      <c r="A2817">
        <f t="shared" si="86"/>
        <v>0</v>
      </c>
      <c r="B2817" s="3">
        <f t="shared" si="87"/>
        <v>0</v>
      </c>
    </row>
    <row r="2818" spans="1:2" x14ac:dyDescent="0.25">
      <c r="A2818">
        <f t="shared" si="86"/>
        <v>0</v>
      </c>
      <c r="B2818" s="3">
        <f t="shared" si="87"/>
        <v>0</v>
      </c>
    </row>
    <row r="2819" spans="1:2" x14ac:dyDescent="0.25">
      <c r="A2819">
        <f t="shared" si="86"/>
        <v>0</v>
      </c>
      <c r="B2819" s="3">
        <f t="shared" si="87"/>
        <v>0</v>
      </c>
    </row>
    <row r="2820" spans="1:2" x14ac:dyDescent="0.25">
      <c r="A2820">
        <f t="shared" si="86"/>
        <v>0</v>
      </c>
      <c r="B2820" s="3">
        <f t="shared" si="87"/>
        <v>0</v>
      </c>
    </row>
    <row r="2821" spans="1:2" x14ac:dyDescent="0.25">
      <c r="A2821">
        <f t="shared" si="86"/>
        <v>0</v>
      </c>
      <c r="B2821" s="3">
        <f t="shared" si="87"/>
        <v>0</v>
      </c>
    </row>
    <row r="2822" spans="1:2" x14ac:dyDescent="0.25">
      <c r="A2822">
        <f t="shared" si="86"/>
        <v>0</v>
      </c>
      <c r="B2822" s="3">
        <f t="shared" si="87"/>
        <v>0</v>
      </c>
    </row>
    <row r="2823" spans="1:2" x14ac:dyDescent="0.25">
      <c r="A2823">
        <f t="shared" ref="A2823:A2886" si="88">IF(ISNUMBER(C2823),C2823*F2823,)</f>
        <v>0</v>
      </c>
      <c r="B2823" s="3">
        <f t="shared" ref="B2823:B2886" si="89">IF(C2823&lt;&gt;"",1,0)</f>
        <v>0</v>
      </c>
    </row>
    <row r="2824" spans="1:2" x14ac:dyDescent="0.25">
      <c r="A2824">
        <f t="shared" si="88"/>
        <v>0</v>
      </c>
      <c r="B2824" s="3">
        <f t="shared" si="89"/>
        <v>0</v>
      </c>
    </row>
    <row r="2825" spans="1:2" x14ac:dyDescent="0.25">
      <c r="A2825">
        <f t="shared" si="88"/>
        <v>0</v>
      </c>
      <c r="B2825" s="3">
        <f t="shared" si="89"/>
        <v>0</v>
      </c>
    </row>
    <row r="2826" spans="1:2" x14ac:dyDescent="0.25">
      <c r="A2826">
        <f t="shared" si="88"/>
        <v>0</v>
      </c>
      <c r="B2826" s="3">
        <f t="shared" si="89"/>
        <v>0</v>
      </c>
    </row>
    <row r="2827" spans="1:2" x14ac:dyDescent="0.25">
      <c r="A2827">
        <f t="shared" si="88"/>
        <v>0</v>
      </c>
      <c r="B2827" s="3">
        <f t="shared" si="89"/>
        <v>0</v>
      </c>
    </row>
    <row r="2828" spans="1:2" x14ac:dyDescent="0.25">
      <c r="A2828">
        <f t="shared" si="88"/>
        <v>0</v>
      </c>
      <c r="B2828" s="3">
        <f t="shared" si="89"/>
        <v>0</v>
      </c>
    </row>
    <row r="2829" spans="1:2" x14ac:dyDescent="0.25">
      <c r="A2829">
        <f t="shared" si="88"/>
        <v>0</v>
      </c>
      <c r="B2829" s="3">
        <f t="shared" si="89"/>
        <v>0</v>
      </c>
    </row>
    <row r="2830" spans="1:2" x14ac:dyDescent="0.25">
      <c r="A2830">
        <f t="shared" si="88"/>
        <v>0</v>
      </c>
      <c r="B2830" s="3">
        <f t="shared" si="89"/>
        <v>0</v>
      </c>
    </row>
    <row r="2831" spans="1:2" x14ac:dyDescent="0.25">
      <c r="A2831">
        <f t="shared" si="88"/>
        <v>0</v>
      </c>
      <c r="B2831" s="3">
        <f t="shared" si="89"/>
        <v>0</v>
      </c>
    </row>
    <row r="2832" spans="1:2" x14ac:dyDescent="0.25">
      <c r="A2832">
        <f t="shared" si="88"/>
        <v>0</v>
      </c>
      <c r="B2832" s="3">
        <f t="shared" si="89"/>
        <v>0</v>
      </c>
    </row>
    <row r="2833" spans="1:2" x14ac:dyDescent="0.25">
      <c r="A2833">
        <f t="shared" si="88"/>
        <v>0</v>
      </c>
      <c r="B2833" s="3">
        <f t="shared" si="89"/>
        <v>0</v>
      </c>
    </row>
    <row r="2834" spans="1:2" x14ac:dyDescent="0.25">
      <c r="A2834">
        <f t="shared" si="88"/>
        <v>0</v>
      </c>
      <c r="B2834" s="3">
        <f t="shared" si="89"/>
        <v>0</v>
      </c>
    </row>
    <row r="2835" spans="1:2" x14ac:dyDescent="0.25">
      <c r="A2835">
        <f t="shared" si="88"/>
        <v>0</v>
      </c>
      <c r="B2835" s="3">
        <f t="shared" si="89"/>
        <v>0</v>
      </c>
    </row>
    <row r="2836" spans="1:2" x14ac:dyDescent="0.25">
      <c r="A2836">
        <f t="shared" si="88"/>
        <v>0</v>
      </c>
      <c r="B2836" s="3">
        <f t="shared" si="89"/>
        <v>0</v>
      </c>
    </row>
    <row r="2837" spans="1:2" x14ac:dyDescent="0.25">
      <c r="A2837">
        <f t="shared" si="88"/>
        <v>0</v>
      </c>
      <c r="B2837" s="3">
        <f t="shared" si="89"/>
        <v>0</v>
      </c>
    </row>
    <row r="2838" spans="1:2" x14ac:dyDescent="0.25">
      <c r="A2838">
        <f t="shared" si="88"/>
        <v>0</v>
      </c>
      <c r="B2838" s="3">
        <f t="shared" si="89"/>
        <v>0</v>
      </c>
    </row>
    <row r="2839" spans="1:2" x14ac:dyDescent="0.25">
      <c r="A2839">
        <f t="shared" si="88"/>
        <v>0</v>
      </c>
      <c r="B2839" s="3">
        <f t="shared" si="89"/>
        <v>0</v>
      </c>
    </row>
    <row r="2840" spans="1:2" x14ac:dyDescent="0.25">
      <c r="A2840">
        <f t="shared" si="88"/>
        <v>0</v>
      </c>
      <c r="B2840" s="3">
        <f t="shared" si="89"/>
        <v>0</v>
      </c>
    </row>
    <row r="2841" spans="1:2" x14ac:dyDescent="0.25">
      <c r="A2841">
        <f t="shared" si="88"/>
        <v>0</v>
      </c>
      <c r="B2841" s="3">
        <f t="shared" si="89"/>
        <v>0</v>
      </c>
    </row>
    <row r="2842" spans="1:2" x14ac:dyDescent="0.25">
      <c r="A2842">
        <f t="shared" si="88"/>
        <v>0</v>
      </c>
      <c r="B2842" s="3">
        <f t="shared" si="89"/>
        <v>0</v>
      </c>
    </row>
    <row r="2843" spans="1:2" x14ac:dyDescent="0.25">
      <c r="A2843">
        <f t="shared" si="88"/>
        <v>0</v>
      </c>
      <c r="B2843" s="3">
        <f t="shared" si="89"/>
        <v>0</v>
      </c>
    </row>
    <row r="2844" spans="1:2" x14ac:dyDescent="0.25">
      <c r="A2844">
        <f t="shared" si="88"/>
        <v>0</v>
      </c>
      <c r="B2844" s="3">
        <f t="shared" si="89"/>
        <v>0</v>
      </c>
    </row>
    <row r="2845" spans="1:2" x14ac:dyDescent="0.25">
      <c r="A2845">
        <f t="shared" si="88"/>
        <v>0</v>
      </c>
      <c r="B2845" s="3">
        <f t="shared" si="89"/>
        <v>0</v>
      </c>
    </row>
    <row r="2846" spans="1:2" x14ac:dyDescent="0.25">
      <c r="A2846">
        <f t="shared" si="88"/>
        <v>0</v>
      </c>
      <c r="B2846" s="3">
        <f t="shared" si="89"/>
        <v>0</v>
      </c>
    </row>
    <row r="2847" spans="1:2" x14ac:dyDescent="0.25">
      <c r="A2847">
        <f t="shared" si="88"/>
        <v>0</v>
      </c>
      <c r="B2847" s="3">
        <f t="shared" si="89"/>
        <v>0</v>
      </c>
    </row>
    <row r="2848" spans="1:2" x14ac:dyDescent="0.25">
      <c r="A2848">
        <f t="shared" si="88"/>
        <v>0</v>
      </c>
      <c r="B2848" s="3">
        <f t="shared" si="89"/>
        <v>0</v>
      </c>
    </row>
    <row r="2849" spans="1:2" x14ac:dyDescent="0.25">
      <c r="A2849">
        <f t="shared" si="88"/>
        <v>0</v>
      </c>
      <c r="B2849" s="3">
        <f t="shared" si="89"/>
        <v>0</v>
      </c>
    </row>
    <row r="2850" spans="1:2" x14ac:dyDescent="0.25">
      <c r="A2850">
        <f t="shared" si="88"/>
        <v>0</v>
      </c>
      <c r="B2850" s="3">
        <f t="shared" si="89"/>
        <v>0</v>
      </c>
    </row>
    <row r="2851" spans="1:2" x14ac:dyDescent="0.25">
      <c r="A2851">
        <f t="shared" si="88"/>
        <v>0</v>
      </c>
      <c r="B2851" s="3">
        <f t="shared" si="89"/>
        <v>0</v>
      </c>
    </row>
    <row r="2852" spans="1:2" x14ac:dyDescent="0.25">
      <c r="A2852">
        <f t="shared" si="88"/>
        <v>0</v>
      </c>
      <c r="B2852" s="3">
        <f t="shared" si="89"/>
        <v>0</v>
      </c>
    </row>
    <row r="2853" spans="1:2" x14ac:dyDescent="0.25">
      <c r="A2853">
        <f t="shared" si="88"/>
        <v>0</v>
      </c>
      <c r="B2853" s="3">
        <f t="shared" si="89"/>
        <v>0</v>
      </c>
    </row>
    <row r="2854" spans="1:2" x14ac:dyDescent="0.25">
      <c r="A2854">
        <f t="shared" si="88"/>
        <v>0</v>
      </c>
      <c r="B2854" s="3">
        <f t="shared" si="89"/>
        <v>0</v>
      </c>
    </row>
    <row r="2855" spans="1:2" x14ac:dyDescent="0.25">
      <c r="A2855">
        <f t="shared" si="88"/>
        <v>0</v>
      </c>
      <c r="B2855" s="3">
        <f t="shared" si="89"/>
        <v>0</v>
      </c>
    </row>
    <row r="2856" spans="1:2" x14ac:dyDescent="0.25">
      <c r="A2856">
        <f t="shared" si="88"/>
        <v>0</v>
      </c>
      <c r="B2856" s="3">
        <f t="shared" si="89"/>
        <v>0</v>
      </c>
    </row>
    <row r="2857" spans="1:2" x14ac:dyDescent="0.25">
      <c r="A2857">
        <f t="shared" si="88"/>
        <v>0</v>
      </c>
      <c r="B2857" s="3">
        <f t="shared" si="89"/>
        <v>0</v>
      </c>
    </row>
    <row r="2858" spans="1:2" x14ac:dyDescent="0.25">
      <c r="A2858">
        <f t="shared" si="88"/>
        <v>0</v>
      </c>
      <c r="B2858" s="3">
        <f t="shared" si="89"/>
        <v>0</v>
      </c>
    </row>
    <row r="2859" spans="1:2" x14ac:dyDescent="0.25">
      <c r="A2859">
        <f t="shared" si="88"/>
        <v>0</v>
      </c>
      <c r="B2859" s="3">
        <f t="shared" si="89"/>
        <v>0</v>
      </c>
    </row>
    <row r="2860" spans="1:2" x14ac:dyDescent="0.25">
      <c r="A2860">
        <f t="shared" si="88"/>
        <v>0</v>
      </c>
      <c r="B2860" s="3">
        <f t="shared" si="89"/>
        <v>0</v>
      </c>
    </row>
    <row r="2861" spans="1:2" x14ac:dyDescent="0.25">
      <c r="A2861">
        <f t="shared" si="88"/>
        <v>0</v>
      </c>
      <c r="B2861" s="3">
        <f t="shared" si="89"/>
        <v>0</v>
      </c>
    </row>
    <row r="2862" spans="1:2" x14ac:dyDescent="0.25">
      <c r="A2862">
        <f t="shared" si="88"/>
        <v>0</v>
      </c>
      <c r="B2862" s="3">
        <f t="shared" si="89"/>
        <v>0</v>
      </c>
    </row>
    <row r="2863" spans="1:2" x14ac:dyDescent="0.25">
      <c r="A2863">
        <f t="shared" si="88"/>
        <v>0</v>
      </c>
      <c r="B2863" s="3">
        <f t="shared" si="89"/>
        <v>0</v>
      </c>
    </row>
    <row r="2864" spans="1:2" x14ac:dyDescent="0.25">
      <c r="A2864">
        <f t="shared" si="88"/>
        <v>0</v>
      </c>
      <c r="B2864" s="3">
        <f t="shared" si="89"/>
        <v>0</v>
      </c>
    </row>
    <row r="2865" spans="1:2" x14ac:dyDescent="0.25">
      <c r="A2865">
        <f t="shared" si="88"/>
        <v>0</v>
      </c>
      <c r="B2865" s="3">
        <f t="shared" si="89"/>
        <v>0</v>
      </c>
    </row>
    <row r="2866" spans="1:2" x14ac:dyDescent="0.25">
      <c r="A2866">
        <f t="shared" si="88"/>
        <v>0</v>
      </c>
      <c r="B2866" s="3">
        <f t="shared" si="89"/>
        <v>0</v>
      </c>
    </row>
    <row r="2867" spans="1:2" x14ac:dyDescent="0.25">
      <c r="A2867">
        <f t="shared" si="88"/>
        <v>0</v>
      </c>
      <c r="B2867" s="3">
        <f t="shared" si="89"/>
        <v>0</v>
      </c>
    </row>
    <row r="2868" spans="1:2" x14ac:dyDescent="0.25">
      <c r="A2868">
        <f t="shared" si="88"/>
        <v>0</v>
      </c>
      <c r="B2868" s="3">
        <f t="shared" si="89"/>
        <v>0</v>
      </c>
    </row>
    <row r="2869" spans="1:2" x14ac:dyDescent="0.25">
      <c r="A2869">
        <f t="shared" si="88"/>
        <v>0</v>
      </c>
      <c r="B2869" s="3">
        <f t="shared" si="89"/>
        <v>0</v>
      </c>
    </row>
    <row r="2870" spans="1:2" x14ac:dyDescent="0.25">
      <c r="A2870">
        <f t="shared" si="88"/>
        <v>0</v>
      </c>
      <c r="B2870" s="3">
        <f t="shared" si="89"/>
        <v>0</v>
      </c>
    </row>
    <row r="2871" spans="1:2" x14ac:dyDescent="0.25">
      <c r="A2871">
        <f t="shared" si="88"/>
        <v>0</v>
      </c>
      <c r="B2871" s="3">
        <f t="shared" si="89"/>
        <v>0</v>
      </c>
    </row>
    <row r="2872" spans="1:2" x14ac:dyDescent="0.25">
      <c r="A2872">
        <f t="shared" si="88"/>
        <v>0</v>
      </c>
      <c r="B2872" s="3">
        <f t="shared" si="89"/>
        <v>0</v>
      </c>
    </row>
    <row r="2873" spans="1:2" x14ac:dyDescent="0.25">
      <c r="A2873">
        <f t="shared" si="88"/>
        <v>0</v>
      </c>
      <c r="B2873" s="3">
        <f t="shared" si="89"/>
        <v>0</v>
      </c>
    </row>
    <row r="2874" spans="1:2" x14ac:dyDescent="0.25">
      <c r="A2874">
        <f t="shared" si="88"/>
        <v>0</v>
      </c>
      <c r="B2874" s="3">
        <f t="shared" si="89"/>
        <v>0</v>
      </c>
    </row>
    <row r="2875" spans="1:2" x14ac:dyDescent="0.25">
      <c r="A2875">
        <f t="shared" si="88"/>
        <v>0</v>
      </c>
      <c r="B2875" s="3">
        <f t="shared" si="89"/>
        <v>0</v>
      </c>
    </row>
    <row r="2876" spans="1:2" x14ac:dyDescent="0.25">
      <c r="A2876">
        <f t="shared" si="88"/>
        <v>0</v>
      </c>
      <c r="B2876" s="3">
        <f t="shared" si="89"/>
        <v>0</v>
      </c>
    </row>
    <row r="2877" spans="1:2" x14ac:dyDescent="0.25">
      <c r="A2877">
        <f t="shared" si="88"/>
        <v>0</v>
      </c>
      <c r="B2877" s="3">
        <f t="shared" si="89"/>
        <v>0</v>
      </c>
    </row>
    <row r="2878" spans="1:2" x14ac:dyDescent="0.25">
      <c r="A2878">
        <f t="shared" si="88"/>
        <v>0</v>
      </c>
      <c r="B2878" s="3">
        <f t="shared" si="89"/>
        <v>0</v>
      </c>
    </row>
    <row r="2879" spans="1:2" x14ac:dyDescent="0.25">
      <c r="A2879">
        <f t="shared" si="88"/>
        <v>0</v>
      </c>
      <c r="B2879" s="3">
        <f t="shared" si="89"/>
        <v>0</v>
      </c>
    </row>
    <row r="2880" spans="1:2" x14ac:dyDescent="0.25">
      <c r="A2880">
        <f t="shared" si="88"/>
        <v>0</v>
      </c>
      <c r="B2880" s="3">
        <f t="shared" si="89"/>
        <v>0</v>
      </c>
    </row>
    <row r="2881" spans="1:2" x14ac:dyDescent="0.25">
      <c r="A2881">
        <f t="shared" si="88"/>
        <v>0</v>
      </c>
      <c r="B2881" s="3">
        <f t="shared" si="89"/>
        <v>0</v>
      </c>
    </row>
    <row r="2882" spans="1:2" x14ac:dyDescent="0.25">
      <c r="A2882">
        <f t="shared" si="88"/>
        <v>0</v>
      </c>
      <c r="B2882" s="3">
        <f t="shared" si="89"/>
        <v>0</v>
      </c>
    </row>
    <row r="2883" spans="1:2" x14ac:dyDescent="0.25">
      <c r="A2883">
        <f t="shared" si="88"/>
        <v>0</v>
      </c>
      <c r="B2883" s="3">
        <f t="shared" si="89"/>
        <v>0</v>
      </c>
    </row>
    <row r="2884" spans="1:2" x14ac:dyDescent="0.25">
      <c r="A2884">
        <f t="shared" si="88"/>
        <v>0</v>
      </c>
      <c r="B2884" s="3">
        <f t="shared" si="89"/>
        <v>0</v>
      </c>
    </row>
    <row r="2885" spans="1:2" x14ac:dyDescent="0.25">
      <c r="A2885">
        <f t="shared" si="88"/>
        <v>0</v>
      </c>
      <c r="B2885" s="3">
        <f t="shared" si="89"/>
        <v>0</v>
      </c>
    </row>
    <row r="2886" spans="1:2" x14ac:dyDescent="0.25">
      <c r="A2886">
        <f t="shared" si="88"/>
        <v>0</v>
      </c>
      <c r="B2886" s="3">
        <f t="shared" si="89"/>
        <v>0</v>
      </c>
    </row>
    <row r="2887" spans="1:2" x14ac:dyDescent="0.25">
      <c r="A2887">
        <f t="shared" ref="A2887:A2950" si="90">IF(ISNUMBER(C2887),C2887*F2887,)</f>
        <v>0</v>
      </c>
      <c r="B2887" s="3">
        <f t="shared" ref="B2887:B2950" si="91">IF(C2887&lt;&gt;"",1,0)</f>
        <v>0</v>
      </c>
    </row>
    <row r="2888" spans="1:2" x14ac:dyDescent="0.25">
      <c r="A2888">
        <f t="shared" si="90"/>
        <v>0</v>
      </c>
      <c r="B2888" s="3">
        <f t="shared" si="91"/>
        <v>0</v>
      </c>
    </row>
    <row r="2889" spans="1:2" x14ac:dyDescent="0.25">
      <c r="A2889">
        <f t="shared" si="90"/>
        <v>0</v>
      </c>
      <c r="B2889" s="3">
        <f t="shared" si="91"/>
        <v>0</v>
      </c>
    </row>
    <row r="2890" spans="1:2" x14ac:dyDescent="0.25">
      <c r="A2890">
        <f t="shared" si="90"/>
        <v>0</v>
      </c>
      <c r="B2890" s="3">
        <f t="shared" si="91"/>
        <v>0</v>
      </c>
    </row>
    <row r="2891" spans="1:2" x14ac:dyDescent="0.25">
      <c r="A2891">
        <f t="shared" si="90"/>
        <v>0</v>
      </c>
      <c r="B2891" s="3">
        <f t="shared" si="91"/>
        <v>0</v>
      </c>
    </row>
    <row r="2892" spans="1:2" x14ac:dyDescent="0.25">
      <c r="A2892">
        <f t="shared" si="90"/>
        <v>0</v>
      </c>
      <c r="B2892" s="3">
        <f t="shared" si="91"/>
        <v>0</v>
      </c>
    </row>
    <row r="2893" spans="1:2" x14ac:dyDescent="0.25">
      <c r="A2893">
        <f t="shared" si="90"/>
        <v>0</v>
      </c>
      <c r="B2893" s="3">
        <f t="shared" si="91"/>
        <v>0</v>
      </c>
    </row>
    <row r="2894" spans="1:2" x14ac:dyDescent="0.25">
      <c r="A2894">
        <f t="shared" si="90"/>
        <v>0</v>
      </c>
      <c r="B2894" s="3">
        <f t="shared" si="91"/>
        <v>0</v>
      </c>
    </row>
    <row r="2895" spans="1:2" x14ac:dyDescent="0.25">
      <c r="A2895">
        <f t="shared" si="90"/>
        <v>0</v>
      </c>
      <c r="B2895" s="3">
        <f t="shared" si="91"/>
        <v>0</v>
      </c>
    </row>
    <row r="2896" spans="1:2" x14ac:dyDescent="0.25">
      <c r="A2896">
        <f t="shared" si="90"/>
        <v>0</v>
      </c>
      <c r="B2896" s="3">
        <f t="shared" si="91"/>
        <v>0</v>
      </c>
    </row>
    <row r="2897" spans="1:2" x14ac:dyDescent="0.25">
      <c r="A2897">
        <f t="shared" si="90"/>
        <v>0</v>
      </c>
      <c r="B2897" s="3">
        <f t="shared" si="91"/>
        <v>0</v>
      </c>
    </row>
    <row r="2898" spans="1:2" x14ac:dyDescent="0.25">
      <c r="A2898">
        <f t="shared" si="90"/>
        <v>0</v>
      </c>
      <c r="B2898" s="3">
        <f t="shared" si="91"/>
        <v>0</v>
      </c>
    </row>
    <row r="2899" spans="1:2" x14ac:dyDescent="0.25">
      <c r="A2899">
        <f t="shared" si="90"/>
        <v>0</v>
      </c>
      <c r="B2899" s="3">
        <f t="shared" si="91"/>
        <v>0</v>
      </c>
    </row>
    <row r="2900" spans="1:2" x14ac:dyDescent="0.25">
      <c r="A2900">
        <f t="shared" si="90"/>
        <v>0</v>
      </c>
      <c r="B2900" s="3">
        <f t="shared" si="91"/>
        <v>0</v>
      </c>
    </row>
    <row r="2901" spans="1:2" x14ac:dyDescent="0.25">
      <c r="A2901">
        <f t="shared" si="90"/>
        <v>0</v>
      </c>
      <c r="B2901" s="3">
        <f t="shared" si="91"/>
        <v>0</v>
      </c>
    </row>
    <row r="2902" spans="1:2" x14ac:dyDescent="0.25">
      <c r="A2902">
        <f t="shared" si="90"/>
        <v>0</v>
      </c>
      <c r="B2902" s="3">
        <f t="shared" si="91"/>
        <v>0</v>
      </c>
    </row>
    <row r="2903" spans="1:2" x14ac:dyDescent="0.25">
      <c r="A2903">
        <f t="shared" si="90"/>
        <v>0</v>
      </c>
      <c r="B2903" s="3">
        <f t="shared" si="91"/>
        <v>0</v>
      </c>
    </row>
    <row r="2904" spans="1:2" x14ac:dyDescent="0.25">
      <c r="A2904">
        <f t="shared" si="90"/>
        <v>0</v>
      </c>
      <c r="B2904" s="3">
        <f t="shared" si="91"/>
        <v>0</v>
      </c>
    </row>
    <row r="2905" spans="1:2" x14ac:dyDescent="0.25">
      <c r="A2905">
        <f t="shared" si="90"/>
        <v>0</v>
      </c>
      <c r="B2905" s="3">
        <f t="shared" si="91"/>
        <v>0</v>
      </c>
    </row>
    <row r="2906" spans="1:2" x14ac:dyDescent="0.25">
      <c r="A2906">
        <f t="shared" si="90"/>
        <v>0</v>
      </c>
      <c r="B2906" s="3">
        <f t="shared" si="91"/>
        <v>0</v>
      </c>
    </row>
    <row r="2907" spans="1:2" x14ac:dyDescent="0.25">
      <c r="A2907">
        <f t="shared" si="90"/>
        <v>0</v>
      </c>
      <c r="B2907" s="3">
        <f t="shared" si="91"/>
        <v>0</v>
      </c>
    </row>
    <row r="2908" spans="1:2" x14ac:dyDescent="0.25">
      <c r="A2908">
        <f t="shared" si="90"/>
        <v>0</v>
      </c>
      <c r="B2908" s="3">
        <f t="shared" si="91"/>
        <v>0</v>
      </c>
    </row>
    <row r="2909" spans="1:2" x14ac:dyDescent="0.25">
      <c r="A2909">
        <f t="shared" si="90"/>
        <v>0</v>
      </c>
      <c r="B2909" s="3">
        <f t="shared" si="91"/>
        <v>0</v>
      </c>
    </row>
    <row r="2910" spans="1:2" x14ac:dyDescent="0.25">
      <c r="A2910">
        <f t="shared" si="90"/>
        <v>0</v>
      </c>
      <c r="B2910" s="3">
        <f t="shared" si="91"/>
        <v>0</v>
      </c>
    </row>
    <row r="2911" spans="1:2" x14ac:dyDescent="0.25">
      <c r="A2911">
        <f t="shared" si="90"/>
        <v>0</v>
      </c>
      <c r="B2911" s="3">
        <f t="shared" si="91"/>
        <v>0</v>
      </c>
    </row>
    <row r="2912" spans="1:2" x14ac:dyDescent="0.25">
      <c r="A2912">
        <f t="shared" si="90"/>
        <v>0</v>
      </c>
      <c r="B2912" s="3">
        <f t="shared" si="91"/>
        <v>0</v>
      </c>
    </row>
    <row r="2913" spans="1:2" x14ac:dyDescent="0.25">
      <c r="A2913">
        <f t="shared" si="90"/>
        <v>0</v>
      </c>
      <c r="B2913" s="3">
        <f t="shared" si="91"/>
        <v>0</v>
      </c>
    </row>
    <row r="2914" spans="1:2" x14ac:dyDescent="0.25">
      <c r="A2914">
        <f t="shared" si="90"/>
        <v>0</v>
      </c>
      <c r="B2914" s="3">
        <f t="shared" si="91"/>
        <v>0</v>
      </c>
    </row>
    <row r="2915" spans="1:2" x14ac:dyDescent="0.25">
      <c r="A2915">
        <f t="shared" si="90"/>
        <v>0</v>
      </c>
      <c r="B2915" s="3">
        <f t="shared" si="91"/>
        <v>0</v>
      </c>
    </row>
    <row r="2916" spans="1:2" x14ac:dyDescent="0.25">
      <c r="A2916">
        <f t="shared" si="90"/>
        <v>0</v>
      </c>
      <c r="B2916" s="3">
        <f t="shared" si="91"/>
        <v>0</v>
      </c>
    </row>
    <row r="2917" spans="1:2" x14ac:dyDescent="0.25">
      <c r="A2917">
        <f t="shared" si="90"/>
        <v>0</v>
      </c>
      <c r="B2917" s="3">
        <f t="shared" si="91"/>
        <v>0</v>
      </c>
    </row>
    <row r="2918" spans="1:2" x14ac:dyDescent="0.25">
      <c r="A2918">
        <f t="shared" si="90"/>
        <v>0</v>
      </c>
      <c r="B2918" s="3">
        <f t="shared" si="91"/>
        <v>0</v>
      </c>
    </row>
    <row r="2919" spans="1:2" x14ac:dyDescent="0.25">
      <c r="A2919">
        <f t="shared" si="90"/>
        <v>0</v>
      </c>
      <c r="B2919" s="3">
        <f t="shared" si="91"/>
        <v>0</v>
      </c>
    </row>
    <row r="2920" spans="1:2" x14ac:dyDescent="0.25">
      <c r="A2920">
        <f t="shared" si="90"/>
        <v>0</v>
      </c>
      <c r="B2920" s="3">
        <f t="shared" si="91"/>
        <v>0</v>
      </c>
    </row>
    <row r="2921" spans="1:2" x14ac:dyDescent="0.25">
      <c r="A2921">
        <f t="shared" si="90"/>
        <v>0</v>
      </c>
      <c r="B2921" s="3">
        <f t="shared" si="91"/>
        <v>0</v>
      </c>
    </row>
    <row r="2922" spans="1:2" x14ac:dyDescent="0.25">
      <c r="A2922">
        <f t="shared" si="90"/>
        <v>0</v>
      </c>
      <c r="B2922" s="3">
        <f t="shared" si="91"/>
        <v>0</v>
      </c>
    </row>
    <row r="2923" spans="1:2" x14ac:dyDescent="0.25">
      <c r="A2923">
        <f t="shared" si="90"/>
        <v>0</v>
      </c>
      <c r="B2923" s="3">
        <f t="shared" si="91"/>
        <v>0</v>
      </c>
    </row>
    <row r="2924" spans="1:2" x14ac:dyDescent="0.25">
      <c r="A2924">
        <f t="shared" si="90"/>
        <v>0</v>
      </c>
      <c r="B2924" s="3">
        <f t="shared" si="91"/>
        <v>0</v>
      </c>
    </row>
    <row r="2925" spans="1:2" x14ac:dyDescent="0.25">
      <c r="A2925">
        <f t="shared" si="90"/>
        <v>0</v>
      </c>
      <c r="B2925" s="3">
        <f t="shared" si="91"/>
        <v>0</v>
      </c>
    </row>
    <row r="2926" spans="1:2" x14ac:dyDescent="0.25">
      <c r="A2926">
        <f t="shared" si="90"/>
        <v>0</v>
      </c>
      <c r="B2926" s="3">
        <f t="shared" si="91"/>
        <v>0</v>
      </c>
    </row>
    <row r="2927" spans="1:2" x14ac:dyDescent="0.25">
      <c r="A2927">
        <f t="shared" si="90"/>
        <v>0</v>
      </c>
      <c r="B2927" s="3">
        <f t="shared" si="91"/>
        <v>0</v>
      </c>
    </row>
    <row r="2928" spans="1:2" x14ac:dyDescent="0.25">
      <c r="A2928">
        <f t="shared" si="90"/>
        <v>0</v>
      </c>
      <c r="B2928" s="3">
        <f t="shared" si="91"/>
        <v>0</v>
      </c>
    </row>
    <row r="2929" spans="1:2" x14ac:dyDescent="0.25">
      <c r="A2929">
        <f t="shared" si="90"/>
        <v>0</v>
      </c>
      <c r="B2929" s="3">
        <f t="shared" si="91"/>
        <v>0</v>
      </c>
    </row>
    <row r="2930" spans="1:2" x14ac:dyDescent="0.25">
      <c r="A2930">
        <f t="shared" si="90"/>
        <v>0</v>
      </c>
      <c r="B2930" s="3">
        <f t="shared" si="91"/>
        <v>0</v>
      </c>
    </row>
    <row r="2931" spans="1:2" x14ac:dyDescent="0.25">
      <c r="A2931">
        <f t="shared" si="90"/>
        <v>0</v>
      </c>
      <c r="B2931" s="3">
        <f t="shared" si="91"/>
        <v>0</v>
      </c>
    </row>
    <row r="2932" spans="1:2" x14ac:dyDescent="0.25">
      <c r="A2932">
        <f t="shared" si="90"/>
        <v>0</v>
      </c>
      <c r="B2932" s="3">
        <f t="shared" si="91"/>
        <v>0</v>
      </c>
    </row>
    <row r="2933" spans="1:2" x14ac:dyDescent="0.25">
      <c r="A2933">
        <f t="shared" si="90"/>
        <v>0</v>
      </c>
      <c r="B2933" s="3">
        <f t="shared" si="91"/>
        <v>0</v>
      </c>
    </row>
    <row r="2934" spans="1:2" x14ac:dyDescent="0.25">
      <c r="A2934">
        <f t="shared" si="90"/>
        <v>0</v>
      </c>
      <c r="B2934" s="3">
        <f t="shared" si="91"/>
        <v>0</v>
      </c>
    </row>
    <row r="2935" spans="1:2" x14ac:dyDescent="0.25">
      <c r="A2935">
        <f t="shared" si="90"/>
        <v>0</v>
      </c>
      <c r="B2935" s="3">
        <f t="shared" si="91"/>
        <v>0</v>
      </c>
    </row>
    <row r="2936" spans="1:2" x14ac:dyDescent="0.25">
      <c r="A2936">
        <f t="shared" si="90"/>
        <v>0</v>
      </c>
      <c r="B2936" s="3">
        <f t="shared" si="91"/>
        <v>0</v>
      </c>
    </row>
    <row r="2937" spans="1:2" x14ac:dyDescent="0.25">
      <c r="A2937">
        <f t="shared" si="90"/>
        <v>0</v>
      </c>
      <c r="B2937" s="3">
        <f t="shared" si="91"/>
        <v>0</v>
      </c>
    </row>
    <row r="2938" spans="1:2" x14ac:dyDescent="0.25">
      <c r="A2938">
        <f t="shared" si="90"/>
        <v>0</v>
      </c>
      <c r="B2938" s="3">
        <f t="shared" si="91"/>
        <v>0</v>
      </c>
    </row>
    <row r="2939" spans="1:2" x14ac:dyDescent="0.25">
      <c r="A2939">
        <f t="shared" si="90"/>
        <v>0</v>
      </c>
      <c r="B2939" s="3">
        <f t="shared" si="91"/>
        <v>0</v>
      </c>
    </row>
    <row r="2940" spans="1:2" x14ac:dyDescent="0.25">
      <c r="A2940">
        <f t="shared" si="90"/>
        <v>0</v>
      </c>
      <c r="B2940" s="3">
        <f t="shared" si="91"/>
        <v>0</v>
      </c>
    </row>
    <row r="2941" spans="1:2" x14ac:dyDescent="0.25">
      <c r="A2941">
        <f t="shared" si="90"/>
        <v>0</v>
      </c>
      <c r="B2941" s="3">
        <f t="shared" si="91"/>
        <v>0</v>
      </c>
    </row>
    <row r="2942" spans="1:2" x14ac:dyDescent="0.25">
      <c r="A2942">
        <f t="shared" si="90"/>
        <v>0</v>
      </c>
      <c r="B2942" s="3">
        <f t="shared" si="91"/>
        <v>0</v>
      </c>
    </row>
    <row r="2943" spans="1:2" x14ac:dyDescent="0.25">
      <c r="A2943">
        <f t="shared" si="90"/>
        <v>0</v>
      </c>
      <c r="B2943" s="3">
        <f t="shared" si="91"/>
        <v>0</v>
      </c>
    </row>
    <row r="2944" spans="1:2" x14ac:dyDescent="0.25">
      <c r="A2944">
        <f t="shared" si="90"/>
        <v>0</v>
      </c>
      <c r="B2944" s="3">
        <f t="shared" si="91"/>
        <v>0</v>
      </c>
    </row>
    <row r="2945" spans="1:2" x14ac:dyDescent="0.25">
      <c r="A2945">
        <f t="shared" si="90"/>
        <v>0</v>
      </c>
      <c r="B2945" s="3">
        <f t="shared" si="91"/>
        <v>0</v>
      </c>
    </row>
    <row r="2946" spans="1:2" x14ac:dyDescent="0.25">
      <c r="A2946">
        <f t="shared" si="90"/>
        <v>0</v>
      </c>
      <c r="B2946" s="3">
        <f t="shared" si="91"/>
        <v>0</v>
      </c>
    </row>
    <row r="2947" spans="1:2" x14ac:dyDescent="0.25">
      <c r="A2947">
        <f t="shared" si="90"/>
        <v>0</v>
      </c>
      <c r="B2947" s="3">
        <f t="shared" si="91"/>
        <v>0</v>
      </c>
    </row>
    <row r="2948" spans="1:2" x14ac:dyDescent="0.25">
      <c r="A2948">
        <f t="shared" si="90"/>
        <v>0</v>
      </c>
      <c r="B2948" s="3">
        <f t="shared" si="91"/>
        <v>0</v>
      </c>
    </row>
    <row r="2949" spans="1:2" x14ac:dyDescent="0.25">
      <c r="A2949">
        <f t="shared" si="90"/>
        <v>0</v>
      </c>
      <c r="B2949" s="3">
        <f t="shared" si="91"/>
        <v>0</v>
      </c>
    </row>
    <row r="2950" spans="1:2" x14ac:dyDescent="0.25">
      <c r="A2950">
        <f t="shared" si="90"/>
        <v>0</v>
      </c>
      <c r="B2950" s="3">
        <f t="shared" si="91"/>
        <v>0</v>
      </c>
    </row>
    <row r="2951" spans="1:2" x14ac:dyDescent="0.25">
      <c r="A2951">
        <f t="shared" ref="A2951:A3007" si="92">IF(ISNUMBER(C2951),C2951*F2951,)</f>
        <v>0</v>
      </c>
      <c r="B2951" s="3">
        <f t="shared" ref="B2951:B3014" si="93">IF(C2951&lt;&gt;"",1,0)</f>
        <v>0</v>
      </c>
    </row>
    <row r="2952" spans="1:2" x14ac:dyDescent="0.25">
      <c r="A2952">
        <f t="shared" si="92"/>
        <v>0</v>
      </c>
      <c r="B2952" s="3">
        <f t="shared" si="93"/>
        <v>0</v>
      </c>
    </row>
    <row r="2953" spans="1:2" x14ac:dyDescent="0.25">
      <c r="A2953">
        <f t="shared" si="92"/>
        <v>0</v>
      </c>
      <c r="B2953" s="3">
        <f t="shared" si="93"/>
        <v>0</v>
      </c>
    </row>
    <row r="2954" spans="1:2" x14ac:dyDescent="0.25">
      <c r="A2954">
        <f t="shared" si="92"/>
        <v>0</v>
      </c>
      <c r="B2954" s="3">
        <f t="shared" si="93"/>
        <v>0</v>
      </c>
    </row>
    <row r="2955" spans="1:2" x14ac:dyDescent="0.25">
      <c r="A2955">
        <f t="shared" si="92"/>
        <v>0</v>
      </c>
      <c r="B2955" s="3">
        <f t="shared" si="93"/>
        <v>0</v>
      </c>
    </row>
    <row r="2956" spans="1:2" x14ac:dyDescent="0.25">
      <c r="A2956">
        <f t="shared" si="92"/>
        <v>0</v>
      </c>
      <c r="B2956" s="3">
        <f t="shared" si="93"/>
        <v>0</v>
      </c>
    </row>
    <row r="2957" spans="1:2" x14ac:dyDescent="0.25">
      <c r="A2957">
        <f t="shared" si="92"/>
        <v>0</v>
      </c>
      <c r="B2957" s="3">
        <f t="shared" si="93"/>
        <v>0</v>
      </c>
    </row>
    <row r="2958" spans="1:2" x14ac:dyDescent="0.25">
      <c r="A2958">
        <f t="shared" si="92"/>
        <v>0</v>
      </c>
      <c r="B2958" s="3">
        <f t="shared" si="93"/>
        <v>0</v>
      </c>
    </row>
    <row r="2959" spans="1:2" x14ac:dyDescent="0.25">
      <c r="A2959">
        <f t="shared" si="92"/>
        <v>0</v>
      </c>
      <c r="B2959" s="3">
        <f t="shared" si="93"/>
        <v>0</v>
      </c>
    </row>
    <row r="2960" spans="1:2" x14ac:dyDescent="0.25">
      <c r="A2960">
        <f t="shared" si="92"/>
        <v>0</v>
      </c>
      <c r="B2960" s="3">
        <f t="shared" si="93"/>
        <v>0</v>
      </c>
    </row>
    <row r="2961" spans="1:2" x14ac:dyDescent="0.25">
      <c r="A2961">
        <f t="shared" si="92"/>
        <v>0</v>
      </c>
      <c r="B2961" s="3">
        <f t="shared" si="93"/>
        <v>0</v>
      </c>
    </row>
    <row r="2962" spans="1:2" x14ac:dyDescent="0.25">
      <c r="A2962">
        <f t="shared" si="92"/>
        <v>0</v>
      </c>
      <c r="B2962" s="3">
        <f t="shared" si="93"/>
        <v>0</v>
      </c>
    </row>
    <row r="2963" spans="1:2" x14ac:dyDescent="0.25">
      <c r="A2963">
        <f t="shared" si="92"/>
        <v>0</v>
      </c>
      <c r="B2963" s="3">
        <f t="shared" si="93"/>
        <v>0</v>
      </c>
    </row>
    <row r="2964" spans="1:2" x14ac:dyDescent="0.25">
      <c r="A2964">
        <f t="shared" si="92"/>
        <v>0</v>
      </c>
      <c r="B2964" s="3">
        <f t="shared" si="93"/>
        <v>0</v>
      </c>
    </row>
    <row r="2965" spans="1:2" x14ac:dyDescent="0.25">
      <c r="A2965">
        <f t="shared" si="92"/>
        <v>0</v>
      </c>
      <c r="B2965" s="3">
        <f t="shared" si="93"/>
        <v>0</v>
      </c>
    </row>
    <row r="2966" spans="1:2" x14ac:dyDescent="0.25">
      <c r="A2966">
        <f t="shared" si="92"/>
        <v>0</v>
      </c>
      <c r="B2966" s="3">
        <f t="shared" si="93"/>
        <v>0</v>
      </c>
    </row>
    <row r="2967" spans="1:2" x14ac:dyDescent="0.25">
      <c r="A2967">
        <f t="shared" si="92"/>
        <v>0</v>
      </c>
      <c r="B2967" s="3">
        <f t="shared" si="93"/>
        <v>0</v>
      </c>
    </row>
    <row r="2968" spans="1:2" x14ac:dyDescent="0.25">
      <c r="A2968">
        <f t="shared" si="92"/>
        <v>0</v>
      </c>
      <c r="B2968" s="3">
        <f t="shared" si="93"/>
        <v>0</v>
      </c>
    </row>
    <row r="2969" spans="1:2" x14ac:dyDescent="0.25">
      <c r="A2969">
        <f t="shared" si="92"/>
        <v>0</v>
      </c>
      <c r="B2969" s="3">
        <f t="shared" si="93"/>
        <v>0</v>
      </c>
    </row>
    <row r="2970" spans="1:2" x14ac:dyDescent="0.25">
      <c r="A2970">
        <f t="shared" si="92"/>
        <v>0</v>
      </c>
      <c r="B2970" s="3">
        <f t="shared" si="93"/>
        <v>0</v>
      </c>
    </row>
    <row r="2971" spans="1:2" x14ac:dyDescent="0.25">
      <c r="A2971">
        <f t="shared" si="92"/>
        <v>0</v>
      </c>
      <c r="B2971" s="3">
        <f t="shared" si="93"/>
        <v>0</v>
      </c>
    </row>
    <row r="2972" spans="1:2" x14ac:dyDescent="0.25">
      <c r="A2972">
        <f t="shared" si="92"/>
        <v>0</v>
      </c>
      <c r="B2972" s="3">
        <f t="shared" si="93"/>
        <v>0</v>
      </c>
    </row>
    <row r="2973" spans="1:2" x14ac:dyDescent="0.25">
      <c r="A2973">
        <f t="shared" si="92"/>
        <v>0</v>
      </c>
      <c r="B2973" s="3">
        <f t="shared" si="93"/>
        <v>0</v>
      </c>
    </row>
    <row r="2974" spans="1:2" x14ac:dyDescent="0.25">
      <c r="A2974">
        <f t="shared" si="92"/>
        <v>0</v>
      </c>
      <c r="B2974" s="3">
        <f t="shared" si="93"/>
        <v>0</v>
      </c>
    </row>
    <row r="2975" spans="1:2" x14ac:dyDescent="0.25">
      <c r="A2975">
        <f t="shared" si="92"/>
        <v>0</v>
      </c>
      <c r="B2975" s="3">
        <f t="shared" si="93"/>
        <v>0</v>
      </c>
    </row>
    <row r="2976" spans="1:2" x14ac:dyDescent="0.25">
      <c r="A2976">
        <f t="shared" si="92"/>
        <v>0</v>
      </c>
      <c r="B2976" s="3">
        <f t="shared" si="93"/>
        <v>0</v>
      </c>
    </row>
    <row r="2977" spans="1:10" x14ac:dyDescent="0.25">
      <c r="A2977">
        <f t="shared" si="92"/>
        <v>0</v>
      </c>
      <c r="B2977" s="3">
        <f t="shared" si="93"/>
        <v>0</v>
      </c>
    </row>
    <row r="2978" spans="1:10" x14ac:dyDescent="0.25">
      <c r="A2978">
        <f t="shared" si="92"/>
        <v>0</v>
      </c>
      <c r="B2978" s="3">
        <f t="shared" si="93"/>
        <v>0</v>
      </c>
    </row>
    <row r="2979" spans="1:10" x14ac:dyDescent="0.25">
      <c r="A2979">
        <f t="shared" si="92"/>
        <v>0</v>
      </c>
      <c r="B2979" s="3">
        <f t="shared" si="93"/>
        <v>0</v>
      </c>
    </row>
    <row r="2980" spans="1:10" x14ac:dyDescent="0.25">
      <c r="A2980">
        <f t="shared" si="92"/>
        <v>0</v>
      </c>
      <c r="B2980" s="3">
        <f t="shared" si="93"/>
        <v>0</v>
      </c>
    </row>
    <row r="2981" spans="1:10" x14ac:dyDescent="0.25">
      <c r="A2981">
        <f t="shared" si="92"/>
        <v>0</v>
      </c>
      <c r="B2981" s="3">
        <f t="shared" si="93"/>
        <v>0</v>
      </c>
    </row>
    <row r="2982" spans="1:10" x14ac:dyDescent="0.25">
      <c r="A2982">
        <f t="shared" si="92"/>
        <v>0</v>
      </c>
      <c r="B2982" s="3">
        <f t="shared" si="93"/>
        <v>0</v>
      </c>
    </row>
    <row r="2983" spans="1:10" x14ac:dyDescent="0.25">
      <c r="A2983">
        <f t="shared" si="92"/>
        <v>0</v>
      </c>
      <c r="B2983" s="3">
        <f t="shared" si="93"/>
        <v>0</v>
      </c>
    </row>
    <row r="2984" spans="1:10" x14ac:dyDescent="0.25">
      <c r="A2984">
        <f t="shared" si="92"/>
        <v>0</v>
      </c>
      <c r="B2984" s="3">
        <f t="shared" si="93"/>
        <v>0</v>
      </c>
    </row>
    <row r="2985" spans="1:10" x14ac:dyDescent="0.25">
      <c r="A2985">
        <f t="shared" si="92"/>
        <v>0</v>
      </c>
      <c r="B2985" s="3">
        <f t="shared" si="93"/>
        <v>0</v>
      </c>
    </row>
    <row r="2986" spans="1:10" x14ac:dyDescent="0.25">
      <c r="A2986">
        <f t="shared" si="92"/>
        <v>0</v>
      </c>
      <c r="B2986" s="3">
        <f t="shared" si="93"/>
        <v>0</v>
      </c>
    </row>
    <row r="2987" spans="1:10" x14ac:dyDescent="0.25">
      <c r="A2987">
        <f t="shared" si="92"/>
        <v>0</v>
      </c>
      <c r="B2987" s="3">
        <f t="shared" si="93"/>
        <v>0</v>
      </c>
    </row>
    <row r="2988" spans="1:10" x14ac:dyDescent="0.25">
      <c r="A2988">
        <f t="shared" si="92"/>
        <v>0</v>
      </c>
      <c r="B2988" s="3">
        <f t="shared" si="93"/>
        <v>0</v>
      </c>
      <c r="J2988" s="12"/>
    </row>
    <row r="2989" spans="1:10" x14ac:dyDescent="0.25">
      <c r="A2989">
        <f t="shared" si="92"/>
        <v>0</v>
      </c>
      <c r="B2989" s="3">
        <f t="shared" si="93"/>
        <v>0</v>
      </c>
    </row>
    <row r="2990" spans="1:10" x14ac:dyDescent="0.25">
      <c r="A2990">
        <f t="shared" si="92"/>
        <v>0</v>
      </c>
      <c r="B2990" s="3">
        <f t="shared" si="93"/>
        <v>0</v>
      </c>
    </row>
    <row r="2991" spans="1:10" x14ac:dyDescent="0.25">
      <c r="A2991">
        <f t="shared" si="92"/>
        <v>0</v>
      </c>
      <c r="B2991" s="3">
        <f t="shared" si="93"/>
        <v>0</v>
      </c>
    </row>
    <row r="2992" spans="1:10" x14ac:dyDescent="0.25">
      <c r="A2992">
        <f t="shared" si="92"/>
        <v>0</v>
      </c>
      <c r="B2992" s="3">
        <f t="shared" si="93"/>
        <v>0</v>
      </c>
    </row>
    <row r="2993" spans="1:10" x14ac:dyDescent="0.25">
      <c r="A2993">
        <f t="shared" si="92"/>
        <v>0</v>
      </c>
      <c r="B2993" s="3">
        <f t="shared" si="93"/>
        <v>0</v>
      </c>
    </row>
    <row r="2994" spans="1:10" x14ac:dyDescent="0.25">
      <c r="A2994">
        <f t="shared" si="92"/>
        <v>0</v>
      </c>
      <c r="B2994" s="3">
        <f t="shared" si="93"/>
        <v>0</v>
      </c>
    </row>
    <row r="2995" spans="1:10" x14ac:dyDescent="0.25">
      <c r="A2995">
        <f t="shared" si="92"/>
        <v>0</v>
      </c>
      <c r="B2995" s="3">
        <f t="shared" si="93"/>
        <v>0</v>
      </c>
    </row>
    <row r="2996" spans="1:10" x14ac:dyDescent="0.25">
      <c r="A2996">
        <f t="shared" si="92"/>
        <v>0</v>
      </c>
      <c r="B2996" s="3">
        <f t="shared" si="93"/>
        <v>0</v>
      </c>
    </row>
    <row r="2997" spans="1:10" x14ac:dyDescent="0.25">
      <c r="A2997">
        <f t="shared" si="92"/>
        <v>0</v>
      </c>
      <c r="B2997" s="3">
        <f t="shared" si="93"/>
        <v>0</v>
      </c>
    </row>
    <row r="2998" spans="1:10" x14ac:dyDescent="0.25">
      <c r="A2998">
        <f t="shared" si="92"/>
        <v>0</v>
      </c>
      <c r="B2998" s="3">
        <f t="shared" si="93"/>
        <v>0</v>
      </c>
    </row>
    <row r="2999" spans="1:10" x14ac:dyDescent="0.25">
      <c r="A2999">
        <f t="shared" si="92"/>
        <v>0</v>
      </c>
      <c r="B2999" s="3">
        <f t="shared" si="93"/>
        <v>0</v>
      </c>
    </row>
    <row r="3000" spans="1:10" x14ac:dyDescent="0.25">
      <c r="A3000">
        <f t="shared" si="92"/>
        <v>0</v>
      </c>
      <c r="B3000" s="3">
        <f t="shared" si="93"/>
        <v>0</v>
      </c>
    </row>
    <row r="3001" spans="1:10" x14ac:dyDescent="0.25">
      <c r="A3001">
        <f t="shared" si="92"/>
        <v>0</v>
      </c>
      <c r="B3001">
        <f t="shared" si="93"/>
        <v>0</v>
      </c>
      <c r="G3001" s="12">
        <v>1</v>
      </c>
      <c r="H3001" s="69">
        <v>2116001</v>
      </c>
      <c r="I3001" s="12">
        <v>2116001</v>
      </c>
      <c r="J3001">
        <v>480</v>
      </c>
    </row>
    <row r="3002" spans="1:10" x14ac:dyDescent="0.25">
      <c r="A3002">
        <f t="shared" si="92"/>
        <v>0</v>
      </c>
      <c r="B3002">
        <f t="shared" si="93"/>
        <v>0</v>
      </c>
      <c r="G3002">
        <v>2</v>
      </c>
      <c r="H3002" s="59">
        <v>2116001</v>
      </c>
      <c r="I3002">
        <v>2116001</v>
      </c>
      <c r="J3002">
        <v>480</v>
      </c>
    </row>
    <row r="3003" spans="1:10" x14ac:dyDescent="0.25">
      <c r="A3003">
        <f t="shared" si="92"/>
        <v>0</v>
      </c>
      <c r="B3003">
        <f t="shared" si="93"/>
        <v>0</v>
      </c>
      <c r="G3003">
        <v>1</v>
      </c>
      <c r="H3003" s="59">
        <v>2116001</v>
      </c>
      <c r="I3003">
        <v>2116001</v>
      </c>
      <c r="J3003">
        <v>128</v>
      </c>
    </row>
    <row r="3004" spans="1:10" x14ac:dyDescent="0.25">
      <c r="A3004">
        <f t="shared" si="92"/>
        <v>0</v>
      </c>
      <c r="B3004">
        <f t="shared" si="93"/>
        <v>0</v>
      </c>
      <c r="G3004">
        <v>1</v>
      </c>
      <c r="H3004" s="59">
        <v>2116001</v>
      </c>
      <c r="I3004">
        <v>2116001</v>
      </c>
      <c r="J3004">
        <v>480</v>
      </c>
    </row>
    <row r="3005" spans="1:10" x14ac:dyDescent="0.25">
      <c r="A3005">
        <f t="shared" si="92"/>
        <v>0</v>
      </c>
      <c r="B3005">
        <f t="shared" si="93"/>
        <v>0</v>
      </c>
    </row>
    <row r="3006" spans="1:10" x14ac:dyDescent="0.25">
      <c r="A3006">
        <f t="shared" si="92"/>
        <v>0</v>
      </c>
      <c r="B3006">
        <f t="shared" si="93"/>
        <v>0</v>
      </c>
    </row>
    <row r="3007" spans="1:10" x14ac:dyDescent="0.25">
      <c r="A3007">
        <f t="shared" si="92"/>
        <v>0</v>
      </c>
      <c r="B3007">
        <f t="shared" si="93"/>
        <v>0</v>
      </c>
    </row>
  </sheetData>
  <conditionalFormatting sqref="C50:C53 C1:C6 C55:C1048576 C8:C19 C21:C48">
    <cfRule type="cellIs" dxfId="687" priority="207" operator="equal">
      <formula>"*"</formula>
    </cfRule>
    <cfRule type="cellIs" dxfId="686" priority="208" operator="equal">
      <formula>"="</formula>
    </cfRule>
  </conditionalFormatting>
  <conditionalFormatting sqref="C50:C53 C1:C6 C55:C1048576 C8:C19 C21:C48">
    <cfRule type="cellIs" dxfId="685" priority="202" operator="equal">
      <formula>"-"</formula>
    </cfRule>
  </conditionalFormatting>
  <conditionalFormatting sqref="G3001">
    <cfRule type="cellIs" dxfId="684" priority="173" operator="equal">
      <formula>"*"</formula>
    </cfRule>
    <cfRule type="cellIs" dxfId="683" priority="174" operator="equal">
      <formula>"="</formula>
    </cfRule>
  </conditionalFormatting>
  <conditionalFormatting sqref="G3001">
    <cfRule type="cellIs" dxfId="682" priority="172" operator="equal">
      <formula>"-"</formula>
    </cfRule>
  </conditionalFormatting>
  <conditionalFormatting sqref="M21:P22 R21:R34 M24:P24 M23:O23 M26:P37 M25:O25">
    <cfRule type="cellIs" dxfId="681" priority="152" operator="equal">
      <formula>"-"</formula>
    </cfRule>
  </conditionalFormatting>
  <conditionalFormatting sqref="H32">
    <cfRule type="cellIs" dxfId="680" priority="138" operator="equal">
      <formula>"*"</formula>
    </cfRule>
    <cfRule type="cellIs" dxfId="679" priority="139" operator="equal">
      <formula>"="</formula>
    </cfRule>
  </conditionalFormatting>
  <conditionalFormatting sqref="H32">
    <cfRule type="cellIs" dxfId="678" priority="137" operator="equal">
      <formula>"-"</formula>
    </cfRule>
  </conditionalFormatting>
  <conditionalFormatting sqref="H33">
    <cfRule type="cellIs" dxfId="677" priority="135" operator="equal">
      <formula>"*"</formula>
    </cfRule>
    <cfRule type="cellIs" dxfId="676" priority="136" operator="equal">
      <formula>"="</formula>
    </cfRule>
  </conditionalFormatting>
  <conditionalFormatting sqref="H33">
    <cfRule type="cellIs" dxfId="675" priority="134" operator="equal">
      <formula>"-"</formula>
    </cfRule>
  </conditionalFormatting>
  <conditionalFormatting sqref="P25 P23">
    <cfRule type="duplicateValues" dxfId="674" priority="35"/>
  </conditionalFormatting>
  <conditionalFormatting sqref="K39:K55">
    <cfRule type="duplicateValues" dxfId="673" priority="7"/>
  </conditionalFormatting>
  <conditionalFormatting sqref="C7">
    <cfRule type="cellIs" dxfId="672" priority="5" operator="equal">
      <formula>"*"</formula>
    </cfRule>
    <cfRule type="cellIs" dxfId="671" priority="6" operator="equal">
      <formula>"="</formula>
    </cfRule>
  </conditionalFormatting>
  <conditionalFormatting sqref="C7">
    <cfRule type="cellIs" dxfId="670" priority="4" operator="equal">
      <formula>"-"</formula>
    </cfRule>
  </conditionalFormatting>
  <conditionalFormatting sqref="C20">
    <cfRule type="cellIs" dxfId="669" priority="2" operator="equal">
      <formula>"*"</formula>
    </cfRule>
    <cfRule type="cellIs" dxfId="668" priority="3" operator="equal">
      <formula>"="</formula>
    </cfRule>
  </conditionalFormatting>
  <conditionalFormatting sqref="C20">
    <cfRule type="cellIs" dxfId="667" priority="1" operator="equal">
      <formula>"-"</formula>
    </cfRule>
  </conditionalFormatting>
  <hyperlinks>
    <hyperlink ref="Q18" r:id="rId1"/>
  </hyperlinks>
  <pageMargins left="0.7" right="0.7" top="0.75" bottom="0.75" header="0.3" footer="0.3"/>
  <pageSetup paperSize="0" orientation="portrait" horizontalDpi="203" verticalDpi="203" r:id="rId2"/>
  <drawing r:id="rId3"/>
  <legacyDrawing r:id="rId4"/>
  <controls>
    <mc:AlternateContent xmlns:mc="http://schemas.openxmlformats.org/markup-compatibility/2006">
      <mc:Choice Requires="x14">
        <control shapeId="1025" r:id="rId5" name="TextBox1">
          <controlPr defaultSize="0" autoLine="0" r:id="rId6">
            <anchor moveWithCells="1">
              <from>
                <xdr:col>9</xdr:col>
                <xdr:colOff>57150</xdr:colOff>
                <xdr:row>3</xdr:row>
                <xdr:rowOff>104775</xdr:rowOff>
              </from>
              <to>
                <xdr:col>11</xdr:col>
                <xdr:colOff>352425</xdr:colOff>
                <xdr:row>15</xdr:row>
                <xdr:rowOff>85725</xdr:rowOff>
              </to>
            </anchor>
          </controlPr>
        </control>
      </mc:Choice>
      <mc:Fallback>
        <control shapeId="1025" r:id="rId5" name="TextBox1"/>
      </mc:Fallback>
    </mc:AlternateContent>
    <mc:AlternateContent xmlns:mc="http://schemas.openxmlformats.org/markup-compatibility/2006">
      <mc:Choice Requires="x14">
        <control shapeId="1032" r:id="rId7" name="TextBox2">
          <controlPr defaultSize="0" autoLine="0" r:id="rId8">
            <anchor moveWithCells="1">
              <from>
                <xdr:col>14</xdr:col>
                <xdr:colOff>0</xdr:colOff>
                <xdr:row>3</xdr:row>
                <xdr:rowOff>95250</xdr:rowOff>
              </from>
              <to>
                <xdr:col>15</xdr:col>
                <xdr:colOff>1343025</xdr:colOff>
                <xdr:row>15</xdr:row>
                <xdr:rowOff>66675</xdr:rowOff>
              </to>
            </anchor>
          </controlPr>
        </control>
      </mc:Choice>
      <mc:Fallback>
        <control shapeId="1032" r:id="rId7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115"/>
  <sheetViews>
    <sheetView topLeftCell="A89" workbookViewId="0">
      <selection activeCell="L113" sqref="L113"/>
    </sheetView>
  </sheetViews>
  <sheetFormatPr defaultRowHeight="15" x14ac:dyDescent="0.25"/>
  <cols>
    <col min="3" max="3" width="9.140625" style="41"/>
    <col min="4" max="4" width="14.7109375" customWidth="1"/>
    <col min="6" max="6" width="9.140625" style="26"/>
    <col min="7" max="7" width="16.5703125" customWidth="1"/>
    <col min="9" max="9" width="9.140625" style="26"/>
    <col min="11" max="11" width="15.140625" customWidth="1"/>
    <col min="12" max="12" width="7.7109375" style="26" customWidth="1"/>
    <col min="13" max="13" width="9.140625" style="97"/>
    <col min="14" max="14" width="17.140625" customWidth="1"/>
    <col min="18" max="18" width="15.7109375" customWidth="1"/>
    <col min="24" max="24" width="9.140625" style="41"/>
    <col min="26" max="26" width="15" customWidth="1"/>
    <col min="29" max="29" width="25" customWidth="1"/>
  </cols>
  <sheetData>
    <row r="1" spans="2:7" x14ac:dyDescent="0.25">
      <c r="B1" t="s">
        <v>1348</v>
      </c>
    </row>
    <row r="3" spans="2:7" x14ac:dyDescent="0.25">
      <c r="B3" s="4" t="s">
        <v>1305</v>
      </c>
      <c r="C3" s="40" t="s">
        <v>1306</v>
      </c>
      <c r="D3" s="4" t="s">
        <v>1307</v>
      </c>
      <c r="E3" s="4" t="s">
        <v>1308</v>
      </c>
      <c r="F3" s="18" t="s">
        <v>1</v>
      </c>
      <c r="G3" s="4" t="s">
        <v>1309</v>
      </c>
    </row>
    <row r="4" spans="2:7" x14ac:dyDescent="0.25">
      <c r="B4">
        <v>1</v>
      </c>
      <c r="C4" s="41">
        <v>300.10000000000002</v>
      </c>
      <c r="D4" t="s">
        <v>1304</v>
      </c>
      <c r="E4">
        <v>30</v>
      </c>
      <c r="F4" s="26">
        <v>12000</v>
      </c>
      <c r="G4" t="s">
        <v>1312</v>
      </c>
    </row>
    <row r="5" spans="2:7" x14ac:dyDescent="0.25">
      <c r="B5">
        <v>2</v>
      </c>
      <c r="C5" s="41">
        <v>300.2</v>
      </c>
      <c r="D5" t="s">
        <v>1311</v>
      </c>
      <c r="E5">
        <v>30</v>
      </c>
      <c r="F5" s="26">
        <v>12000</v>
      </c>
      <c r="G5" t="s">
        <v>1313</v>
      </c>
    </row>
    <row r="6" spans="2:7" x14ac:dyDescent="0.25">
      <c r="B6">
        <v>3</v>
      </c>
      <c r="C6" s="41">
        <v>300.3</v>
      </c>
      <c r="D6" t="s">
        <v>1311</v>
      </c>
      <c r="E6">
        <v>30</v>
      </c>
      <c r="F6" s="26">
        <v>12000</v>
      </c>
      <c r="G6" t="s">
        <v>1314</v>
      </c>
    </row>
    <row r="7" spans="2:7" x14ac:dyDescent="0.25">
      <c r="B7">
        <v>4</v>
      </c>
      <c r="C7" s="41">
        <v>300.39999999999998</v>
      </c>
      <c r="D7" t="s">
        <v>1311</v>
      </c>
      <c r="E7">
        <v>30</v>
      </c>
      <c r="F7" s="26">
        <v>12000</v>
      </c>
      <c r="G7" t="s">
        <v>1315</v>
      </c>
    </row>
    <row r="8" spans="2:7" x14ac:dyDescent="0.25">
      <c r="B8">
        <v>5</v>
      </c>
      <c r="C8" s="41">
        <v>300.5</v>
      </c>
      <c r="D8" t="s">
        <v>1311</v>
      </c>
      <c r="E8">
        <v>30</v>
      </c>
      <c r="F8" s="26">
        <v>12000</v>
      </c>
      <c r="G8" t="s">
        <v>1316</v>
      </c>
    </row>
    <row r="9" spans="2:7" x14ac:dyDescent="0.25">
      <c r="B9">
        <v>6</v>
      </c>
      <c r="C9" s="41">
        <v>300.60000000000002</v>
      </c>
      <c r="D9" t="s">
        <v>1311</v>
      </c>
      <c r="E9">
        <v>30</v>
      </c>
      <c r="F9" s="26">
        <v>12000</v>
      </c>
      <c r="G9" t="s">
        <v>1317</v>
      </c>
    </row>
    <row r="10" spans="2:7" x14ac:dyDescent="0.25">
      <c r="B10">
        <v>7</v>
      </c>
      <c r="C10" s="41">
        <v>300.7</v>
      </c>
      <c r="D10" t="s">
        <v>1311</v>
      </c>
      <c r="E10">
        <v>30</v>
      </c>
      <c r="F10" s="26">
        <v>12000</v>
      </c>
      <c r="G10" t="s">
        <v>1320</v>
      </c>
    </row>
    <row r="11" spans="2:7" x14ac:dyDescent="0.25">
      <c r="B11">
        <v>8</v>
      </c>
      <c r="C11" s="41">
        <v>300.8</v>
      </c>
      <c r="D11" t="s">
        <v>1311</v>
      </c>
      <c r="E11">
        <v>30</v>
      </c>
      <c r="F11" s="26">
        <v>12000</v>
      </c>
      <c r="G11" t="s">
        <v>1321</v>
      </c>
    </row>
    <row r="12" spans="2:7" x14ac:dyDescent="0.25">
      <c r="B12">
        <v>9</v>
      </c>
      <c r="C12" s="41">
        <v>300.89999999999998</v>
      </c>
      <c r="D12" t="s">
        <v>1311</v>
      </c>
      <c r="E12">
        <v>30</v>
      </c>
      <c r="F12" s="26">
        <v>12000</v>
      </c>
      <c r="G12" t="s">
        <v>1318</v>
      </c>
    </row>
    <row r="13" spans="2:7" x14ac:dyDescent="0.25">
      <c r="B13">
        <v>10</v>
      </c>
      <c r="C13" s="41" t="s">
        <v>1310</v>
      </c>
      <c r="D13" t="s">
        <v>1311</v>
      </c>
      <c r="E13">
        <v>30</v>
      </c>
      <c r="F13" s="26">
        <v>12000</v>
      </c>
      <c r="G13" t="s">
        <v>1319</v>
      </c>
    </row>
    <row r="14" spans="2:7" x14ac:dyDescent="0.25">
      <c r="B14">
        <v>11</v>
      </c>
      <c r="C14" s="41">
        <v>80.099999999999994</v>
      </c>
      <c r="D14" t="s">
        <v>1303</v>
      </c>
      <c r="E14">
        <v>20</v>
      </c>
      <c r="F14" s="26">
        <v>7984</v>
      </c>
      <c r="G14" t="s">
        <v>1322</v>
      </c>
    </row>
    <row r="15" spans="2:7" x14ac:dyDescent="0.25">
      <c r="B15">
        <v>12</v>
      </c>
      <c r="C15" s="41">
        <v>80.2</v>
      </c>
      <c r="D15" t="s">
        <v>1311</v>
      </c>
      <c r="E15">
        <v>30</v>
      </c>
      <c r="F15" s="26">
        <v>1200</v>
      </c>
      <c r="G15" t="s">
        <v>1323</v>
      </c>
    </row>
    <row r="16" spans="2:7" x14ac:dyDescent="0.25">
      <c r="B16">
        <v>13</v>
      </c>
      <c r="C16" s="41">
        <v>80.3</v>
      </c>
      <c r="D16" t="s">
        <v>1311</v>
      </c>
      <c r="E16">
        <v>30</v>
      </c>
      <c r="F16" s="26">
        <v>12000</v>
      </c>
      <c r="G16" t="s">
        <v>1324</v>
      </c>
    </row>
    <row r="17" spans="2:7" x14ac:dyDescent="0.25">
      <c r="B17">
        <v>14</v>
      </c>
      <c r="C17" s="41">
        <v>248.1</v>
      </c>
      <c r="D17" t="s">
        <v>1303</v>
      </c>
      <c r="E17">
        <v>30</v>
      </c>
      <c r="F17" s="26">
        <v>12000</v>
      </c>
      <c r="G17" t="s">
        <v>1325</v>
      </c>
    </row>
    <row r="18" spans="2:7" x14ac:dyDescent="0.25">
      <c r="B18">
        <v>15</v>
      </c>
      <c r="C18" s="41">
        <v>248.2</v>
      </c>
      <c r="D18" t="s">
        <v>1311</v>
      </c>
      <c r="E18">
        <v>30</v>
      </c>
      <c r="F18" s="26">
        <v>12000</v>
      </c>
      <c r="G18" t="s">
        <v>1326</v>
      </c>
    </row>
    <row r="19" spans="2:7" x14ac:dyDescent="0.25">
      <c r="B19">
        <v>16</v>
      </c>
      <c r="C19" s="41">
        <v>248.3</v>
      </c>
      <c r="D19" t="s">
        <v>1311</v>
      </c>
      <c r="E19">
        <v>30</v>
      </c>
      <c r="F19" s="26">
        <v>12000</v>
      </c>
      <c r="G19" t="s">
        <v>1327</v>
      </c>
    </row>
    <row r="20" spans="2:7" x14ac:dyDescent="0.25">
      <c r="B20">
        <v>17</v>
      </c>
      <c r="C20" s="41">
        <v>248.4</v>
      </c>
      <c r="D20" t="s">
        <v>1311</v>
      </c>
      <c r="E20">
        <v>30</v>
      </c>
      <c r="F20" s="26">
        <v>12000</v>
      </c>
      <c r="G20" t="s">
        <v>1328</v>
      </c>
    </row>
    <row r="21" spans="2:7" x14ac:dyDescent="0.25">
      <c r="B21">
        <v>18</v>
      </c>
      <c r="C21" s="41">
        <v>248.5</v>
      </c>
      <c r="D21" t="s">
        <v>1311</v>
      </c>
      <c r="E21">
        <v>30</v>
      </c>
      <c r="F21" s="26">
        <v>12000</v>
      </c>
      <c r="G21" t="s">
        <v>1329</v>
      </c>
    </row>
    <row r="22" spans="2:7" x14ac:dyDescent="0.25">
      <c r="B22">
        <v>19</v>
      </c>
      <c r="C22" s="41">
        <v>248.6</v>
      </c>
      <c r="D22" t="s">
        <v>1311</v>
      </c>
      <c r="E22">
        <v>30</v>
      </c>
      <c r="F22" s="26">
        <v>12000</v>
      </c>
      <c r="G22" t="s">
        <v>1330</v>
      </c>
    </row>
    <row r="23" spans="2:7" x14ac:dyDescent="0.25">
      <c r="B23">
        <v>20</v>
      </c>
      <c r="C23" s="41">
        <v>248.7</v>
      </c>
      <c r="D23" t="s">
        <v>1311</v>
      </c>
      <c r="E23">
        <v>30</v>
      </c>
      <c r="F23" s="26">
        <v>12000</v>
      </c>
      <c r="G23" t="s">
        <v>1331</v>
      </c>
    </row>
    <row r="24" spans="2:7" x14ac:dyDescent="0.25">
      <c r="B24">
        <v>21</v>
      </c>
      <c r="C24" s="41">
        <v>248.8</v>
      </c>
      <c r="D24" t="s">
        <v>1311</v>
      </c>
      <c r="E24">
        <v>30</v>
      </c>
      <c r="F24" s="26">
        <v>12000</v>
      </c>
      <c r="G24" t="s">
        <v>1332</v>
      </c>
    </row>
    <row r="25" spans="2:7" x14ac:dyDescent="0.25">
      <c r="B25">
        <v>22</v>
      </c>
      <c r="C25" s="41">
        <v>233.1</v>
      </c>
      <c r="D25" t="s">
        <v>1303</v>
      </c>
      <c r="E25">
        <v>30</v>
      </c>
      <c r="F25" s="26">
        <v>12000</v>
      </c>
      <c r="G25" t="s">
        <v>1333</v>
      </c>
    </row>
    <row r="26" spans="2:7" x14ac:dyDescent="0.25">
      <c r="B26">
        <v>23</v>
      </c>
      <c r="C26" s="41">
        <v>233.2</v>
      </c>
      <c r="D26" t="s">
        <v>1311</v>
      </c>
      <c r="E26">
        <v>30</v>
      </c>
      <c r="F26" s="26">
        <v>12000</v>
      </c>
      <c r="G26" t="s">
        <v>1334</v>
      </c>
    </row>
    <row r="27" spans="2:7" x14ac:dyDescent="0.25">
      <c r="B27">
        <v>24</v>
      </c>
      <c r="C27" s="41">
        <v>233.3</v>
      </c>
      <c r="D27" t="s">
        <v>1311</v>
      </c>
      <c r="E27">
        <v>23</v>
      </c>
      <c r="F27" s="26">
        <v>9056</v>
      </c>
      <c r="G27" t="s">
        <v>1335</v>
      </c>
    </row>
    <row r="28" spans="2:7" x14ac:dyDescent="0.25">
      <c r="B28">
        <v>25</v>
      </c>
      <c r="C28" s="41">
        <v>233.4</v>
      </c>
      <c r="D28" t="s">
        <v>1311</v>
      </c>
      <c r="E28">
        <v>30</v>
      </c>
      <c r="F28" s="26">
        <v>12000</v>
      </c>
      <c r="G28" t="s">
        <v>1336</v>
      </c>
    </row>
    <row r="29" spans="2:7" x14ac:dyDescent="0.25">
      <c r="B29">
        <v>26</v>
      </c>
      <c r="C29" s="41">
        <v>233.5</v>
      </c>
      <c r="D29" t="s">
        <v>1311</v>
      </c>
      <c r="E29">
        <v>30</v>
      </c>
      <c r="F29" s="26">
        <v>12000</v>
      </c>
      <c r="G29" t="s">
        <v>1337</v>
      </c>
    </row>
    <row r="30" spans="2:7" x14ac:dyDescent="0.25">
      <c r="B30">
        <v>27</v>
      </c>
      <c r="C30" s="41">
        <v>233.6</v>
      </c>
      <c r="D30" t="s">
        <v>1311</v>
      </c>
      <c r="E30">
        <v>30</v>
      </c>
      <c r="F30" s="26">
        <v>12000</v>
      </c>
      <c r="G30" t="s">
        <v>1338</v>
      </c>
    </row>
    <row r="31" spans="2:7" x14ac:dyDescent="0.25">
      <c r="B31">
        <v>28</v>
      </c>
      <c r="C31" s="41">
        <v>233.7</v>
      </c>
      <c r="D31" t="s">
        <v>1311</v>
      </c>
      <c r="E31">
        <v>30</v>
      </c>
      <c r="F31" s="26">
        <v>12000</v>
      </c>
      <c r="G31" t="s">
        <v>1339</v>
      </c>
    </row>
    <row r="32" spans="2:7" x14ac:dyDescent="0.25">
      <c r="B32">
        <v>29</v>
      </c>
      <c r="C32" s="41">
        <v>233.8</v>
      </c>
      <c r="D32" t="s">
        <v>1311</v>
      </c>
      <c r="E32">
        <v>30</v>
      </c>
      <c r="F32" s="26">
        <v>12000</v>
      </c>
      <c r="G32" t="s">
        <v>1340</v>
      </c>
    </row>
    <row r="33" spans="2:29" x14ac:dyDescent="0.25">
      <c r="B33">
        <v>30</v>
      </c>
      <c r="C33" s="41">
        <v>30.1</v>
      </c>
      <c r="D33" t="s">
        <v>1303</v>
      </c>
      <c r="E33">
        <v>30</v>
      </c>
      <c r="F33" s="26">
        <v>11672</v>
      </c>
      <c r="G33" t="s">
        <v>1341</v>
      </c>
    </row>
    <row r="34" spans="2:29" x14ac:dyDescent="0.25">
      <c r="B34">
        <v>31</v>
      </c>
      <c r="C34" s="41">
        <v>75.099999999999994</v>
      </c>
      <c r="D34" t="s">
        <v>1301</v>
      </c>
      <c r="E34">
        <v>15</v>
      </c>
      <c r="F34" s="26">
        <v>1500</v>
      </c>
      <c r="G34" t="s">
        <v>1342</v>
      </c>
    </row>
    <row r="35" spans="2:29" x14ac:dyDescent="0.25">
      <c r="B35">
        <v>32</v>
      </c>
      <c r="C35" s="41">
        <v>75.2</v>
      </c>
      <c r="D35" t="s">
        <v>1311</v>
      </c>
      <c r="E35">
        <v>30</v>
      </c>
      <c r="F35" s="26">
        <v>3000</v>
      </c>
      <c r="G35" t="s">
        <v>1343</v>
      </c>
    </row>
    <row r="36" spans="2:29" x14ac:dyDescent="0.25">
      <c r="B36">
        <v>33</v>
      </c>
      <c r="C36" s="41">
        <v>75.3</v>
      </c>
      <c r="D36" t="s">
        <v>1311</v>
      </c>
      <c r="E36">
        <v>30</v>
      </c>
      <c r="F36" s="26">
        <v>3000</v>
      </c>
      <c r="G36" t="s">
        <v>1344</v>
      </c>
    </row>
    <row r="37" spans="2:29" x14ac:dyDescent="0.25">
      <c r="B37">
        <v>34</v>
      </c>
      <c r="C37" s="41">
        <v>76.099999999999994</v>
      </c>
      <c r="D37" t="s">
        <v>1302</v>
      </c>
      <c r="E37">
        <v>30</v>
      </c>
      <c r="F37" s="26">
        <v>2500</v>
      </c>
      <c r="G37" t="s">
        <v>1346</v>
      </c>
    </row>
    <row r="38" spans="2:29" x14ac:dyDescent="0.25">
      <c r="B38">
        <v>35</v>
      </c>
      <c r="C38" s="41">
        <v>76.2</v>
      </c>
      <c r="D38" t="s">
        <v>1311</v>
      </c>
      <c r="E38">
        <v>30</v>
      </c>
      <c r="F38" s="26">
        <v>2500</v>
      </c>
      <c r="G38" t="s">
        <v>1345</v>
      </c>
    </row>
    <row r="39" spans="2:29" x14ac:dyDescent="0.25">
      <c r="B39">
        <v>36</v>
      </c>
      <c r="C39" s="41">
        <v>76.3</v>
      </c>
      <c r="D39" t="s">
        <v>1311</v>
      </c>
      <c r="E39">
        <v>16</v>
      </c>
      <c r="F39" s="26">
        <v>1138</v>
      </c>
      <c r="G39" t="s">
        <v>1347</v>
      </c>
    </row>
    <row r="41" spans="2:29" x14ac:dyDescent="0.25">
      <c r="B41" s="59" t="s">
        <v>1351</v>
      </c>
      <c r="E41" s="26"/>
      <c r="F41" s="97"/>
      <c r="I41" s="59" t="s">
        <v>1365</v>
      </c>
      <c r="J41" s="41"/>
      <c r="P41" s="59" t="s">
        <v>1380</v>
      </c>
      <c r="Q41" s="41"/>
      <c r="S41" s="26"/>
      <c r="T41" s="97"/>
      <c r="X41" s="41" t="s">
        <v>1387</v>
      </c>
      <c r="Y41" s="41"/>
      <c r="AA41" s="26"/>
      <c r="AB41" s="97"/>
    </row>
    <row r="42" spans="2:29" x14ac:dyDescent="0.25">
      <c r="B42" s="26"/>
      <c r="E42" s="26"/>
      <c r="F42" s="97"/>
      <c r="J42" s="41"/>
      <c r="P42" s="26"/>
      <c r="Q42" s="41"/>
      <c r="S42" s="26"/>
      <c r="T42" s="97"/>
      <c r="Y42" s="41"/>
      <c r="AA42" s="26"/>
      <c r="AB42" s="97"/>
    </row>
    <row r="43" spans="2:29" x14ac:dyDescent="0.25">
      <c r="B43" s="18" t="s">
        <v>1305</v>
      </c>
      <c r="C43" s="40" t="s">
        <v>1306</v>
      </c>
      <c r="D43" s="4" t="s">
        <v>1307</v>
      </c>
      <c r="E43" s="18" t="s">
        <v>1308</v>
      </c>
      <c r="F43" s="98" t="s">
        <v>1</v>
      </c>
      <c r="G43" s="4" t="s">
        <v>1309</v>
      </c>
      <c r="I43" s="18" t="s">
        <v>1305</v>
      </c>
      <c r="J43" s="40" t="s">
        <v>1306</v>
      </c>
      <c r="K43" s="4" t="s">
        <v>1307</v>
      </c>
      <c r="L43" s="18" t="s">
        <v>1</v>
      </c>
      <c r="M43" s="98" t="s">
        <v>1366</v>
      </c>
      <c r="N43" s="4" t="s">
        <v>1309</v>
      </c>
      <c r="P43" s="18" t="s">
        <v>1305</v>
      </c>
      <c r="Q43" s="40" t="s">
        <v>1306</v>
      </c>
      <c r="R43" s="4" t="s">
        <v>1307</v>
      </c>
      <c r="S43" s="18" t="s">
        <v>1</v>
      </c>
      <c r="T43" s="98" t="s">
        <v>1366</v>
      </c>
      <c r="U43" s="4" t="s">
        <v>1309</v>
      </c>
      <c r="X43" s="40" t="s">
        <v>1305</v>
      </c>
      <c r="Y43" s="40" t="s">
        <v>1306</v>
      </c>
      <c r="Z43" s="4" t="s">
        <v>1307</v>
      </c>
      <c r="AA43" s="18" t="s">
        <v>1</v>
      </c>
      <c r="AB43" s="98" t="s">
        <v>1366</v>
      </c>
      <c r="AC43" s="4" t="s">
        <v>1309</v>
      </c>
    </row>
    <row r="44" spans="2:29" x14ac:dyDescent="0.25">
      <c r="B44" s="26">
        <v>1</v>
      </c>
      <c r="C44" s="41">
        <v>29.1</v>
      </c>
      <c r="D44" t="s">
        <v>1350</v>
      </c>
      <c r="E44" s="26">
        <v>29</v>
      </c>
      <c r="F44" s="97">
        <v>3306</v>
      </c>
      <c r="I44" s="26">
        <v>1</v>
      </c>
      <c r="J44" s="41">
        <v>301.10000000000002</v>
      </c>
      <c r="K44" t="s">
        <v>1364</v>
      </c>
      <c r="L44" s="26">
        <v>30</v>
      </c>
      <c r="M44" s="97">
        <v>12000</v>
      </c>
      <c r="N44" t="s">
        <v>1448</v>
      </c>
      <c r="P44">
        <v>1</v>
      </c>
      <c r="Q44" s="41">
        <v>484.1</v>
      </c>
      <c r="R44" t="s">
        <v>1367</v>
      </c>
      <c r="S44">
        <v>15</v>
      </c>
      <c r="T44">
        <v>1622</v>
      </c>
      <c r="W44" t="s">
        <v>1386</v>
      </c>
      <c r="X44" s="41">
        <v>1</v>
      </c>
      <c r="Y44">
        <v>11.1</v>
      </c>
      <c r="Z44" t="s">
        <v>1385</v>
      </c>
      <c r="AA44">
        <v>32</v>
      </c>
      <c r="AB44">
        <v>1584</v>
      </c>
      <c r="AC44" t="s">
        <v>1420</v>
      </c>
    </row>
    <row r="45" spans="2:29" x14ac:dyDescent="0.25">
      <c r="B45" s="26">
        <v>2</v>
      </c>
      <c r="C45" s="41">
        <v>81.099999999999994</v>
      </c>
      <c r="D45" t="s">
        <v>1349</v>
      </c>
      <c r="E45" s="26">
        <v>33</v>
      </c>
      <c r="F45" s="97">
        <v>1797</v>
      </c>
      <c r="I45" s="26">
        <v>2</v>
      </c>
      <c r="J45" s="41">
        <v>301.2</v>
      </c>
      <c r="K45" t="s">
        <v>1311</v>
      </c>
      <c r="L45" s="26">
        <v>30</v>
      </c>
      <c r="M45" s="97">
        <v>12000</v>
      </c>
      <c r="N45" t="s">
        <v>1449</v>
      </c>
      <c r="P45">
        <v>2</v>
      </c>
      <c r="Q45" s="41">
        <v>484.2</v>
      </c>
      <c r="R45" t="s">
        <v>1311</v>
      </c>
      <c r="S45">
        <v>18</v>
      </c>
      <c r="T45">
        <v>2160</v>
      </c>
      <c r="W45" t="s">
        <v>1311</v>
      </c>
      <c r="X45" s="41">
        <v>2</v>
      </c>
      <c r="Y45">
        <v>10.1</v>
      </c>
      <c r="Z45" t="s">
        <v>1311</v>
      </c>
      <c r="AA45">
        <v>27</v>
      </c>
      <c r="AB45">
        <v>1156</v>
      </c>
      <c r="AC45" t="s">
        <v>1421</v>
      </c>
    </row>
    <row r="46" spans="2:29" x14ac:dyDescent="0.25">
      <c r="B46" s="26">
        <v>3</v>
      </c>
      <c r="C46" s="41">
        <v>81.2</v>
      </c>
      <c r="D46" t="s">
        <v>1311</v>
      </c>
      <c r="E46" s="26">
        <v>48</v>
      </c>
      <c r="F46" s="97">
        <v>2880</v>
      </c>
      <c r="I46" s="26">
        <v>3</v>
      </c>
      <c r="J46" s="41">
        <v>301.3</v>
      </c>
      <c r="K46" t="s">
        <v>1311</v>
      </c>
      <c r="L46" s="26">
        <v>30</v>
      </c>
      <c r="M46" s="97">
        <v>12000</v>
      </c>
      <c r="N46" t="s">
        <v>1450</v>
      </c>
      <c r="P46">
        <v>3</v>
      </c>
      <c r="Q46" s="41" t="s">
        <v>1379</v>
      </c>
      <c r="R46" t="s">
        <v>1311</v>
      </c>
      <c r="S46">
        <v>18</v>
      </c>
      <c r="T46">
        <v>2160</v>
      </c>
      <c r="W46" t="s">
        <v>1311</v>
      </c>
      <c r="X46" s="41">
        <v>3</v>
      </c>
      <c r="Y46">
        <v>9.1</v>
      </c>
      <c r="Z46" t="s">
        <v>1311</v>
      </c>
      <c r="AA46">
        <v>24</v>
      </c>
      <c r="AB46">
        <v>1009</v>
      </c>
      <c r="AC46" t="s">
        <v>1421</v>
      </c>
    </row>
    <row r="47" spans="2:29" x14ac:dyDescent="0.25">
      <c r="B47" s="26">
        <v>4</v>
      </c>
      <c r="C47" s="41">
        <v>152.1</v>
      </c>
      <c r="D47" t="s">
        <v>1301</v>
      </c>
      <c r="E47" s="26">
        <v>48</v>
      </c>
      <c r="F47" s="97">
        <v>2880</v>
      </c>
      <c r="I47" s="26">
        <v>4</v>
      </c>
      <c r="J47" s="41">
        <v>301.39999999999998</v>
      </c>
      <c r="K47" t="s">
        <v>1311</v>
      </c>
      <c r="L47" s="26">
        <v>30</v>
      </c>
      <c r="M47" s="97">
        <v>12000</v>
      </c>
      <c r="N47" t="s">
        <v>1451</v>
      </c>
      <c r="P47">
        <v>4</v>
      </c>
      <c r="Q47" s="41" t="s">
        <v>1378</v>
      </c>
      <c r="R47" t="s">
        <v>1311</v>
      </c>
      <c r="S47">
        <v>18</v>
      </c>
      <c r="T47">
        <v>1879</v>
      </c>
      <c r="W47" t="s">
        <v>1311</v>
      </c>
      <c r="X47" s="41">
        <v>4</v>
      </c>
      <c r="Y47">
        <v>9.1999999999999993</v>
      </c>
      <c r="Z47" t="s">
        <v>1311</v>
      </c>
      <c r="AA47">
        <v>32</v>
      </c>
      <c r="AB47">
        <v>1388</v>
      </c>
      <c r="AC47" t="s">
        <v>1420</v>
      </c>
    </row>
    <row r="48" spans="2:29" x14ac:dyDescent="0.25">
      <c r="B48" s="26">
        <v>5</v>
      </c>
      <c r="C48" s="41">
        <v>152.19999999999999</v>
      </c>
      <c r="D48" t="s">
        <v>1311</v>
      </c>
      <c r="E48" s="26">
        <v>48</v>
      </c>
      <c r="F48" s="97">
        <v>2880</v>
      </c>
      <c r="I48" s="26">
        <v>5</v>
      </c>
      <c r="J48" s="41">
        <v>301.5</v>
      </c>
      <c r="K48" t="s">
        <v>1311</v>
      </c>
      <c r="L48" s="26">
        <v>31</v>
      </c>
      <c r="M48" s="97">
        <v>12184</v>
      </c>
      <c r="N48" t="s">
        <v>1452</v>
      </c>
      <c r="P48">
        <v>5</v>
      </c>
      <c r="Q48" s="41" t="s">
        <v>1377</v>
      </c>
      <c r="R48" t="s">
        <v>1352</v>
      </c>
      <c r="S48">
        <v>18</v>
      </c>
      <c r="T48">
        <v>2160</v>
      </c>
      <c r="W48" t="s">
        <v>1311</v>
      </c>
      <c r="X48" s="41">
        <v>5</v>
      </c>
      <c r="Y48">
        <v>9.3000000000000007</v>
      </c>
      <c r="Z48" t="s">
        <v>1311</v>
      </c>
      <c r="AA48">
        <v>32</v>
      </c>
      <c r="AB48">
        <v>1197</v>
      </c>
      <c r="AC48" t="s">
        <v>1422</v>
      </c>
    </row>
    <row r="49" spans="2:29" x14ac:dyDescent="0.25">
      <c r="B49" s="26">
        <v>6</v>
      </c>
      <c r="C49" s="41">
        <v>152.30000000000001</v>
      </c>
      <c r="D49" t="s">
        <v>1311</v>
      </c>
      <c r="E49" s="26">
        <v>48</v>
      </c>
      <c r="F49" s="97">
        <v>2880</v>
      </c>
      <c r="I49" s="26">
        <v>6</v>
      </c>
      <c r="J49" s="41">
        <v>301.60000000000002</v>
      </c>
      <c r="K49" t="s">
        <v>1311</v>
      </c>
      <c r="L49" s="26">
        <v>30</v>
      </c>
      <c r="M49" s="97">
        <v>12000</v>
      </c>
      <c r="N49" t="s">
        <v>1453</v>
      </c>
      <c r="P49">
        <v>6</v>
      </c>
      <c r="Q49" s="41" t="s">
        <v>1376</v>
      </c>
      <c r="R49" t="s">
        <v>1311</v>
      </c>
      <c r="S49">
        <v>18</v>
      </c>
      <c r="T49">
        <v>2160</v>
      </c>
      <c r="W49" t="s">
        <v>1384</v>
      </c>
      <c r="X49" s="41">
        <v>6</v>
      </c>
      <c r="Y49">
        <v>60.1</v>
      </c>
      <c r="Z49" t="s">
        <v>1362</v>
      </c>
      <c r="AA49">
        <v>30</v>
      </c>
      <c r="AB49">
        <v>3000</v>
      </c>
      <c r="AC49" t="s">
        <v>1423</v>
      </c>
    </row>
    <row r="50" spans="2:29" x14ac:dyDescent="0.25">
      <c r="B50" s="26">
        <v>7</v>
      </c>
      <c r="C50" s="41">
        <v>35.1</v>
      </c>
      <c r="D50" t="s">
        <v>1311</v>
      </c>
      <c r="E50" s="26">
        <v>43</v>
      </c>
      <c r="F50" s="97">
        <v>2530</v>
      </c>
      <c r="I50" s="26">
        <v>7</v>
      </c>
      <c r="J50" s="41">
        <v>301.7</v>
      </c>
      <c r="K50" t="s">
        <v>1311</v>
      </c>
      <c r="L50" s="26">
        <v>30</v>
      </c>
      <c r="M50" s="97">
        <v>12000</v>
      </c>
      <c r="N50" t="s">
        <v>1454</v>
      </c>
      <c r="P50">
        <v>7</v>
      </c>
      <c r="Q50" s="41" t="s">
        <v>1375</v>
      </c>
      <c r="R50" t="s">
        <v>1311</v>
      </c>
      <c r="S50">
        <v>18</v>
      </c>
      <c r="T50">
        <v>2160</v>
      </c>
      <c r="W50" t="s">
        <v>1311</v>
      </c>
      <c r="X50" s="41">
        <v>7</v>
      </c>
      <c r="Y50">
        <v>60.2</v>
      </c>
      <c r="Z50" t="s">
        <v>1311</v>
      </c>
      <c r="AA50">
        <v>30</v>
      </c>
      <c r="AB50">
        <v>3000</v>
      </c>
      <c r="AC50" t="s">
        <v>1424</v>
      </c>
    </row>
    <row r="51" spans="2:29" x14ac:dyDescent="0.25">
      <c r="B51" s="26">
        <v>8</v>
      </c>
      <c r="C51" s="41">
        <v>372.1</v>
      </c>
      <c r="D51" t="s">
        <v>1352</v>
      </c>
      <c r="E51" s="26">
        <v>48</v>
      </c>
      <c r="F51" s="97">
        <v>2880</v>
      </c>
      <c r="I51" s="26">
        <v>8</v>
      </c>
      <c r="J51" s="41">
        <v>301.8</v>
      </c>
      <c r="K51" t="s">
        <v>1311</v>
      </c>
      <c r="L51" s="26">
        <v>30</v>
      </c>
      <c r="M51" s="97">
        <v>12000</v>
      </c>
      <c r="N51" t="s">
        <v>1455</v>
      </c>
      <c r="P51">
        <v>8</v>
      </c>
      <c r="Q51" s="41" t="s">
        <v>1374</v>
      </c>
      <c r="R51" t="s">
        <v>1368</v>
      </c>
      <c r="S51">
        <v>24</v>
      </c>
      <c r="T51">
        <f>S51*80</f>
        <v>1920</v>
      </c>
      <c r="W51" t="s">
        <v>1383</v>
      </c>
      <c r="X51" s="41">
        <v>8</v>
      </c>
      <c r="Y51">
        <v>458.1</v>
      </c>
      <c r="Z51" t="s">
        <v>1382</v>
      </c>
      <c r="AA51">
        <v>43</v>
      </c>
      <c r="AB51">
        <v>2466</v>
      </c>
      <c r="AC51" t="s">
        <v>1425</v>
      </c>
    </row>
    <row r="52" spans="2:29" x14ac:dyDescent="0.25">
      <c r="B52" s="26">
        <v>9</v>
      </c>
      <c r="C52" s="41">
        <v>372.2</v>
      </c>
      <c r="D52" t="s">
        <v>1311</v>
      </c>
      <c r="E52" s="26">
        <v>48</v>
      </c>
      <c r="F52" s="97">
        <v>2880</v>
      </c>
      <c r="I52" s="26">
        <v>9</v>
      </c>
      <c r="J52" s="41">
        <v>301.89999999999998</v>
      </c>
      <c r="K52" t="s">
        <v>1311</v>
      </c>
      <c r="L52" s="26">
        <v>30</v>
      </c>
      <c r="M52" s="97">
        <v>12000</v>
      </c>
      <c r="N52" t="s">
        <v>1456</v>
      </c>
      <c r="P52">
        <v>9</v>
      </c>
      <c r="Q52" s="41" t="s">
        <v>1373</v>
      </c>
      <c r="R52" t="s">
        <v>1304</v>
      </c>
      <c r="S52">
        <v>16</v>
      </c>
      <c r="T52">
        <v>9952</v>
      </c>
      <c r="W52" t="s">
        <v>1311</v>
      </c>
      <c r="X52" s="41">
        <v>9</v>
      </c>
      <c r="Y52">
        <v>458.2</v>
      </c>
      <c r="Z52" t="s">
        <v>1311</v>
      </c>
      <c r="AA52">
        <v>45</v>
      </c>
      <c r="AB52">
        <v>2673</v>
      </c>
      <c r="AC52" t="s">
        <v>1426</v>
      </c>
    </row>
    <row r="53" spans="2:29" x14ac:dyDescent="0.25">
      <c r="B53" s="26">
        <v>10</v>
      </c>
      <c r="C53" s="41">
        <v>372.3</v>
      </c>
      <c r="D53" t="s">
        <v>1311</v>
      </c>
      <c r="E53" s="26">
        <v>48</v>
      </c>
      <c r="F53" s="97">
        <v>2880</v>
      </c>
      <c r="I53" s="26">
        <v>10</v>
      </c>
      <c r="J53" s="41" t="s">
        <v>1363</v>
      </c>
      <c r="K53" t="s">
        <v>1311</v>
      </c>
      <c r="L53" s="26">
        <v>30</v>
      </c>
      <c r="M53" s="97">
        <v>12000</v>
      </c>
      <c r="N53" t="s">
        <v>1457</v>
      </c>
      <c r="P53">
        <v>10</v>
      </c>
      <c r="Q53" s="41" t="s">
        <v>1372</v>
      </c>
      <c r="R53" t="s">
        <v>1369</v>
      </c>
      <c r="S53">
        <v>24</v>
      </c>
      <c r="T53">
        <v>7124</v>
      </c>
      <c r="W53" t="s">
        <v>1311</v>
      </c>
      <c r="X53" s="41">
        <v>10</v>
      </c>
      <c r="Y53">
        <v>458.3</v>
      </c>
      <c r="Z53" t="s">
        <v>1311</v>
      </c>
      <c r="AA53">
        <v>45</v>
      </c>
      <c r="AB53">
        <v>2441</v>
      </c>
      <c r="AC53" t="s">
        <v>1427</v>
      </c>
    </row>
    <row r="54" spans="2:29" x14ac:dyDescent="0.25">
      <c r="B54" s="26">
        <v>11</v>
      </c>
      <c r="C54" s="41">
        <v>372.4</v>
      </c>
      <c r="D54" t="s">
        <v>1311</v>
      </c>
      <c r="E54" s="26">
        <v>48</v>
      </c>
      <c r="F54" s="97">
        <v>2880</v>
      </c>
      <c r="I54" s="26">
        <v>11</v>
      </c>
      <c r="J54" s="41">
        <v>87.1</v>
      </c>
      <c r="K54" t="s">
        <v>1303</v>
      </c>
      <c r="L54" s="26">
        <v>30</v>
      </c>
      <c r="M54" s="97">
        <v>12000</v>
      </c>
      <c r="N54" t="s">
        <v>1458</v>
      </c>
      <c r="P54">
        <v>11</v>
      </c>
      <c r="Q54" s="41">
        <v>357.1</v>
      </c>
      <c r="R54" t="s">
        <v>1368</v>
      </c>
      <c r="S54">
        <v>19</v>
      </c>
      <c r="T54">
        <v>1920</v>
      </c>
      <c r="W54" t="s">
        <v>1311</v>
      </c>
      <c r="X54" s="41">
        <v>11</v>
      </c>
      <c r="Y54">
        <v>458.4</v>
      </c>
      <c r="Z54" t="s">
        <v>1311</v>
      </c>
      <c r="AA54">
        <v>45</v>
      </c>
      <c r="AB54">
        <v>2555</v>
      </c>
      <c r="AC54" t="s">
        <v>1428</v>
      </c>
    </row>
    <row r="55" spans="2:29" x14ac:dyDescent="0.25">
      <c r="B55" s="26">
        <v>12</v>
      </c>
      <c r="C55" s="41">
        <v>372.5</v>
      </c>
      <c r="D55" t="s">
        <v>1311</v>
      </c>
      <c r="E55" s="26">
        <v>42</v>
      </c>
      <c r="F55" s="97">
        <v>2354</v>
      </c>
      <c r="I55" s="26">
        <v>12</v>
      </c>
      <c r="J55" s="41">
        <v>87.2</v>
      </c>
      <c r="K55" t="s">
        <v>1311</v>
      </c>
      <c r="L55" s="26">
        <v>27</v>
      </c>
      <c r="M55" s="97">
        <v>10560</v>
      </c>
      <c r="N55" t="s">
        <v>1459</v>
      </c>
      <c r="P55">
        <v>12</v>
      </c>
      <c r="Q55" s="41">
        <v>357.2</v>
      </c>
      <c r="R55" t="s">
        <v>1311</v>
      </c>
      <c r="S55">
        <v>19</v>
      </c>
      <c r="T55">
        <v>1920</v>
      </c>
      <c r="W55" t="s">
        <v>1311</v>
      </c>
      <c r="X55" s="41">
        <v>12</v>
      </c>
      <c r="Y55">
        <v>459.1</v>
      </c>
      <c r="Z55" t="s">
        <v>1381</v>
      </c>
      <c r="AA55">
        <v>44</v>
      </c>
      <c r="AB55">
        <v>2544</v>
      </c>
      <c r="AC55" t="s">
        <v>1429</v>
      </c>
    </row>
    <row r="56" spans="2:29" x14ac:dyDescent="0.25">
      <c r="B56" s="26">
        <v>13</v>
      </c>
      <c r="C56" s="41">
        <v>372.6</v>
      </c>
      <c r="D56" t="s">
        <v>1311</v>
      </c>
      <c r="E56" s="26">
        <v>48</v>
      </c>
      <c r="F56" s="97">
        <v>2880</v>
      </c>
      <c r="I56" s="26">
        <v>13</v>
      </c>
      <c r="J56" s="41">
        <v>87.3</v>
      </c>
      <c r="K56" t="s">
        <v>1311</v>
      </c>
      <c r="L56" s="26">
        <v>30</v>
      </c>
      <c r="M56" s="97">
        <v>12000</v>
      </c>
      <c r="N56" t="s">
        <v>1460</v>
      </c>
      <c r="P56">
        <v>13</v>
      </c>
      <c r="Q56" s="41">
        <v>357.3</v>
      </c>
      <c r="R56" t="s">
        <v>1311</v>
      </c>
      <c r="S56">
        <v>19</v>
      </c>
      <c r="T56">
        <v>1920</v>
      </c>
      <c r="W56" t="s">
        <v>1311</v>
      </c>
      <c r="X56" s="41">
        <v>13</v>
      </c>
      <c r="Y56">
        <v>459.2</v>
      </c>
      <c r="AA56">
        <v>45</v>
      </c>
      <c r="AB56">
        <v>2659</v>
      </c>
      <c r="AC56" t="s">
        <v>1430</v>
      </c>
    </row>
    <row r="57" spans="2:29" x14ac:dyDescent="0.25">
      <c r="B57" s="26">
        <v>14</v>
      </c>
      <c r="C57" s="41">
        <v>372.7</v>
      </c>
      <c r="D57" t="s">
        <v>1311</v>
      </c>
      <c r="E57" s="26">
        <v>48</v>
      </c>
      <c r="F57" s="97">
        <v>2880</v>
      </c>
      <c r="I57" s="26">
        <v>16</v>
      </c>
      <c r="J57" s="41">
        <v>91.4</v>
      </c>
      <c r="K57" t="s">
        <v>1311</v>
      </c>
      <c r="L57" s="26">
        <v>30</v>
      </c>
      <c r="M57" s="97">
        <v>12000</v>
      </c>
      <c r="N57" t="s">
        <v>1461</v>
      </c>
      <c r="P57">
        <v>14</v>
      </c>
      <c r="Q57" s="41" t="s">
        <v>1371</v>
      </c>
      <c r="R57" t="s">
        <v>1311</v>
      </c>
      <c r="S57">
        <f>14+5</f>
        <v>19</v>
      </c>
      <c r="T57">
        <f>1118+720</f>
        <v>1838</v>
      </c>
    </row>
    <row r="58" spans="2:29" x14ac:dyDescent="0.25">
      <c r="B58" s="26">
        <v>15</v>
      </c>
      <c r="C58" s="41">
        <v>372.8</v>
      </c>
      <c r="D58" t="s">
        <v>1311</v>
      </c>
      <c r="E58" s="26">
        <v>48</v>
      </c>
      <c r="F58" s="97">
        <v>2880</v>
      </c>
      <c r="I58" s="26">
        <v>17</v>
      </c>
      <c r="J58" s="41">
        <v>63.2</v>
      </c>
      <c r="K58" t="s">
        <v>1361</v>
      </c>
      <c r="L58" s="26">
        <v>30</v>
      </c>
      <c r="M58" s="97">
        <v>12000</v>
      </c>
      <c r="N58" t="s">
        <v>1462</v>
      </c>
      <c r="P58">
        <v>15</v>
      </c>
      <c r="Q58" s="41">
        <v>568.1</v>
      </c>
      <c r="R58" t="s">
        <v>1311</v>
      </c>
      <c r="S58">
        <v>24</v>
      </c>
      <c r="T58">
        <v>1920</v>
      </c>
    </row>
    <row r="59" spans="2:29" x14ac:dyDescent="0.25">
      <c r="B59" s="26">
        <v>16</v>
      </c>
      <c r="C59" s="41">
        <v>225.1</v>
      </c>
      <c r="D59" t="s">
        <v>1352</v>
      </c>
      <c r="E59" s="26">
        <v>48</v>
      </c>
      <c r="F59" s="97">
        <v>2880</v>
      </c>
      <c r="I59" s="26">
        <v>18</v>
      </c>
      <c r="J59" s="41">
        <v>63.3</v>
      </c>
      <c r="K59" t="s">
        <v>1311</v>
      </c>
      <c r="L59" s="26">
        <v>30</v>
      </c>
      <c r="M59" s="97">
        <v>12000</v>
      </c>
      <c r="N59" t="s">
        <v>1465</v>
      </c>
      <c r="P59">
        <v>16</v>
      </c>
      <c r="Q59" s="41">
        <v>568.20000000000005</v>
      </c>
      <c r="R59" t="s">
        <v>1311</v>
      </c>
      <c r="S59">
        <v>24</v>
      </c>
      <c r="T59">
        <v>1920</v>
      </c>
    </row>
    <row r="60" spans="2:29" x14ac:dyDescent="0.25">
      <c r="B60" s="26">
        <v>17</v>
      </c>
      <c r="C60" s="41">
        <v>225.2</v>
      </c>
      <c r="D60" t="s">
        <v>1311</v>
      </c>
      <c r="E60" s="26">
        <v>48</v>
      </c>
      <c r="F60" s="97">
        <v>2880</v>
      </c>
      <c r="I60" s="26">
        <v>19</v>
      </c>
      <c r="J60" s="41">
        <v>40.1</v>
      </c>
      <c r="K60" t="s">
        <v>1360</v>
      </c>
      <c r="L60" s="26">
        <v>30</v>
      </c>
      <c r="M60" s="97">
        <v>12000</v>
      </c>
      <c r="N60" t="s">
        <v>1461</v>
      </c>
      <c r="P60">
        <v>17</v>
      </c>
      <c r="Q60" s="41">
        <v>568.29999999999995</v>
      </c>
      <c r="R60" t="s">
        <v>1311</v>
      </c>
      <c r="S60">
        <v>24</v>
      </c>
      <c r="T60">
        <v>1920</v>
      </c>
    </row>
    <row r="61" spans="2:29" x14ac:dyDescent="0.25">
      <c r="B61" s="26">
        <v>18</v>
      </c>
      <c r="C61" s="41">
        <v>225.3</v>
      </c>
      <c r="D61" t="s">
        <v>1311</v>
      </c>
      <c r="E61" s="26">
        <v>48</v>
      </c>
      <c r="F61" s="97">
        <v>2880</v>
      </c>
      <c r="I61" s="26">
        <v>21</v>
      </c>
      <c r="J61" s="41">
        <v>85.1</v>
      </c>
      <c r="K61" t="s">
        <v>1301</v>
      </c>
      <c r="L61" s="26">
        <v>25</v>
      </c>
      <c r="M61" s="97">
        <v>2500</v>
      </c>
      <c r="N61" t="s">
        <v>1463</v>
      </c>
      <c r="P61">
        <v>18</v>
      </c>
      <c r="Q61" s="41">
        <v>568.4</v>
      </c>
      <c r="R61" t="s">
        <v>1311</v>
      </c>
      <c r="S61">
        <v>21</v>
      </c>
      <c r="T61">
        <v>1520</v>
      </c>
    </row>
    <row r="62" spans="2:29" x14ac:dyDescent="0.25">
      <c r="B62" s="26">
        <v>19</v>
      </c>
      <c r="C62" s="41">
        <v>225.4</v>
      </c>
      <c r="D62" t="s">
        <v>1311</v>
      </c>
      <c r="E62" s="26">
        <v>33</v>
      </c>
      <c r="F62" s="97">
        <v>1972</v>
      </c>
      <c r="I62" s="26">
        <v>22</v>
      </c>
      <c r="J62" s="41">
        <v>85.2</v>
      </c>
      <c r="K62" t="s">
        <v>1311</v>
      </c>
      <c r="L62" s="26">
        <v>30</v>
      </c>
      <c r="M62" s="97">
        <v>3000</v>
      </c>
      <c r="N62" t="s">
        <v>1464</v>
      </c>
      <c r="P62">
        <v>19</v>
      </c>
      <c r="Q62" s="41">
        <v>483.1</v>
      </c>
      <c r="R62" t="s">
        <v>1352</v>
      </c>
      <c r="S62">
        <v>24</v>
      </c>
      <c r="T62">
        <v>2702</v>
      </c>
    </row>
    <row r="63" spans="2:29" x14ac:dyDescent="0.25">
      <c r="B63" s="26">
        <v>20</v>
      </c>
      <c r="C63" s="41">
        <v>225.5</v>
      </c>
      <c r="D63" t="s">
        <v>1311</v>
      </c>
      <c r="E63" s="26">
        <v>48</v>
      </c>
      <c r="F63" s="97">
        <v>2880</v>
      </c>
      <c r="I63" s="26">
        <v>23</v>
      </c>
      <c r="J63" s="41">
        <v>85.3</v>
      </c>
      <c r="K63" t="s">
        <v>1311</v>
      </c>
      <c r="L63" s="26">
        <v>30</v>
      </c>
      <c r="M63" s="97">
        <v>3000</v>
      </c>
      <c r="N63" t="s">
        <v>1466</v>
      </c>
      <c r="P63">
        <v>20</v>
      </c>
      <c r="Q63" s="41">
        <v>483.2</v>
      </c>
      <c r="R63" t="s">
        <v>1311</v>
      </c>
      <c r="S63">
        <v>24</v>
      </c>
      <c r="T63">
        <v>2880</v>
      </c>
    </row>
    <row r="64" spans="2:29" x14ac:dyDescent="0.25">
      <c r="P64">
        <v>21</v>
      </c>
      <c r="Q64" s="41" t="s">
        <v>1370</v>
      </c>
      <c r="R64" t="s">
        <v>1311</v>
      </c>
      <c r="S64">
        <v>22</v>
      </c>
      <c r="T64">
        <v>2533</v>
      </c>
    </row>
    <row r="65" spans="2:36" x14ac:dyDescent="0.25">
      <c r="B65" s="59" t="s">
        <v>1407</v>
      </c>
      <c r="E65" s="26"/>
      <c r="F65" s="97"/>
      <c r="P65">
        <v>22</v>
      </c>
      <c r="Q65" s="41">
        <v>356.1</v>
      </c>
      <c r="R65" t="s">
        <v>1367</v>
      </c>
      <c r="S65">
        <v>14</v>
      </c>
      <c r="T65">
        <v>1460</v>
      </c>
    </row>
    <row r="66" spans="2:36" x14ac:dyDescent="0.25">
      <c r="B66" s="26"/>
      <c r="E66" s="26"/>
      <c r="F66" s="97"/>
    </row>
    <row r="67" spans="2:36" x14ac:dyDescent="0.25">
      <c r="B67" s="18" t="s">
        <v>1305</v>
      </c>
      <c r="C67" s="40" t="s">
        <v>1306</v>
      </c>
      <c r="D67" s="4" t="s">
        <v>1307</v>
      </c>
      <c r="E67" s="100" t="s">
        <v>1</v>
      </c>
      <c r="F67" s="18" t="s">
        <v>1308</v>
      </c>
      <c r="G67" s="4" t="s">
        <v>1309</v>
      </c>
      <c r="I67" s="59" t="s">
        <v>1414</v>
      </c>
      <c r="J67" s="41"/>
      <c r="P67" s="59" t="s">
        <v>1431</v>
      </c>
      <c r="Q67" s="41"/>
      <c r="S67" s="26"/>
      <c r="T67" s="97"/>
      <c r="X67" s="59" t="s">
        <v>1469</v>
      </c>
      <c r="Y67" s="41"/>
      <c r="AA67" s="26"/>
      <c r="AB67" s="97"/>
      <c r="AE67" s="59" t="s">
        <v>1469</v>
      </c>
      <c r="AF67" s="41"/>
      <c r="AH67" s="26"/>
      <c r="AI67" s="97"/>
    </row>
    <row r="68" spans="2:36" x14ac:dyDescent="0.25">
      <c r="B68" s="26">
        <v>1</v>
      </c>
      <c r="C68" s="41" t="s">
        <v>1393</v>
      </c>
      <c r="D68" t="s">
        <v>1349</v>
      </c>
      <c r="E68" s="26">
        <v>40</v>
      </c>
      <c r="F68" s="26">
        <f>50*E68</f>
        <v>2000</v>
      </c>
      <c r="H68" t="s">
        <v>1383</v>
      </c>
      <c r="J68" s="41"/>
      <c r="P68" s="26"/>
      <c r="Q68" s="41"/>
      <c r="S68" s="26"/>
      <c r="T68" s="97"/>
      <c r="X68" s="26"/>
      <c r="Y68" s="41"/>
      <c r="AA68" s="26"/>
      <c r="AB68" s="97"/>
      <c r="AE68" s="26"/>
      <c r="AF68" s="41"/>
      <c r="AH68" s="26"/>
      <c r="AI68" s="97"/>
    </row>
    <row r="69" spans="2:36" x14ac:dyDescent="0.25">
      <c r="B69" s="26">
        <v>2</v>
      </c>
      <c r="C69" s="41" t="s">
        <v>1394</v>
      </c>
      <c r="D69" t="s">
        <v>1311</v>
      </c>
      <c r="E69" s="26">
        <v>40</v>
      </c>
      <c r="F69" s="26">
        <f t="shared" ref="F69:F81" si="0">50*E69</f>
        <v>2000</v>
      </c>
      <c r="H69" t="s">
        <v>1311</v>
      </c>
      <c r="I69" s="18" t="s">
        <v>1305</v>
      </c>
      <c r="J69" s="40" t="s">
        <v>1306</v>
      </c>
      <c r="K69" s="4" t="s">
        <v>1307</v>
      </c>
      <c r="L69" s="100" t="s">
        <v>1</v>
      </c>
      <c r="M69" s="18" t="s">
        <v>1308</v>
      </c>
      <c r="N69" s="4" t="s">
        <v>1309</v>
      </c>
      <c r="O69" t="s">
        <v>605</v>
      </c>
      <c r="P69" s="18" t="s">
        <v>1305</v>
      </c>
      <c r="Q69" s="40" t="s">
        <v>1306</v>
      </c>
      <c r="R69" s="4" t="s">
        <v>1307</v>
      </c>
      <c r="S69" s="100" t="s">
        <v>1</v>
      </c>
      <c r="T69" s="18" t="s">
        <v>1308</v>
      </c>
      <c r="U69" s="4" t="s">
        <v>1309</v>
      </c>
      <c r="W69" t="s">
        <v>605</v>
      </c>
      <c r="X69" s="18" t="s">
        <v>1305</v>
      </c>
      <c r="Y69" s="40" t="s">
        <v>1306</v>
      </c>
      <c r="Z69" s="4" t="s">
        <v>1307</v>
      </c>
      <c r="AA69" s="100" t="s">
        <v>1</v>
      </c>
      <c r="AB69" s="18" t="s">
        <v>1308</v>
      </c>
      <c r="AC69" s="4" t="s">
        <v>1309</v>
      </c>
      <c r="AD69" t="s">
        <v>605</v>
      </c>
      <c r="AE69" s="18" t="s">
        <v>1305</v>
      </c>
      <c r="AF69" s="40" t="s">
        <v>1306</v>
      </c>
      <c r="AG69" s="4" t="s">
        <v>1307</v>
      </c>
      <c r="AH69" s="100" t="s">
        <v>1</v>
      </c>
      <c r="AI69" s="18" t="s">
        <v>1308</v>
      </c>
      <c r="AJ69" s="4" t="s">
        <v>1309</v>
      </c>
    </row>
    <row r="70" spans="2:36" x14ac:dyDescent="0.25">
      <c r="B70" s="26">
        <v>3</v>
      </c>
      <c r="C70" s="41" t="s">
        <v>1395</v>
      </c>
      <c r="D70" t="s">
        <v>1311</v>
      </c>
      <c r="E70" s="26">
        <v>48</v>
      </c>
      <c r="F70" s="26">
        <f t="shared" si="0"/>
        <v>2400</v>
      </c>
      <c r="H70" t="s">
        <v>1311</v>
      </c>
      <c r="I70">
        <v>1</v>
      </c>
      <c r="J70" s="41">
        <v>960.1</v>
      </c>
      <c r="K70" t="s">
        <v>1368</v>
      </c>
      <c r="L70" s="1">
        <v>45</v>
      </c>
      <c r="M70">
        <v>2499</v>
      </c>
      <c r="O70" t="s">
        <v>1432</v>
      </c>
      <c r="P70">
        <v>1</v>
      </c>
      <c r="Q70" t="s">
        <v>1433</v>
      </c>
      <c r="R70" t="s">
        <v>1352</v>
      </c>
      <c r="S70">
        <v>48</v>
      </c>
      <c r="T70">
        <f>60*S70</f>
        <v>2880</v>
      </c>
      <c r="W70" t="s">
        <v>1432</v>
      </c>
      <c r="X70" s="41">
        <v>1</v>
      </c>
      <c r="Y70" s="41" t="s">
        <v>1467</v>
      </c>
      <c r="Z70" t="s">
        <v>1349</v>
      </c>
      <c r="AA70">
        <v>48</v>
      </c>
      <c r="AB70">
        <f>60*AA70</f>
        <v>2880</v>
      </c>
      <c r="AD70" t="s">
        <v>1497</v>
      </c>
      <c r="AE70" s="41">
        <v>29</v>
      </c>
      <c r="AF70" s="41" t="s">
        <v>1499</v>
      </c>
      <c r="AG70" t="s">
        <v>1349</v>
      </c>
      <c r="AH70">
        <v>42</v>
      </c>
      <c r="AI70">
        <f>50*AH70</f>
        <v>2100</v>
      </c>
    </row>
    <row r="71" spans="2:36" x14ac:dyDescent="0.25">
      <c r="B71" s="26">
        <v>4</v>
      </c>
      <c r="C71" s="41" t="s">
        <v>1396</v>
      </c>
      <c r="D71" t="s">
        <v>1311</v>
      </c>
      <c r="E71" s="26">
        <v>40</v>
      </c>
      <c r="F71" s="26">
        <f t="shared" si="0"/>
        <v>2000</v>
      </c>
      <c r="H71" t="s">
        <v>1311</v>
      </c>
      <c r="I71">
        <v>2</v>
      </c>
      <c r="J71" s="41">
        <v>960.2</v>
      </c>
      <c r="K71" t="s">
        <v>1311</v>
      </c>
      <c r="L71" s="1">
        <v>45</v>
      </c>
      <c r="M71">
        <v>2621</v>
      </c>
      <c r="O71" t="s">
        <v>1311</v>
      </c>
      <c r="P71">
        <v>2</v>
      </c>
      <c r="Q71" t="s">
        <v>1434</v>
      </c>
      <c r="R71" t="s">
        <v>1311</v>
      </c>
      <c r="S71">
        <v>48</v>
      </c>
      <c r="T71">
        <f>60*S71</f>
        <v>2880</v>
      </c>
      <c r="W71" t="s">
        <v>1311</v>
      </c>
      <c r="X71" s="41">
        <v>2</v>
      </c>
      <c r="Y71" s="41" t="s">
        <v>1483</v>
      </c>
      <c r="Z71" t="s">
        <v>1311</v>
      </c>
      <c r="AA71">
        <v>48</v>
      </c>
      <c r="AB71">
        <f t="shared" ref="AB71:AB80" si="1">60*AA71</f>
        <v>2880</v>
      </c>
      <c r="AD71" t="s">
        <v>1311</v>
      </c>
      <c r="AE71" s="41">
        <v>30</v>
      </c>
      <c r="AF71" s="41" t="s">
        <v>1500</v>
      </c>
      <c r="AH71">
        <v>48</v>
      </c>
      <c r="AI71">
        <f>50*AH71</f>
        <v>2400</v>
      </c>
    </row>
    <row r="72" spans="2:36" x14ac:dyDescent="0.25">
      <c r="B72" s="26">
        <v>5</v>
      </c>
      <c r="C72" s="41" t="s">
        <v>1397</v>
      </c>
      <c r="D72" t="s">
        <v>1311</v>
      </c>
      <c r="E72" s="26">
        <v>40</v>
      </c>
      <c r="F72" s="26">
        <f t="shared" si="0"/>
        <v>2000</v>
      </c>
      <c r="H72" t="s">
        <v>1311</v>
      </c>
      <c r="I72">
        <v>3</v>
      </c>
      <c r="J72" s="41">
        <v>960.3</v>
      </c>
      <c r="K72" t="s">
        <v>1311</v>
      </c>
      <c r="L72" s="1">
        <v>45</v>
      </c>
      <c r="M72">
        <v>2663</v>
      </c>
      <c r="O72" t="s">
        <v>1311</v>
      </c>
      <c r="P72">
        <v>3</v>
      </c>
      <c r="Q72" t="s">
        <v>1435</v>
      </c>
      <c r="R72" t="s">
        <v>1311</v>
      </c>
      <c r="S72">
        <v>48</v>
      </c>
      <c r="T72">
        <f>60*S72</f>
        <v>2880</v>
      </c>
      <c r="W72" t="s">
        <v>1311</v>
      </c>
      <c r="X72" s="41">
        <v>3</v>
      </c>
      <c r="Y72" s="9" t="s">
        <v>1470</v>
      </c>
      <c r="Z72" t="s">
        <v>1311</v>
      </c>
      <c r="AA72">
        <v>48</v>
      </c>
      <c r="AB72">
        <f t="shared" si="1"/>
        <v>2880</v>
      </c>
      <c r="AD72" t="s">
        <v>1311</v>
      </c>
      <c r="AE72" s="41">
        <v>31</v>
      </c>
      <c r="AF72" s="9" t="s">
        <v>1501</v>
      </c>
      <c r="AH72">
        <v>48</v>
      </c>
      <c r="AI72">
        <f>50*AH72</f>
        <v>2400</v>
      </c>
    </row>
    <row r="73" spans="2:36" x14ac:dyDescent="0.25">
      <c r="B73" s="26">
        <v>6</v>
      </c>
      <c r="C73" s="41" t="s">
        <v>1398</v>
      </c>
      <c r="D73" t="s">
        <v>1311</v>
      </c>
      <c r="E73" s="26">
        <v>40</v>
      </c>
      <c r="F73" s="26">
        <f t="shared" si="0"/>
        <v>2000</v>
      </c>
      <c r="H73" t="s">
        <v>1311</v>
      </c>
      <c r="I73">
        <v>4</v>
      </c>
      <c r="J73" s="41">
        <v>960.4</v>
      </c>
      <c r="K73" t="s">
        <v>1311</v>
      </c>
      <c r="L73" s="1">
        <v>45</v>
      </c>
      <c r="M73">
        <v>2700</v>
      </c>
      <c r="O73" t="s">
        <v>1311</v>
      </c>
      <c r="P73">
        <v>4</v>
      </c>
      <c r="Q73" t="s">
        <v>1436</v>
      </c>
      <c r="R73" t="s">
        <v>1311</v>
      </c>
      <c r="S73">
        <v>48</v>
      </c>
      <c r="T73">
        <f>60*S73</f>
        <v>2880</v>
      </c>
      <c r="W73" t="s">
        <v>1311</v>
      </c>
      <c r="X73" s="41">
        <v>4</v>
      </c>
      <c r="Y73" s="41" t="s">
        <v>1471</v>
      </c>
      <c r="Z73" t="s">
        <v>1311</v>
      </c>
      <c r="AA73">
        <v>48</v>
      </c>
      <c r="AB73">
        <f t="shared" si="1"/>
        <v>2880</v>
      </c>
      <c r="AD73" t="s">
        <v>1311</v>
      </c>
      <c r="AE73" s="41">
        <v>32</v>
      </c>
      <c r="AF73" s="41" t="s">
        <v>1498</v>
      </c>
      <c r="AH73">
        <v>48</v>
      </c>
      <c r="AI73">
        <f>50*AH73</f>
        <v>2400</v>
      </c>
    </row>
    <row r="74" spans="2:36" x14ac:dyDescent="0.25">
      <c r="B74" s="26">
        <v>7</v>
      </c>
      <c r="C74" s="41" t="s">
        <v>1399</v>
      </c>
      <c r="D74" t="s">
        <v>1311</v>
      </c>
      <c r="E74" s="26">
        <v>40</v>
      </c>
      <c r="F74" s="26">
        <f t="shared" si="0"/>
        <v>2000</v>
      </c>
      <c r="H74" t="s">
        <v>1311</v>
      </c>
      <c r="I74">
        <v>5</v>
      </c>
      <c r="J74" s="41">
        <v>960.5</v>
      </c>
      <c r="K74" t="s">
        <v>1311</v>
      </c>
      <c r="L74" s="1">
        <v>45</v>
      </c>
      <c r="M74">
        <v>2657</v>
      </c>
      <c r="O74" t="s">
        <v>1384</v>
      </c>
      <c r="P74">
        <v>5</v>
      </c>
      <c r="Q74" t="s">
        <v>1437</v>
      </c>
      <c r="R74" t="s">
        <v>1301</v>
      </c>
      <c r="S74">
        <v>30</v>
      </c>
      <c r="T74">
        <f>100*S74</f>
        <v>3000</v>
      </c>
      <c r="W74" t="s">
        <v>1311</v>
      </c>
      <c r="X74" s="41">
        <v>5</v>
      </c>
      <c r="Y74" s="9" t="s">
        <v>1472</v>
      </c>
      <c r="Z74" t="s">
        <v>1311</v>
      </c>
      <c r="AA74">
        <v>48</v>
      </c>
      <c r="AB74">
        <f t="shared" si="1"/>
        <v>2880</v>
      </c>
    </row>
    <row r="75" spans="2:36" x14ac:dyDescent="0.25">
      <c r="B75" s="26">
        <v>8</v>
      </c>
      <c r="C75" s="41" t="s">
        <v>1400</v>
      </c>
      <c r="D75" t="s">
        <v>1311</v>
      </c>
      <c r="E75" s="26">
        <v>40</v>
      </c>
      <c r="F75" s="26">
        <f t="shared" si="0"/>
        <v>2000</v>
      </c>
      <c r="H75" t="s">
        <v>1311</v>
      </c>
      <c r="I75">
        <v>6</v>
      </c>
      <c r="J75" s="41">
        <v>960.6</v>
      </c>
      <c r="K75" t="s">
        <v>1311</v>
      </c>
      <c r="L75" s="1">
        <v>45</v>
      </c>
      <c r="M75">
        <v>2567</v>
      </c>
      <c r="O75" t="s">
        <v>1311</v>
      </c>
      <c r="P75">
        <v>6</v>
      </c>
      <c r="Q75" t="s">
        <v>1438</v>
      </c>
      <c r="R75" t="s">
        <v>1311</v>
      </c>
      <c r="S75">
        <v>30</v>
      </c>
      <c r="T75">
        <f>100*S75</f>
        <v>3000</v>
      </c>
      <c r="W75" t="s">
        <v>1311</v>
      </c>
      <c r="X75" s="41">
        <v>6</v>
      </c>
      <c r="Y75" s="41" t="s">
        <v>1473</v>
      </c>
      <c r="Z75" t="s">
        <v>1311</v>
      </c>
      <c r="AA75">
        <v>48</v>
      </c>
      <c r="AB75">
        <f t="shared" si="1"/>
        <v>2880</v>
      </c>
    </row>
    <row r="76" spans="2:36" x14ac:dyDescent="0.25">
      <c r="B76" s="26">
        <v>9</v>
      </c>
      <c r="C76" s="41" t="s">
        <v>1401</v>
      </c>
      <c r="D76" t="s">
        <v>1311</v>
      </c>
      <c r="E76" s="26">
        <v>40</v>
      </c>
      <c r="F76" s="26">
        <f t="shared" si="0"/>
        <v>2000</v>
      </c>
      <c r="H76" t="s">
        <v>1384</v>
      </c>
      <c r="I76">
        <v>7</v>
      </c>
      <c r="J76" s="41">
        <v>960.7</v>
      </c>
      <c r="K76" t="s">
        <v>1311</v>
      </c>
      <c r="L76" s="1">
        <v>37</v>
      </c>
      <c r="M76">
        <v>2220</v>
      </c>
      <c r="O76" t="s">
        <v>1311</v>
      </c>
      <c r="P76">
        <v>7</v>
      </c>
      <c r="Q76" t="s">
        <v>1439</v>
      </c>
      <c r="R76" t="s">
        <v>1311</v>
      </c>
      <c r="S76">
        <v>30</v>
      </c>
      <c r="T76">
        <f>100*S76</f>
        <v>3000</v>
      </c>
      <c r="W76" t="s">
        <v>1311</v>
      </c>
      <c r="X76" s="41">
        <v>7</v>
      </c>
      <c r="Y76" s="9" t="s">
        <v>1474</v>
      </c>
      <c r="Z76" t="s">
        <v>1311</v>
      </c>
      <c r="AA76">
        <v>50</v>
      </c>
      <c r="AB76">
        <f t="shared" si="1"/>
        <v>3000</v>
      </c>
    </row>
    <row r="77" spans="2:36" x14ac:dyDescent="0.25">
      <c r="B77" s="26">
        <v>10</v>
      </c>
      <c r="C77" s="41" t="s">
        <v>1406</v>
      </c>
      <c r="D77" t="s">
        <v>1311</v>
      </c>
      <c r="E77" s="26">
        <v>40</v>
      </c>
      <c r="F77" s="26">
        <f t="shared" si="0"/>
        <v>2000</v>
      </c>
      <c r="H77" t="s">
        <v>1311</v>
      </c>
      <c r="I77">
        <v>8</v>
      </c>
      <c r="J77" s="41">
        <v>960.8</v>
      </c>
      <c r="K77" t="s">
        <v>1311</v>
      </c>
      <c r="L77" s="1">
        <v>45</v>
      </c>
      <c r="M77">
        <v>2700</v>
      </c>
      <c r="O77" t="s">
        <v>1386</v>
      </c>
      <c r="P77">
        <v>8</v>
      </c>
      <c r="Q77" t="s">
        <v>1440</v>
      </c>
      <c r="R77" t="s">
        <v>1302</v>
      </c>
      <c r="S77">
        <v>27</v>
      </c>
      <c r="T77">
        <v>1138</v>
      </c>
      <c r="W77" t="s">
        <v>1311</v>
      </c>
      <c r="X77" s="41">
        <v>8</v>
      </c>
      <c r="Y77" s="41" t="s">
        <v>1475</v>
      </c>
      <c r="Z77" t="s">
        <v>1311</v>
      </c>
      <c r="AA77">
        <v>48</v>
      </c>
      <c r="AB77">
        <f t="shared" si="1"/>
        <v>2880</v>
      </c>
    </row>
    <row r="78" spans="2:36" x14ac:dyDescent="0.25">
      <c r="B78" s="26">
        <v>11</v>
      </c>
      <c r="C78" s="41" t="s">
        <v>1402</v>
      </c>
      <c r="D78" t="s">
        <v>1311</v>
      </c>
      <c r="E78" s="26">
        <v>48</v>
      </c>
      <c r="F78" s="26">
        <f t="shared" si="0"/>
        <v>2400</v>
      </c>
      <c r="H78" t="s">
        <v>1311</v>
      </c>
      <c r="I78">
        <v>9</v>
      </c>
      <c r="J78" s="41" t="s">
        <v>1415</v>
      </c>
      <c r="K78" t="s">
        <v>1416</v>
      </c>
      <c r="L78" s="5">
        <v>40</v>
      </c>
      <c r="M78">
        <v>2000</v>
      </c>
      <c r="O78" t="s">
        <v>1432</v>
      </c>
      <c r="Q78" t="s">
        <v>1467</v>
      </c>
      <c r="W78" t="s">
        <v>1311</v>
      </c>
      <c r="X78" s="41">
        <v>9</v>
      </c>
      <c r="Y78" s="9" t="s">
        <v>1476</v>
      </c>
      <c r="Z78" t="s">
        <v>1311</v>
      </c>
      <c r="AA78">
        <v>48</v>
      </c>
      <c r="AB78">
        <f t="shared" si="1"/>
        <v>2880</v>
      </c>
    </row>
    <row r="79" spans="2:36" x14ac:dyDescent="0.25">
      <c r="B79" s="26">
        <v>12</v>
      </c>
      <c r="C79" s="41" t="s">
        <v>1403</v>
      </c>
      <c r="D79" t="s">
        <v>1311</v>
      </c>
      <c r="E79" s="26">
        <v>40</v>
      </c>
      <c r="F79" s="26">
        <f t="shared" si="0"/>
        <v>2000</v>
      </c>
      <c r="H79" t="s">
        <v>1311</v>
      </c>
      <c r="I79">
        <v>10</v>
      </c>
      <c r="J79" s="41" t="s">
        <v>1417</v>
      </c>
      <c r="K79" t="s">
        <v>1311</v>
      </c>
      <c r="L79" s="5">
        <v>26</v>
      </c>
      <c r="M79">
        <v>1271</v>
      </c>
      <c r="W79" t="s">
        <v>1311</v>
      </c>
      <c r="X79" s="41">
        <v>10</v>
      </c>
      <c r="Y79" s="41" t="s">
        <v>1477</v>
      </c>
      <c r="Z79" t="s">
        <v>1311</v>
      </c>
      <c r="AA79">
        <v>48</v>
      </c>
      <c r="AB79">
        <f t="shared" si="1"/>
        <v>2880</v>
      </c>
    </row>
    <row r="80" spans="2:36" x14ac:dyDescent="0.25">
      <c r="B80" s="26">
        <v>13</v>
      </c>
      <c r="C80" s="41" t="s">
        <v>1404</v>
      </c>
      <c r="D80" t="s">
        <v>1311</v>
      </c>
      <c r="E80" s="26">
        <v>40</v>
      </c>
      <c r="F80" s="26">
        <f t="shared" si="0"/>
        <v>2000</v>
      </c>
      <c r="I80">
        <v>11</v>
      </c>
      <c r="J80" s="41" t="s">
        <v>1418</v>
      </c>
      <c r="K80" t="s">
        <v>1311</v>
      </c>
      <c r="L80" s="5">
        <v>40</v>
      </c>
      <c r="M80">
        <v>2000</v>
      </c>
      <c r="W80" t="s">
        <v>1311</v>
      </c>
      <c r="X80" s="41">
        <v>11</v>
      </c>
      <c r="Y80" s="9" t="s">
        <v>1478</v>
      </c>
      <c r="Z80" t="s">
        <v>1311</v>
      </c>
      <c r="AA80">
        <v>48</v>
      </c>
      <c r="AB80">
        <f t="shared" si="1"/>
        <v>2880</v>
      </c>
    </row>
    <row r="81" spans="2:28" x14ac:dyDescent="0.25">
      <c r="B81" s="26">
        <v>14</v>
      </c>
      <c r="C81" s="41" t="s">
        <v>1405</v>
      </c>
      <c r="D81" t="s">
        <v>1311</v>
      </c>
      <c r="E81" s="26">
        <v>24</v>
      </c>
      <c r="F81" s="26">
        <f t="shared" si="0"/>
        <v>1200</v>
      </c>
      <c r="I81">
        <v>12</v>
      </c>
      <c r="J81" s="41" t="s">
        <v>1419</v>
      </c>
      <c r="K81" t="s">
        <v>1311</v>
      </c>
      <c r="L81" s="5">
        <v>41</v>
      </c>
      <c r="M81">
        <v>2050</v>
      </c>
      <c r="W81" t="s">
        <v>1386</v>
      </c>
      <c r="X81" s="41">
        <v>12</v>
      </c>
      <c r="Y81" s="41" t="s">
        <v>1479</v>
      </c>
      <c r="Z81" t="s">
        <v>1368</v>
      </c>
      <c r="AA81">
        <v>24</v>
      </c>
      <c r="AB81">
        <f>30*24</f>
        <v>720</v>
      </c>
    </row>
    <row r="82" spans="2:28" x14ac:dyDescent="0.25">
      <c r="W82" t="s">
        <v>1311</v>
      </c>
      <c r="X82" s="41">
        <v>13</v>
      </c>
      <c r="Y82" s="9" t="s">
        <v>1480</v>
      </c>
      <c r="Z82" t="s">
        <v>1304</v>
      </c>
      <c r="AA82">
        <v>16</v>
      </c>
      <c r="AB82">
        <v>9192</v>
      </c>
    </row>
    <row r="83" spans="2:28" x14ac:dyDescent="0.25">
      <c r="W83" t="s">
        <v>1311</v>
      </c>
      <c r="X83" s="41">
        <v>14</v>
      </c>
      <c r="Y83" s="41" t="s">
        <v>1481</v>
      </c>
      <c r="Z83" t="s">
        <v>1368</v>
      </c>
      <c r="AA83">
        <v>24</v>
      </c>
      <c r="AB83">
        <v>1862</v>
      </c>
    </row>
    <row r="84" spans="2:28" x14ac:dyDescent="0.25">
      <c r="W84" t="s">
        <v>1311</v>
      </c>
      <c r="X84" s="41">
        <v>15</v>
      </c>
      <c r="Y84" s="9" t="s">
        <v>1482</v>
      </c>
      <c r="Z84" t="s">
        <v>1304</v>
      </c>
      <c r="AA84">
        <v>16</v>
      </c>
      <c r="AB84">
        <v>9584</v>
      </c>
    </row>
    <row r="85" spans="2:28" x14ac:dyDescent="0.25">
      <c r="W85" t="s">
        <v>1311</v>
      </c>
      <c r="X85" s="41">
        <v>16</v>
      </c>
      <c r="Y85" s="41" t="s">
        <v>1484</v>
      </c>
      <c r="Z85" t="s">
        <v>1368</v>
      </c>
      <c r="AA85">
        <v>24</v>
      </c>
      <c r="AB85">
        <v>1920</v>
      </c>
    </row>
    <row r="86" spans="2:28" x14ac:dyDescent="0.25">
      <c r="W86" t="s">
        <v>1383</v>
      </c>
      <c r="X86" s="41">
        <v>17</v>
      </c>
      <c r="Y86" s="41" t="s">
        <v>1485</v>
      </c>
      <c r="Z86" t="s">
        <v>1381</v>
      </c>
      <c r="AA86">
        <v>43</v>
      </c>
      <c r="AB86">
        <v>2306</v>
      </c>
    </row>
    <row r="87" spans="2:28" x14ac:dyDescent="0.25">
      <c r="W87" t="s">
        <v>1311</v>
      </c>
      <c r="X87" s="41">
        <v>18</v>
      </c>
      <c r="Y87" s="41" t="s">
        <v>1486</v>
      </c>
      <c r="Z87" t="s">
        <v>1369</v>
      </c>
      <c r="AA87">
        <v>35</v>
      </c>
      <c r="AB87">
        <v>8280</v>
      </c>
    </row>
    <row r="88" spans="2:28" x14ac:dyDescent="0.25">
      <c r="W88" t="s">
        <v>1386</v>
      </c>
      <c r="X88" s="41">
        <v>19</v>
      </c>
      <c r="Y88" s="41" t="s">
        <v>1487</v>
      </c>
      <c r="Z88" t="s">
        <v>1369</v>
      </c>
      <c r="AA88">
        <v>24</v>
      </c>
      <c r="AB88">
        <v>7680</v>
      </c>
    </row>
    <row r="89" spans="2:28" x14ac:dyDescent="0.25">
      <c r="J89" s="26"/>
      <c r="K89" s="26"/>
      <c r="L89" s="1"/>
      <c r="M89"/>
      <c r="R89" s="26"/>
      <c r="W89" t="s">
        <v>1311</v>
      </c>
      <c r="X89" s="41">
        <v>20</v>
      </c>
      <c r="Y89" s="41" t="s">
        <v>1488</v>
      </c>
      <c r="Z89" t="s">
        <v>1304</v>
      </c>
      <c r="AA89">
        <v>11</v>
      </c>
      <c r="AB89">
        <v>6272</v>
      </c>
    </row>
    <row r="90" spans="2:28" x14ac:dyDescent="0.25">
      <c r="J90" s="26"/>
      <c r="K90" s="26"/>
      <c r="L90" s="1"/>
      <c r="M90"/>
      <c r="R90" s="26"/>
      <c r="W90" t="s">
        <v>1311</v>
      </c>
      <c r="X90" s="41">
        <v>21</v>
      </c>
      <c r="Y90" s="41" t="s">
        <v>1489</v>
      </c>
      <c r="Z90" t="s">
        <v>1468</v>
      </c>
      <c r="AA90">
        <v>18</v>
      </c>
      <c r="AB90">
        <v>2160</v>
      </c>
    </row>
    <row r="91" spans="2:28" x14ac:dyDescent="0.25">
      <c r="J91" s="26"/>
      <c r="K91" s="26"/>
      <c r="L91" s="1"/>
      <c r="M91"/>
      <c r="R91" s="26"/>
      <c r="W91" t="s">
        <v>1311</v>
      </c>
      <c r="X91" s="41">
        <v>22</v>
      </c>
      <c r="Y91" s="41" t="s">
        <v>1490</v>
      </c>
      <c r="Z91" t="s">
        <v>1311</v>
      </c>
      <c r="AA91">
        <v>18</v>
      </c>
      <c r="AB91">
        <v>2160</v>
      </c>
    </row>
    <row r="92" spans="2:28" x14ac:dyDescent="0.25">
      <c r="J92" s="26"/>
      <c r="K92" s="26"/>
      <c r="L92" s="1"/>
      <c r="M92"/>
      <c r="R92" s="26"/>
      <c r="W92" t="s">
        <v>1311</v>
      </c>
      <c r="X92" s="41">
        <v>23</v>
      </c>
      <c r="Y92" s="41" t="s">
        <v>1491</v>
      </c>
      <c r="Z92" t="s">
        <v>1311</v>
      </c>
      <c r="AA92">
        <v>18</v>
      </c>
      <c r="AB92">
        <v>2160</v>
      </c>
    </row>
    <row r="93" spans="2:28" x14ac:dyDescent="0.25">
      <c r="J93" s="26"/>
      <c r="K93" s="26"/>
      <c r="L93" s="1"/>
      <c r="M93"/>
      <c r="R93" s="26"/>
      <c r="W93" t="s">
        <v>1311</v>
      </c>
      <c r="X93" s="41">
        <v>24</v>
      </c>
      <c r="Y93" s="41" t="s">
        <v>1492</v>
      </c>
      <c r="Z93" t="s">
        <v>1311</v>
      </c>
      <c r="AA93">
        <v>48</v>
      </c>
      <c r="AB93">
        <v>2160</v>
      </c>
    </row>
    <row r="94" spans="2:28" x14ac:dyDescent="0.25">
      <c r="J94" s="26"/>
      <c r="K94" s="26"/>
      <c r="L94" s="1"/>
      <c r="M94"/>
      <c r="R94" s="26"/>
      <c r="W94" t="s">
        <v>1311</v>
      </c>
      <c r="X94" s="41">
        <v>25</v>
      </c>
      <c r="Y94" s="41" t="s">
        <v>1493</v>
      </c>
      <c r="Z94" t="s">
        <v>1352</v>
      </c>
      <c r="AA94">
        <v>19</v>
      </c>
      <c r="AB94">
        <v>2258</v>
      </c>
    </row>
    <row r="95" spans="2:28" x14ac:dyDescent="0.25">
      <c r="J95" s="26"/>
      <c r="K95" s="26"/>
      <c r="L95" s="1"/>
      <c r="M95"/>
      <c r="R95" s="26"/>
      <c r="W95" t="s">
        <v>1311</v>
      </c>
      <c r="X95" s="41">
        <v>26</v>
      </c>
      <c r="Y95" s="41" t="s">
        <v>1494</v>
      </c>
      <c r="Z95" t="s">
        <v>1311</v>
      </c>
      <c r="AA95">
        <v>18</v>
      </c>
      <c r="AB95">
        <f>18*120</f>
        <v>2160</v>
      </c>
    </row>
    <row r="96" spans="2:28" x14ac:dyDescent="0.25">
      <c r="J96" s="26"/>
      <c r="K96" s="26"/>
      <c r="L96" s="1"/>
      <c r="M96"/>
      <c r="R96" s="26"/>
      <c r="W96" t="s">
        <v>1311</v>
      </c>
      <c r="X96" s="41">
        <v>27</v>
      </c>
      <c r="Y96" s="41" t="s">
        <v>1495</v>
      </c>
      <c r="Z96" t="s">
        <v>1311</v>
      </c>
      <c r="AA96">
        <v>14</v>
      </c>
      <c r="AB96">
        <v>1540</v>
      </c>
    </row>
    <row r="97" spans="1:28" x14ac:dyDescent="0.25">
      <c r="B97" s="59" t="s">
        <v>1407</v>
      </c>
      <c r="E97" s="26"/>
      <c r="F97" s="97"/>
      <c r="J97" s="26"/>
      <c r="K97" s="26"/>
      <c r="L97" s="5"/>
      <c r="R97" s="26"/>
      <c r="W97" t="s">
        <v>1311</v>
      </c>
      <c r="X97" s="41">
        <v>28</v>
      </c>
      <c r="Y97" s="41" t="s">
        <v>1496</v>
      </c>
      <c r="Z97" t="s">
        <v>1311</v>
      </c>
      <c r="AA97">
        <v>18</v>
      </c>
      <c r="AB97">
        <v>2160</v>
      </c>
    </row>
    <row r="98" spans="1:28" x14ac:dyDescent="0.25">
      <c r="B98" s="26"/>
      <c r="E98" s="26"/>
      <c r="F98" s="97"/>
      <c r="J98" s="26"/>
      <c r="K98" s="26"/>
      <c r="L98" s="5"/>
      <c r="R98" s="26"/>
    </row>
    <row r="99" spans="1:28" x14ac:dyDescent="0.25">
      <c r="A99" t="s">
        <v>605</v>
      </c>
      <c r="B99" s="18" t="s">
        <v>1305</v>
      </c>
      <c r="C99" s="40" t="s">
        <v>1306</v>
      </c>
      <c r="D99" s="4" t="s">
        <v>1307</v>
      </c>
      <c r="E99" s="100" t="s">
        <v>1</v>
      </c>
      <c r="F99" s="18" t="s">
        <v>1308</v>
      </c>
      <c r="G99" s="4" t="s">
        <v>1309</v>
      </c>
      <c r="K99" s="26"/>
      <c r="L99" s="5"/>
      <c r="R99" s="26"/>
    </row>
    <row r="100" spans="1:28" x14ac:dyDescent="0.25">
      <c r="A100" t="s">
        <v>1384</v>
      </c>
      <c r="B100" s="41">
        <v>1</v>
      </c>
      <c r="C100" s="41" t="s">
        <v>1502</v>
      </c>
      <c r="D100" t="s">
        <v>1416</v>
      </c>
      <c r="E100" s="26">
        <v>44</v>
      </c>
      <c r="F100">
        <f>43*50+38</f>
        <v>2188</v>
      </c>
      <c r="K100" s="26"/>
      <c r="L100" s="5"/>
      <c r="R100" s="26"/>
    </row>
    <row r="101" spans="1:28" x14ac:dyDescent="0.25">
      <c r="A101" t="s">
        <v>1311</v>
      </c>
      <c r="B101" s="41">
        <v>2</v>
      </c>
      <c r="C101" s="41" t="s">
        <v>1503</v>
      </c>
      <c r="D101" t="s">
        <v>1311</v>
      </c>
      <c r="E101" s="26">
        <v>40</v>
      </c>
      <c r="F101">
        <f>50*39+17</f>
        <v>1967</v>
      </c>
      <c r="K101" s="26"/>
      <c r="R101" s="26"/>
    </row>
    <row r="102" spans="1:28" x14ac:dyDescent="0.25">
      <c r="A102" t="s">
        <v>1311</v>
      </c>
      <c r="B102" s="41">
        <v>3</v>
      </c>
      <c r="C102" s="9" t="s">
        <v>1504</v>
      </c>
      <c r="D102" t="s">
        <v>1311</v>
      </c>
      <c r="E102" s="26">
        <v>40</v>
      </c>
      <c r="F102">
        <f>40*50</f>
        <v>2000</v>
      </c>
      <c r="K102" s="26"/>
      <c r="R102" s="26"/>
    </row>
    <row r="103" spans="1:28" x14ac:dyDescent="0.25">
      <c r="A103" t="s">
        <v>1432</v>
      </c>
      <c r="B103" s="41">
        <v>4</v>
      </c>
      <c r="C103" s="41" t="s">
        <v>1506</v>
      </c>
      <c r="D103" t="s">
        <v>1349</v>
      </c>
      <c r="E103" s="26">
        <v>33</v>
      </c>
      <c r="F103" s="26">
        <v>1814</v>
      </c>
      <c r="R103" s="26"/>
    </row>
    <row r="104" spans="1:28" x14ac:dyDescent="0.25">
      <c r="A104" t="s">
        <v>1311</v>
      </c>
      <c r="B104" s="41">
        <v>5</v>
      </c>
      <c r="C104" s="9" t="s">
        <v>1507</v>
      </c>
      <c r="D104" t="s">
        <v>1311</v>
      </c>
      <c r="E104" s="26">
        <v>48</v>
      </c>
      <c r="F104" s="26">
        <f t="shared" ref="F104:F109" si="2">E104*60</f>
        <v>2880</v>
      </c>
      <c r="R104" s="26"/>
    </row>
    <row r="105" spans="1:28" x14ac:dyDescent="0.25">
      <c r="A105" t="s">
        <v>1311</v>
      </c>
      <c r="B105" s="41">
        <v>6</v>
      </c>
      <c r="C105" s="41" t="s">
        <v>1508</v>
      </c>
      <c r="D105" t="s">
        <v>1311</v>
      </c>
      <c r="E105" s="26">
        <v>48</v>
      </c>
      <c r="F105" s="26">
        <f t="shared" si="2"/>
        <v>2880</v>
      </c>
      <c r="R105" s="26"/>
    </row>
    <row r="106" spans="1:28" x14ac:dyDescent="0.25">
      <c r="A106" t="s">
        <v>1311</v>
      </c>
      <c r="B106" s="41">
        <v>7</v>
      </c>
      <c r="C106" s="9" t="s">
        <v>1509</v>
      </c>
      <c r="D106" t="s">
        <v>1311</v>
      </c>
      <c r="E106" s="26">
        <v>48</v>
      </c>
      <c r="F106" s="26">
        <f t="shared" si="2"/>
        <v>2880</v>
      </c>
      <c r="R106" s="26"/>
    </row>
    <row r="107" spans="1:28" x14ac:dyDescent="0.25">
      <c r="A107" t="s">
        <v>1311</v>
      </c>
      <c r="B107" s="41">
        <v>8</v>
      </c>
      <c r="C107" s="41" t="s">
        <v>1510</v>
      </c>
      <c r="D107" t="s">
        <v>1311</v>
      </c>
      <c r="E107" s="26">
        <v>48</v>
      </c>
      <c r="F107" s="26">
        <f t="shared" si="2"/>
        <v>2880</v>
      </c>
      <c r="R107" s="26"/>
    </row>
    <row r="108" spans="1:28" x14ac:dyDescent="0.25">
      <c r="A108" t="s">
        <v>1311</v>
      </c>
      <c r="B108" s="41">
        <v>9</v>
      </c>
      <c r="C108" s="9" t="s">
        <v>1511</v>
      </c>
      <c r="D108" t="s">
        <v>1311</v>
      </c>
      <c r="E108" s="26">
        <v>48</v>
      </c>
      <c r="F108" s="26">
        <f t="shared" si="2"/>
        <v>2880</v>
      </c>
      <c r="R108" s="26"/>
    </row>
    <row r="109" spans="1:28" x14ac:dyDescent="0.25">
      <c r="A109" t="s">
        <v>1311</v>
      </c>
      <c r="B109" s="41">
        <v>10</v>
      </c>
      <c r="C109" s="9" t="s">
        <v>1512</v>
      </c>
      <c r="D109" t="s">
        <v>1352</v>
      </c>
      <c r="E109" s="26">
        <v>48</v>
      </c>
      <c r="F109" s="26">
        <f t="shared" si="2"/>
        <v>2880</v>
      </c>
    </row>
    <row r="110" spans="1:28" x14ac:dyDescent="0.25">
      <c r="B110" s="41"/>
    </row>
    <row r="111" spans="1:28" x14ac:dyDescent="0.25">
      <c r="B111" s="41"/>
    </row>
    <row r="112" spans="1:28" x14ac:dyDescent="0.25">
      <c r="B112" s="41"/>
    </row>
    <row r="113" spans="2:2" x14ac:dyDescent="0.25">
      <c r="B113" s="41"/>
    </row>
    <row r="114" spans="2:2" x14ac:dyDescent="0.25">
      <c r="B114" s="41"/>
    </row>
    <row r="115" spans="2:2" x14ac:dyDescent="0.25">
      <c r="B115" s="41"/>
    </row>
  </sheetData>
  <pageMargins left="0.7" right="0.7" top="0.75" bottom="0.75" header="0.3" footer="0.3"/>
  <pageSetup orientation="portrait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H546"/>
  <sheetViews>
    <sheetView showGridLines="0" workbookViewId="0">
      <selection activeCell="E5" sqref="E5:E12"/>
    </sheetView>
  </sheetViews>
  <sheetFormatPr defaultRowHeight="15" x14ac:dyDescent="0.25"/>
  <cols>
    <col min="1" max="1" width="6.7109375" customWidth="1"/>
    <col min="2" max="2" width="3.28515625" customWidth="1"/>
    <col min="3" max="3" width="10.7109375" customWidth="1"/>
    <col min="4" max="4" width="1.42578125" customWidth="1"/>
    <col min="5" max="5" width="11.42578125" customWidth="1"/>
    <col min="6" max="6" width="5.85546875" customWidth="1"/>
    <col min="8" max="8" width="2.42578125" customWidth="1"/>
    <col min="10" max="10" width="6.28515625" customWidth="1"/>
    <col min="11" max="29" width="6.7109375" customWidth="1"/>
  </cols>
  <sheetData>
    <row r="1" spans="2:60" x14ac:dyDescent="0.25">
      <c r="V1">
        <v>328</v>
      </c>
    </row>
    <row r="2" spans="2:60" x14ac:dyDescent="0.25">
      <c r="B2" s="41" t="s">
        <v>9</v>
      </c>
      <c r="C2" s="41"/>
      <c r="D2" s="41"/>
      <c r="E2" s="39">
        <v>20627</v>
      </c>
      <c r="I2" s="41" t="s">
        <v>8</v>
      </c>
      <c r="J2" s="42">
        <v>60</v>
      </c>
      <c r="P2" s="41" t="s">
        <v>1222</v>
      </c>
      <c r="Q2" s="59">
        <f>J2+(E2-E3)</f>
        <v>60</v>
      </c>
    </row>
    <row r="3" spans="2:60" x14ac:dyDescent="0.25">
      <c r="B3" s="41" t="s">
        <v>7</v>
      </c>
      <c r="C3" s="41"/>
      <c r="D3" s="40"/>
      <c r="E3" s="39">
        <f>SUM(E4:E29)</f>
        <v>20627</v>
      </c>
      <c r="F3">
        <f>SUM(F5:F29)</f>
        <v>352</v>
      </c>
      <c r="G3" t="s">
        <v>1</v>
      </c>
    </row>
    <row r="4" spans="2:60" x14ac:dyDescent="0.25">
      <c r="B4" s="37">
        <v>0</v>
      </c>
      <c r="C4" s="38">
        <v>0</v>
      </c>
      <c r="D4" s="37"/>
      <c r="E4" s="36"/>
      <c r="F4" s="35" t="s">
        <v>1</v>
      </c>
      <c r="G4" s="33" t="s">
        <v>6</v>
      </c>
      <c r="H4" s="33"/>
      <c r="I4" s="35" t="s">
        <v>5</v>
      </c>
      <c r="J4" s="34" t="s">
        <v>4</v>
      </c>
      <c r="K4" s="33">
        <v>1</v>
      </c>
      <c r="L4" s="33">
        <v>2</v>
      </c>
      <c r="M4" s="33">
        <v>3</v>
      </c>
      <c r="N4" s="33">
        <v>4</v>
      </c>
      <c r="O4" s="33">
        <v>5</v>
      </c>
      <c r="P4" s="33">
        <v>6</v>
      </c>
      <c r="Q4" s="33">
        <v>7</v>
      </c>
      <c r="R4" s="33">
        <v>8</v>
      </c>
      <c r="S4" s="33">
        <v>9</v>
      </c>
      <c r="T4" s="33">
        <v>10</v>
      </c>
      <c r="U4" s="33">
        <v>11</v>
      </c>
      <c r="V4" s="33">
        <v>12</v>
      </c>
      <c r="W4" s="33">
        <v>13</v>
      </c>
      <c r="X4" s="33">
        <v>14</v>
      </c>
      <c r="Y4" s="33">
        <v>15</v>
      </c>
      <c r="Z4" s="33">
        <v>16</v>
      </c>
      <c r="AA4" s="33">
        <v>17</v>
      </c>
      <c r="AB4" s="33">
        <v>18</v>
      </c>
      <c r="AC4" s="32">
        <v>19</v>
      </c>
      <c r="AD4" s="32">
        <v>20</v>
      </c>
      <c r="AE4" s="32">
        <v>21</v>
      </c>
      <c r="AF4" s="32">
        <v>22</v>
      </c>
      <c r="AG4" s="32">
        <v>23</v>
      </c>
      <c r="AH4" s="32">
        <v>24</v>
      </c>
      <c r="AI4" s="32">
        <v>25</v>
      </c>
      <c r="AJ4" s="32">
        <v>26</v>
      </c>
      <c r="AK4" s="32">
        <v>27</v>
      </c>
      <c r="AL4" s="32">
        <v>28</v>
      </c>
      <c r="AM4" s="32">
        <v>29</v>
      </c>
      <c r="AN4" s="33">
        <v>30</v>
      </c>
      <c r="AO4" s="32">
        <v>31</v>
      </c>
      <c r="AP4" s="32">
        <v>32</v>
      </c>
      <c r="AQ4" s="32">
        <v>33</v>
      </c>
      <c r="AR4" s="32">
        <v>34</v>
      </c>
      <c r="AS4" s="32">
        <v>35</v>
      </c>
      <c r="AT4" s="32">
        <v>36</v>
      </c>
      <c r="AU4" s="32">
        <v>37</v>
      </c>
      <c r="AV4" s="32">
        <v>38</v>
      </c>
      <c r="AW4" s="32">
        <v>39</v>
      </c>
      <c r="AX4" s="32">
        <v>40</v>
      </c>
      <c r="AY4" s="32">
        <v>41</v>
      </c>
      <c r="AZ4" s="32">
        <v>42</v>
      </c>
      <c r="BA4" s="32">
        <v>43</v>
      </c>
      <c r="BB4" s="32">
        <v>44</v>
      </c>
      <c r="BC4" s="32">
        <v>45</v>
      </c>
      <c r="BD4" s="32">
        <v>46</v>
      </c>
      <c r="BE4" s="32">
        <v>47</v>
      </c>
      <c r="BF4" s="32">
        <v>48</v>
      </c>
      <c r="BG4" s="32">
        <v>49</v>
      </c>
      <c r="BH4" s="32">
        <v>50</v>
      </c>
    </row>
    <row r="5" spans="2:60" x14ac:dyDescent="0.25">
      <c r="B5" s="31">
        <v>1</v>
      </c>
      <c r="C5" s="30">
        <f t="shared" ref="C5:C29" si="0">IF(E5=0,"-",C4+E5)</f>
        <v>2499</v>
      </c>
      <c r="D5" s="29"/>
      <c r="E5" s="28">
        <f t="shared" ref="E5:E29" si="1">G5+I5</f>
        <v>2499</v>
      </c>
      <c r="F5" s="27">
        <v>45</v>
      </c>
      <c r="G5" s="26">
        <f>(F5-J5)*J2</f>
        <v>2340</v>
      </c>
      <c r="H5" t="s">
        <v>3</v>
      </c>
      <c r="I5" s="26">
        <f t="shared" ref="I5:I29" si="2">SUM(K5:BH5)</f>
        <v>159</v>
      </c>
      <c r="J5" s="25">
        <f t="shared" ref="J5:J29" si="3">COUNTIF(K5:BH5,"&lt;&gt;"&amp;"")</f>
        <v>6</v>
      </c>
      <c r="K5" s="16">
        <v>23</v>
      </c>
      <c r="L5" s="15">
        <v>23</v>
      </c>
      <c r="M5" s="15">
        <v>6</v>
      </c>
      <c r="N5" s="15">
        <v>43</v>
      </c>
      <c r="O5" s="15">
        <v>14</v>
      </c>
      <c r="P5" s="15">
        <v>50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</row>
    <row r="6" spans="2:60" x14ac:dyDescent="0.25">
      <c r="B6" s="31">
        <v>2</v>
      </c>
      <c r="C6" s="30">
        <f>IF(E6=1,"-",C5+E6)</f>
        <v>5120</v>
      </c>
      <c r="D6" s="29"/>
      <c r="E6" s="28">
        <f t="shared" si="1"/>
        <v>2621</v>
      </c>
      <c r="F6" s="27">
        <v>45</v>
      </c>
      <c r="G6" s="26">
        <f t="shared" ref="G6:G29" si="4">(F6-J6)*J$2</f>
        <v>2580</v>
      </c>
      <c r="H6" t="s">
        <v>3</v>
      </c>
      <c r="I6" s="26">
        <f t="shared" si="2"/>
        <v>41</v>
      </c>
      <c r="J6" s="25">
        <f t="shared" si="3"/>
        <v>2</v>
      </c>
      <c r="K6" s="24">
        <v>13</v>
      </c>
      <c r="L6">
        <v>28</v>
      </c>
    </row>
    <row r="7" spans="2:60" x14ac:dyDescent="0.25">
      <c r="B7" s="31">
        <v>3</v>
      </c>
      <c r="C7" s="30">
        <f t="shared" si="0"/>
        <v>7783</v>
      </c>
      <c r="D7" s="29"/>
      <c r="E7" s="28">
        <f t="shared" si="1"/>
        <v>2663</v>
      </c>
      <c r="F7" s="27">
        <v>45</v>
      </c>
      <c r="G7" s="26">
        <f t="shared" si="4"/>
        <v>2580</v>
      </c>
      <c r="H7" t="s">
        <v>3</v>
      </c>
      <c r="I7" s="26">
        <f t="shared" si="2"/>
        <v>83</v>
      </c>
      <c r="J7" s="25">
        <f t="shared" si="3"/>
        <v>2</v>
      </c>
      <c r="K7" s="16">
        <v>44</v>
      </c>
      <c r="L7" s="15">
        <v>39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</row>
    <row r="8" spans="2:60" x14ac:dyDescent="0.25">
      <c r="B8" s="31">
        <v>4</v>
      </c>
      <c r="C8" s="30">
        <f t="shared" si="0"/>
        <v>10483</v>
      </c>
      <c r="D8" s="29"/>
      <c r="E8" s="28">
        <f t="shared" si="1"/>
        <v>2700</v>
      </c>
      <c r="F8" s="27">
        <v>45</v>
      </c>
      <c r="G8" s="26">
        <f t="shared" si="4"/>
        <v>2700</v>
      </c>
      <c r="H8" t="s">
        <v>3</v>
      </c>
      <c r="I8" s="26">
        <f t="shared" si="2"/>
        <v>0</v>
      </c>
      <c r="J8" s="25">
        <f t="shared" si="3"/>
        <v>0</v>
      </c>
      <c r="K8" s="24"/>
    </row>
    <row r="9" spans="2:60" x14ac:dyDescent="0.25">
      <c r="B9" s="31">
        <v>5</v>
      </c>
      <c r="C9" s="30">
        <f t="shared" si="0"/>
        <v>13140</v>
      </c>
      <c r="D9" s="29"/>
      <c r="E9" s="28">
        <f t="shared" si="1"/>
        <v>2657</v>
      </c>
      <c r="F9" s="27">
        <v>45</v>
      </c>
      <c r="G9" s="26">
        <f t="shared" si="4"/>
        <v>2640</v>
      </c>
      <c r="H9" t="s">
        <v>3</v>
      </c>
      <c r="I9" s="26">
        <f t="shared" si="2"/>
        <v>17</v>
      </c>
      <c r="J9" s="25">
        <f t="shared" si="3"/>
        <v>1</v>
      </c>
      <c r="K9" s="16">
        <v>17</v>
      </c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</row>
    <row r="10" spans="2:60" x14ac:dyDescent="0.25">
      <c r="B10" s="31">
        <v>6</v>
      </c>
      <c r="C10" s="30">
        <f t="shared" si="0"/>
        <v>15707</v>
      </c>
      <c r="D10" s="29"/>
      <c r="E10" s="28">
        <f t="shared" si="1"/>
        <v>2567</v>
      </c>
      <c r="F10" s="27">
        <v>45</v>
      </c>
      <c r="G10" s="26">
        <f t="shared" si="4"/>
        <v>2460</v>
      </c>
      <c r="H10" t="s">
        <v>3</v>
      </c>
      <c r="I10" s="26">
        <f t="shared" si="2"/>
        <v>107</v>
      </c>
      <c r="J10" s="25">
        <f t="shared" si="3"/>
        <v>4</v>
      </c>
      <c r="K10" s="24">
        <v>42</v>
      </c>
      <c r="L10">
        <v>14</v>
      </c>
      <c r="M10">
        <v>26</v>
      </c>
      <c r="N10">
        <v>25</v>
      </c>
    </row>
    <row r="11" spans="2:60" x14ac:dyDescent="0.25">
      <c r="B11" s="31">
        <v>7</v>
      </c>
      <c r="C11" s="30">
        <f t="shared" si="0"/>
        <v>17927</v>
      </c>
      <c r="D11" s="29"/>
      <c r="E11" s="28">
        <f t="shared" si="1"/>
        <v>2220</v>
      </c>
      <c r="F11" s="27">
        <v>37</v>
      </c>
      <c r="G11" s="26">
        <f t="shared" si="4"/>
        <v>2220</v>
      </c>
      <c r="H11" t="s">
        <v>3</v>
      </c>
      <c r="I11" s="26">
        <f t="shared" si="2"/>
        <v>0</v>
      </c>
      <c r="J11" s="25">
        <f t="shared" si="3"/>
        <v>0</v>
      </c>
      <c r="K11" s="16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</row>
    <row r="12" spans="2:60" x14ac:dyDescent="0.25">
      <c r="B12" s="31">
        <v>8</v>
      </c>
      <c r="C12" s="30">
        <f t="shared" si="0"/>
        <v>20627</v>
      </c>
      <c r="D12" s="29"/>
      <c r="E12" s="28">
        <f t="shared" si="1"/>
        <v>2700</v>
      </c>
      <c r="F12" s="27">
        <v>45</v>
      </c>
      <c r="G12" s="26">
        <f t="shared" si="4"/>
        <v>2700</v>
      </c>
      <c r="H12" t="s">
        <v>3</v>
      </c>
      <c r="I12" s="26">
        <f t="shared" si="2"/>
        <v>0</v>
      </c>
      <c r="J12" s="25">
        <f t="shared" si="3"/>
        <v>0</v>
      </c>
      <c r="K12" s="24"/>
    </row>
    <row r="13" spans="2:60" x14ac:dyDescent="0.25">
      <c r="B13" s="31">
        <v>9</v>
      </c>
      <c r="C13" s="30" t="str">
        <f t="shared" si="0"/>
        <v>-</v>
      </c>
      <c r="D13" s="29"/>
      <c r="E13" s="28">
        <f t="shared" si="1"/>
        <v>0</v>
      </c>
      <c r="F13" s="27"/>
      <c r="G13" s="26">
        <f t="shared" si="4"/>
        <v>0</v>
      </c>
      <c r="H13" t="s">
        <v>3</v>
      </c>
      <c r="I13" s="26">
        <f t="shared" si="2"/>
        <v>0</v>
      </c>
      <c r="J13" s="25">
        <f t="shared" si="3"/>
        <v>0</v>
      </c>
      <c r="K13" s="16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</row>
    <row r="14" spans="2:60" x14ac:dyDescent="0.25">
      <c r="B14" s="31">
        <v>10</v>
      </c>
      <c r="C14" s="30" t="str">
        <f t="shared" si="0"/>
        <v>-</v>
      </c>
      <c r="D14" s="29"/>
      <c r="E14" s="28">
        <f t="shared" si="1"/>
        <v>0</v>
      </c>
      <c r="F14" s="27"/>
      <c r="G14" s="26">
        <f t="shared" si="4"/>
        <v>0</v>
      </c>
      <c r="H14" t="s">
        <v>3</v>
      </c>
      <c r="I14" s="26">
        <f t="shared" si="2"/>
        <v>0</v>
      </c>
      <c r="J14" s="25">
        <f t="shared" si="3"/>
        <v>0</v>
      </c>
      <c r="K14" s="24"/>
    </row>
    <row r="15" spans="2:60" x14ac:dyDescent="0.25">
      <c r="B15" s="31">
        <v>11</v>
      </c>
      <c r="C15" s="30" t="str">
        <f t="shared" si="0"/>
        <v>-</v>
      </c>
      <c r="D15" s="29"/>
      <c r="E15" s="28">
        <f t="shared" si="1"/>
        <v>0</v>
      </c>
      <c r="F15" s="27"/>
      <c r="G15" s="26">
        <f t="shared" si="4"/>
        <v>0</v>
      </c>
      <c r="H15" t="s">
        <v>3</v>
      </c>
      <c r="I15" s="26">
        <f t="shared" si="2"/>
        <v>0</v>
      </c>
      <c r="J15" s="25">
        <f t="shared" si="3"/>
        <v>0</v>
      </c>
      <c r="K15" s="16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</row>
    <row r="16" spans="2:60" x14ac:dyDescent="0.25">
      <c r="B16" s="31">
        <v>12</v>
      </c>
      <c r="C16" s="30" t="str">
        <f t="shared" si="0"/>
        <v>-</v>
      </c>
      <c r="D16" s="29"/>
      <c r="E16" s="28">
        <f t="shared" si="1"/>
        <v>0</v>
      </c>
      <c r="F16" s="27"/>
      <c r="G16" s="26">
        <f t="shared" si="4"/>
        <v>0</v>
      </c>
      <c r="H16" t="s">
        <v>3</v>
      </c>
      <c r="I16" s="26">
        <f t="shared" si="2"/>
        <v>0</v>
      </c>
      <c r="J16" s="25">
        <f t="shared" si="3"/>
        <v>0</v>
      </c>
      <c r="K16" s="24"/>
    </row>
    <row r="17" spans="2:60" x14ac:dyDescent="0.25">
      <c r="B17" s="31">
        <v>13</v>
      </c>
      <c r="C17" s="30" t="str">
        <f t="shared" si="0"/>
        <v>-</v>
      </c>
      <c r="D17" s="29"/>
      <c r="E17" s="28">
        <f t="shared" si="1"/>
        <v>0</v>
      </c>
      <c r="F17" s="27"/>
      <c r="G17" s="26">
        <f t="shared" si="4"/>
        <v>0</v>
      </c>
      <c r="H17" t="s">
        <v>3</v>
      </c>
      <c r="I17" s="26">
        <f t="shared" si="2"/>
        <v>0</v>
      </c>
      <c r="J17" s="25">
        <f t="shared" si="3"/>
        <v>0</v>
      </c>
      <c r="K17" s="16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</row>
    <row r="18" spans="2:60" x14ac:dyDescent="0.25">
      <c r="B18" s="31">
        <v>14</v>
      </c>
      <c r="C18" s="30" t="str">
        <f t="shared" si="0"/>
        <v>-</v>
      </c>
      <c r="D18" s="29"/>
      <c r="E18" s="28">
        <f t="shared" si="1"/>
        <v>0</v>
      </c>
      <c r="F18" s="27"/>
      <c r="G18" s="26">
        <f t="shared" si="4"/>
        <v>0</v>
      </c>
      <c r="H18" t="s">
        <v>3</v>
      </c>
      <c r="I18" s="26">
        <f t="shared" si="2"/>
        <v>0</v>
      </c>
      <c r="J18" s="25">
        <f t="shared" si="3"/>
        <v>0</v>
      </c>
      <c r="K18" s="24"/>
    </row>
    <row r="19" spans="2:60" x14ac:dyDescent="0.25">
      <c r="B19" s="31">
        <v>15</v>
      </c>
      <c r="C19" s="30" t="str">
        <f t="shared" si="0"/>
        <v>-</v>
      </c>
      <c r="D19" s="29"/>
      <c r="E19" s="28">
        <f t="shared" si="1"/>
        <v>0</v>
      </c>
      <c r="F19" s="27"/>
      <c r="G19" s="26">
        <f t="shared" si="4"/>
        <v>0</v>
      </c>
      <c r="H19" t="s">
        <v>3</v>
      </c>
      <c r="I19" s="26">
        <f t="shared" si="2"/>
        <v>0</v>
      </c>
      <c r="J19" s="25">
        <f t="shared" si="3"/>
        <v>0</v>
      </c>
      <c r="K19" s="16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</row>
    <row r="20" spans="2:60" x14ac:dyDescent="0.25">
      <c r="B20" s="31">
        <v>16</v>
      </c>
      <c r="C20" s="30" t="str">
        <f t="shared" si="0"/>
        <v>-</v>
      </c>
      <c r="D20" s="29"/>
      <c r="E20" s="28">
        <f t="shared" si="1"/>
        <v>0</v>
      </c>
      <c r="F20" s="27"/>
      <c r="G20" s="26">
        <f t="shared" si="4"/>
        <v>0</v>
      </c>
      <c r="H20" t="s">
        <v>3</v>
      </c>
      <c r="I20" s="26">
        <f t="shared" si="2"/>
        <v>0</v>
      </c>
      <c r="J20" s="25">
        <f t="shared" si="3"/>
        <v>0</v>
      </c>
      <c r="K20" s="24"/>
    </row>
    <row r="21" spans="2:60" x14ac:dyDescent="0.25">
      <c r="B21" s="31">
        <v>17</v>
      </c>
      <c r="C21" s="30" t="str">
        <f t="shared" si="0"/>
        <v>-</v>
      </c>
      <c r="D21" s="29"/>
      <c r="E21" s="28">
        <f t="shared" si="1"/>
        <v>0</v>
      </c>
      <c r="F21" s="27"/>
      <c r="G21" s="26">
        <f t="shared" si="4"/>
        <v>0</v>
      </c>
      <c r="H21" t="s">
        <v>3</v>
      </c>
      <c r="I21" s="26">
        <f t="shared" si="2"/>
        <v>0</v>
      </c>
      <c r="J21" s="25">
        <f t="shared" si="3"/>
        <v>0</v>
      </c>
      <c r="K21" s="16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</row>
    <row r="22" spans="2:60" x14ac:dyDescent="0.25">
      <c r="B22" s="31">
        <v>18</v>
      </c>
      <c r="C22" s="30" t="str">
        <f t="shared" si="0"/>
        <v>-</v>
      </c>
      <c r="D22" s="29"/>
      <c r="E22" s="28">
        <f t="shared" si="1"/>
        <v>0</v>
      </c>
      <c r="F22" s="27"/>
      <c r="G22" s="26">
        <f t="shared" si="4"/>
        <v>0</v>
      </c>
      <c r="H22" t="s">
        <v>3</v>
      </c>
      <c r="I22" s="26">
        <f t="shared" si="2"/>
        <v>0</v>
      </c>
      <c r="J22" s="25">
        <f t="shared" si="3"/>
        <v>0</v>
      </c>
      <c r="K22" s="24"/>
    </row>
    <row r="23" spans="2:60" x14ac:dyDescent="0.25">
      <c r="B23" s="31">
        <v>19</v>
      </c>
      <c r="C23" s="30" t="str">
        <f t="shared" si="0"/>
        <v>-</v>
      </c>
      <c r="D23" s="29"/>
      <c r="E23" s="28">
        <f t="shared" si="1"/>
        <v>0</v>
      </c>
      <c r="F23" s="27"/>
      <c r="G23" s="26">
        <f t="shared" si="4"/>
        <v>0</v>
      </c>
      <c r="H23" t="s">
        <v>3</v>
      </c>
      <c r="I23" s="26">
        <f t="shared" si="2"/>
        <v>0</v>
      </c>
      <c r="J23" s="25">
        <f t="shared" si="3"/>
        <v>0</v>
      </c>
      <c r="K23" s="16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</row>
    <row r="24" spans="2:60" x14ac:dyDescent="0.25">
      <c r="B24" s="31">
        <v>20</v>
      </c>
      <c r="C24" s="30" t="str">
        <f t="shared" si="0"/>
        <v>-</v>
      </c>
      <c r="D24" s="29"/>
      <c r="E24" s="28">
        <f t="shared" si="1"/>
        <v>0</v>
      </c>
      <c r="F24" s="27"/>
      <c r="G24" s="26">
        <f t="shared" si="4"/>
        <v>0</v>
      </c>
      <c r="H24" t="s">
        <v>3</v>
      </c>
      <c r="I24" s="26">
        <f t="shared" si="2"/>
        <v>0</v>
      </c>
      <c r="J24" s="25">
        <f t="shared" si="3"/>
        <v>0</v>
      </c>
      <c r="K24" s="24"/>
    </row>
    <row r="25" spans="2:60" x14ac:dyDescent="0.25">
      <c r="B25" s="31">
        <v>21</v>
      </c>
      <c r="C25" s="30" t="str">
        <f t="shared" si="0"/>
        <v>-</v>
      </c>
      <c r="D25" s="29"/>
      <c r="E25" s="28">
        <f t="shared" si="1"/>
        <v>0</v>
      </c>
      <c r="F25" s="27"/>
      <c r="G25" s="26">
        <f t="shared" si="4"/>
        <v>0</v>
      </c>
      <c r="H25" t="s">
        <v>3</v>
      </c>
      <c r="I25" s="26">
        <f t="shared" si="2"/>
        <v>0</v>
      </c>
      <c r="J25" s="25">
        <f t="shared" si="3"/>
        <v>0</v>
      </c>
      <c r="K25" s="16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</row>
    <row r="26" spans="2:60" x14ac:dyDescent="0.25">
      <c r="B26" s="31">
        <v>22</v>
      </c>
      <c r="C26" s="30" t="str">
        <f t="shared" si="0"/>
        <v>-</v>
      </c>
      <c r="D26" s="29"/>
      <c r="E26" s="28">
        <f t="shared" si="1"/>
        <v>0</v>
      </c>
      <c r="F26" s="27"/>
      <c r="G26" s="26">
        <f t="shared" si="4"/>
        <v>0</v>
      </c>
      <c r="H26" t="s">
        <v>3</v>
      </c>
      <c r="I26" s="26">
        <f t="shared" si="2"/>
        <v>0</v>
      </c>
      <c r="J26" s="25">
        <f t="shared" si="3"/>
        <v>0</v>
      </c>
      <c r="K26" s="24"/>
    </row>
    <row r="27" spans="2:60" x14ac:dyDescent="0.25">
      <c r="B27" s="31">
        <v>23</v>
      </c>
      <c r="C27" s="30" t="str">
        <f t="shared" si="0"/>
        <v>-</v>
      </c>
      <c r="D27" s="29"/>
      <c r="E27" s="28">
        <f t="shared" si="1"/>
        <v>0</v>
      </c>
      <c r="F27" s="27"/>
      <c r="G27" s="26">
        <f t="shared" si="4"/>
        <v>0</v>
      </c>
      <c r="H27" t="s">
        <v>3</v>
      </c>
      <c r="I27" s="26">
        <f t="shared" si="2"/>
        <v>0</v>
      </c>
      <c r="J27" s="25">
        <f t="shared" si="3"/>
        <v>0</v>
      </c>
      <c r="K27" s="16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</row>
    <row r="28" spans="2:60" x14ac:dyDescent="0.25">
      <c r="B28" s="31">
        <v>24</v>
      </c>
      <c r="C28" s="30" t="str">
        <f t="shared" si="0"/>
        <v>-</v>
      </c>
      <c r="D28" s="29"/>
      <c r="E28" s="28">
        <f t="shared" si="1"/>
        <v>0</v>
      </c>
      <c r="F28" s="27"/>
      <c r="G28" s="26">
        <f t="shared" si="4"/>
        <v>0</v>
      </c>
      <c r="H28" t="s">
        <v>3</v>
      </c>
      <c r="I28" s="26">
        <f t="shared" si="2"/>
        <v>0</v>
      </c>
      <c r="J28" s="25">
        <f t="shared" si="3"/>
        <v>0</v>
      </c>
      <c r="K28" s="24"/>
    </row>
    <row r="29" spans="2:60" x14ac:dyDescent="0.25">
      <c r="B29" s="23">
        <v>25</v>
      </c>
      <c r="C29" s="22" t="str">
        <f t="shared" si="0"/>
        <v>-</v>
      </c>
      <c r="D29" s="21"/>
      <c r="E29" s="20">
        <f t="shared" si="1"/>
        <v>0</v>
      </c>
      <c r="F29" s="19"/>
      <c r="G29" s="18">
        <f t="shared" si="4"/>
        <v>0</v>
      </c>
      <c r="H29" s="4" t="s">
        <v>3</v>
      </c>
      <c r="I29" s="18">
        <f t="shared" si="2"/>
        <v>0</v>
      </c>
      <c r="J29" s="17">
        <f t="shared" si="3"/>
        <v>0</v>
      </c>
      <c r="K29" s="16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</row>
    <row r="31" spans="2:60" x14ac:dyDescent="0.25">
      <c r="H31" s="41" t="s">
        <v>1412</v>
      </c>
      <c r="I31" s="106">
        <f>X546</f>
        <v>0</v>
      </c>
      <c r="L31" s="41" t="s">
        <v>1408</v>
      </c>
      <c r="M31" s="103">
        <v>1348</v>
      </c>
      <c r="V31" s="109"/>
      <c r="W31" s="26"/>
    </row>
    <row r="32" spans="2:60" x14ac:dyDescent="0.25">
      <c r="H32" s="41" t="s">
        <v>1413</v>
      </c>
      <c r="I32" s="106">
        <f>Z546</f>
        <v>16</v>
      </c>
      <c r="L32" s="101">
        <v>1</v>
      </c>
      <c r="M32" s="101">
        <v>2</v>
      </c>
      <c r="N32" s="101">
        <v>3</v>
      </c>
      <c r="O32" s="101">
        <v>4</v>
      </c>
      <c r="P32" s="101">
        <v>5</v>
      </c>
      <c r="Q32" s="101">
        <v>6</v>
      </c>
      <c r="R32" s="101">
        <v>7</v>
      </c>
      <c r="S32" s="101">
        <v>8</v>
      </c>
      <c r="T32" s="101">
        <v>9</v>
      </c>
      <c r="U32" s="101">
        <v>10</v>
      </c>
      <c r="V32" s="109"/>
      <c r="W32" s="26"/>
      <c r="X32" s="41" t="s">
        <v>1411</v>
      </c>
      <c r="Y32" s="104">
        <v>120</v>
      </c>
    </row>
    <row r="33" spans="11:26" x14ac:dyDescent="0.25">
      <c r="L33" s="111">
        <v>0</v>
      </c>
      <c r="M33" s="102">
        <v>12</v>
      </c>
      <c r="N33" s="102">
        <v>104</v>
      </c>
      <c r="O33" s="102">
        <v>78</v>
      </c>
      <c r="P33" s="102">
        <v>89</v>
      </c>
      <c r="Q33" s="102">
        <v>117</v>
      </c>
      <c r="R33" s="102">
        <v>0</v>
      </c>
      <c r="S33" s="102">
        <v>0</v>
      </c>
      <c r="T33" s="102">
        <v>0</v>
      </c>
      <c r="U33" s="102">
        <v>0</v>
      </c>
      <c r="V33" s="110" t="s">
        <v>1409</v>
      </c>
      <c r="W33" s="18" t="s">
        <v>1410</v>
      </c>
      <c r="X33" s="1"/>
    </row>
    <row r="34" spans="11:26" x14ac:dyDescent="0.25">
      <c r="K34" s="105">
        <v>1</v>
      </c>
      <c r="L34">
        <f t="shared" ref="L34:Q43" si="5">IF(MID(DEC2BIN($K34,10),L$32,1)="1",L$33,0)</f>
        <v>0</v>
      </c>
      <c r="M34">
        <f t="shared" si="5"/>
        <v>0</v>
      </c>
      <c r="N34">
        <f t="shared" si="5"/>
        <v>0</v>
      </c>
      <c r="O34">
        <f t="shared" si="5"/>
        <v>0</v>
      </c>
      <c r="P34">
        <f t="shared" si="5"/>
        <v>0</v>
      </c>
      <c r="Q34">
        <f t="shared" si="5"/>
        <v>0</v>
      </c>
      <c r="R34">
        <v>0</v>
      </c>
      <c r="S34">
        <f t="shared" ref="S34:U53" si="6">IF(MID(DEC2BIN($K34,10),S$32,1)="1",S$33,0)</f>
        <v>0</v>
      </c>
      <c r="T34">
        <f t="shared" si="6"/>
        <v>0</v>
      </c>
      <c r="U34">
        <f t="shared" si="6"/>
        <v>0</v>
      </c>
      <c r="V34" s="107">
        <f t="shared" ref="V34:V97" si="7">SUM(L34:U34)</f>
        <v>0</v>
      </c>
      <c r="W34" s="26">
        <f t="shared" ref="W34:W97" si="8">$M$31-V34</f>
        <v>1348</v>
      </c>
      <c r="X34">
        <f t="shared" ref="X34:X97" si="9">IF(W34=0,1,0)</f>
        <v>0</v>
      </c>
      <c r="Y34">
        <f>W34/$Y$32</f>
        <v>11.233333333333333</v>
      </c>
      <c r="Z34">
        <f>IF(INT(Y34)=Y34,1,0)</f>
        <v>0</v>
      </c>
    </row>
    <row r="35" spans="11:26" x14ac:dyDescent="0.25">
      <c r="K35" s="105">
        <v>2</v>
      </c>
      <c r="L35">
        <f t="shared" si="5"/>
        <v>0</v>
      </c>
      <c r="M35">
        <f t="shared" si="5"/>
        <v>0</v>
      </c>
      <c r="N35">
        <f t="shared" si="5"/>
        <v>0</v>
      </c>
      <c r="O35">
        <f t="shared" si="5"/>
        <v>0</v>
      </c>
      <c r="P35">
        <f t="shared" si="5"/>
        <v>0</v>
      </c>
      <c r="Q35">
        <f t="shared" si="5"/>
        <v>0</v>
      </c>
      <c r="R35">
        <f t="shared" ref="R35:R98" si="10">IF(MID(DEC2BIN($K35,10),R$32,1)="1",R$33,0)</f>
        <v>0</v>
      </c>
      <c r="S35">
        <f t="shared" si="6"/>
        <v>0</v>
      </c>
      <c r="T35">
        <f t="shared" si="6"/>
        <v>0</v>
      </c>
      <c r="U35">
        <f t="shared" si="6"/>
        <v>0</v>
      </c>
      <c r="V35" s="108">
        <f t="shared" si="7"/>
        <v>0</v>
      </c>
      <c r="W35" s="26">
        <f t="shared" si="8"/>
        <v>1348</v>
      </c>
      <c r="X35">
        <f t="shared" si="9"/>
        <v>0</v>
      </c>
      <c r="Y35">
        <f t="shared" ref="Y35:Y98" si="11">W35/$Y$32</f>
        <v>11.233333333333333</v>
      </c>
      <c r="Z35">
        <f t="shared" ref="Z35:Z98" si="12">IF(INT(Y35)=Y35,1,0)</f>
        <v>0</v>
      </c>
    </row>
    <row r="36" spans="11:26" x14ac:dyDescent="0.25">
      <c r="K36" s="105">
        <v>3</v>
      </c>
      <c r="L36">
        <f t="shared" si="5"/>
        <v>0</v>
      </c>
      <c r="M36">
        <f t="shared" si="5"/>
        <v>0</v>
      </c>
      <c r="N36">
        <f t="shared" si="5"/>
        <v>0</v>
      </c>
      <c r="O36">
        <f t="shared" si="5"/>
        <v>0</v>
      </c>
      <c r="P36">
        <f t="shared" si="5"/>
        <v>0</v>
      </c>
      <c r="Q36">
        <f t="shared" si="5"/>
        <v>0</v>
      </c>
      <c r="R36">
        <f t="shared" si="10"/>
        <v>0</v>
      </c>
      <c r="S36">
        <f t="shared" si="6"/>
        <v>0</v>
      </c>
      <c r="T36">
        <f t="shared" si="6"/>
        <v>0</v>
      </c>
      <c r="U36">
        <f t="shared" si="6"/>
        <v>0</v>
      </c>
      <c r="V36" s="108">
        <f t="shared" si="7"/>
        <v>0</v>
      </c>
      <c r="W36" s="26">
        <f t="shared" si="8"/>
        <v>1348</v>
      </c>
      <c r="X36">
        <f t="shared" si="9"/>
        <v>0</v>
      </c>
      <c r="Y36">
        <f t="shared" si="11"/>
        <v>11.233333333333333</v>
      </c>
      <c r="Z36">
        <f t="shared" si="12"/>
        <v>0</v>
      </c>
    </row>
    <row r="37" spans="11:26" x14ac:dyDescent="0.25">
      <c r="K37" s="105">
        <v>4</v>
      </c>
      <c r="L37">
        <f t="shared" si="5"/>
        <v>0</v>
      </c>
      <c r="M37">
        <f t="shared" si="5"/>
        <v>0</v>
      </c>
      <c r="N37">
        <f t="shared" si="5"/>
        <v>0</v>
      </c>
      <c r="O37">
        <f t="shared" si="5"/>
        <v>0</v>
      </c>
      <c r="P37">
        <f t="shared" si="5"/>
        <v>0</v>
      </c>
      <c r="Q37">
        <f t="shared" si="5"/>
        <v>0</v>
      </c>
      <c r="R37">
        <f t="shared" si="10"/>
        <v>0</v>
      </c>
      <c r="S37">
        <f t="shared" si="6"/>
        <v>0</v>
      </c>
      <c r="T37">
        <f t="shared" si="6"/>
        <v>0</v>
      </c>
      <c r="U37">
        <f t="shared" si="6"/>
        <v>0</v>
      </c>
      <c r="V37" s="108">
        <f t="shared" si="7"/>
        <v>0</v>
      </c>
      <c r="W37" s="26">
        <f t="shared" si="8"/>
        <v>1348</v>
      </c>
      <c r="X37">
        <f t="shared" si="9"/>
        <v>0</v>
      </c>
      <c r="Y37">
        <f t="shared" si="11"/>
        <v>11.233333333333333</v>
      </c>
      <c r="Z37">
        <f t="shared" si="12"/>
        <v>0</v>
      </c>
    </row>
    <row r="38" spans="11:26" x14ac:dyDescent="0.25">
      <c r="K38" s="105">
        <v>5</v>
      </c>
      <c r="L38">
        <f t="shared" si="5"/>
        <v>0</v>
      </c>
      <c r="M38">
        <f t="shared" si="5"/>
        <v>0</v>
      </c>
      <c r="N38">
        <f t="shared" si="5"/>
        <v>0</v>
      </c>
      <c r="O38">
        <f t="shared" si="5"/>
        <v>0</v>
      </c>
      <c r="P38">
        <f t="shared" si="5"/>
        <v>0</v>
      </c>
      <c r="Q38">
        <f t="shared" si="5"/>
        <v>0</v>
      </c>
      <c r="R38">
        <f t="shared" si="10"/>
        <v>0</v>
      </c>
      <c r="S38">
        <f t="shared" si="6"/>
        <v>0</v>
      </c>
      <c r="T38">
        <f t="shared" si="6"/>
        <v>0</v>
      </c>
      <c r="U38">
        <f t="shared" si="6"/>
        <v>0</v>
      </c>
      <c r="V38" s="108">
        <f t="shared" si="7"/>
        <v>0</v>
      </c>
      <c r="W38" s="26">
        <f t="shared" si="8"/>
        <v>1348</v>
      </c>
      <c r="X38">
        <f t="shared" si="9"/>
        <v>0</v>
      </c>
      <c r="Y38">
        <f t="shared" si="11"/>
        <v>11.233333333333333</v>
      </c>
      <c r="Z38">
        <f t="shared" si="12"/>
        <v>0</v>
      </c>
    </row>
    <row r="39" spans="11:26" x14ac:dyDescent="0.25">
      <c r="K39" s="105">
        <v>6</v>
      </c>
      <c r="L39">
        <f t="shared" si="5"/>
        <v>0</v>
      </c>
      <c r="M39">
        <f t="shared" si="5"/>
        <v>0</v>
      </c>
      <c r="N39">
        <f t="shared" si="5"/>
        <v>0</v>
      </c>
      <c r="O39">
        <f t="shared" si="5"/>
        <v>0</v>
      </c>
      <c r="P39">
        <f t="shared" si="5"/>
        <v>0</v>
      </c>
      <c r="Q39">
        <f t="shared" si="5"/>
        <v>0</v>
      </c>
      <c r="R39">
        <f t="shared" si="10"/>
        <v>0</v>
      </c>
      <c r="S39">
        <f t="shared" si="6"/>
        <v>0</v>
      </c>
      <c r="T39">
        <f t="shared" si="6"/>
        <v>0</v>
      </c>
      <c r="U39">
        <f t="shared" si="6"/>
        <v>0</v>
      </c>
      <c r="V39" s="108">
        <f t="shared" si="7"/>
        <v>0</v>
      </c>
      <c r="W39" s="26">
        <f t="shared" si="8"/>
        <v>1348</v>
      </c>
      <c r="X39">
        <f t="shared" si="9"/>
        <v>0</v>
      </c>
      <c r="Y39">
        <f t="shared" si="11"/>
        <v>11.233333333333333</v>
      </c>
      <c r="Z39">
        <f t="shared" si="12"/>
        <v>0</v>
      </c>
    </row>
    <row r="40" spans="11:26" x14ac:dyDescent="0.25">
      <c r="K40" s="105">
        <v>7</v>
      </c>
      <c r="L40">
        <f t="shared" si="5"/>
        <v>0</v>
      </c>
      <c r="M40">
        <f t="shared" si="5"/>
        <v>0</v>
      </c>
      <c r="N40">
        <f t="shared" si="5"/>
        <v>0</v>
      </c>
      <c r="O40">
        <f t="shared" si="5"/>
        <v>0</v>
      </c>
      <c r="P40">
        <f t="shared" si="5"/>
        <v>0</v>
      </c>
      <c r="Q40">
        <f t="shared" si="5"/>
        <v>0</v>
      </c>
      <c r="R40">
        <f t="shared" si="10"/>
        <v>0</v>
      </c>
      <c r="S40">
        <f t="shared" si="6"/>
        <v>0</v>
      </c>
      <c r="T40">
        <f t="shared" si="6"/>
        <v>0</v>
      </c>
      <c r="U40">
        <f t="shared" si="6"/>
        <v>0</v>
      </c>
      <c r="V40" s="108">
        <f t="shared" si="7"/>
        <v>0</v>
      </c>
      <c r="W40" s="26">
        <f t="shared" si="8"/>
        <v>1348</v>
      </c>
      <c r="X40">
        <f t="shared" si="9"/>
        <v>0</v>
      </c>
      <c r="Y40">
        <f t="shared" si="11"/>
        <v>11.233333333333333</v>
      </c>
      <c r="Z40">
        <f t="shared" si="12"/>
        <v>0</v>
      </c>
    </row>
    <row r="41" spans="11:26" x14ac:dyDescent="0.25">
      <c r="K41" s="105">
        <v>8</v>
      </c>
      <c r="L41">
        <f t="shared" si="5"/>
        <v>0</v>
      </c>
      <c r="M41">
        <f t="shared" si="5"/>
        <v>0</v>
      </c>
      <c r="N41">
        <f t="shared" si="5"/>
        <v>0</v>
      </c>
      <c r="O41">
        <f t="shared" si="5"/>
        <v>0</v>
      </c>
      <c r="P41">
        <f t="shared" si="5"/>
        <v>0</v>
      </c>
      <c r="Q41">
        <f t="shared" si="5"/>
        <v>0</v>
      </c>
      <c r="R41">
        <f t="shared" si="10"/>
        <v>0</v>
      </c>
      <c r="S41">
        <f t="shared" si="6"/>
        <v>0</v>
      </c>
      <c r="T41">
        <f t="shared" si="6"/>
        <v>0</v>
      </c>
      <c r="U41">
        <f t="shared" si="6"/>
        <v>0</v>
      </c>
      <c r="V41" s="108">
        <f t="shared" si="7"/>
        <v>0</v>
      </c>
      <c r="W41" s="26">
        <f t="shared" si="8"/>
        <v>1348</v>
      </c>
      <c r="X41">
        <f t="shared" si="9"/>
        <v>0</v>
      </c>
      <c r="Y41">
        <f t="shared" si="11"/>
        <v>11.233333333333333</v>
      </c>
      <c r="Z41">
        <f t="shared" si="12"/>
        <v>0</v>
      </c>
    </row>
    <row r="42" spans="11:26" x14ac:dyDescent="0.25">
      <c r="K42" s="105">
        <v>9</v>
      </c>
      <c r="L42">
        <f t="shared" si="5"/>
        <v>0</v>
      </c>
      <c r="M42">
        <f t="shared" si="5"/>
        <v>0</v>
      </c>
      <c r="N42">
        <f t="shared" si="5"/>
        <v>0</v>
      </c>
      <c r="O42">
        <f t="shared" si="5"/>
        <v>0</v>
      </c>
      <c r="P42">
        <f t="shared" si="5"/>
        <v>0</v>
      </c>
      <c r="Q42">
        <f t="shared" si="5"/>
        <v>0</v>
      </c>
      <c r="R42">
        <f t="shared" si="10"/>
        <v>0</v>
      </c>
      <c r="S42">
        <f t="shared" si="6"/>
        <v>0</v>
      </c>
      <c r="T42">
        <f t="shared" si="6"/>
        <v>0</v>
      </c>
      <c r="U42">
        <f t="shared" si="6"/>
        <v>0</v>
      </c>
      <c r="V42" s="108">
        <f t="shared" si="7"/>
        <v>0</v>
      </c>
      <c r="W42" s="26">
        <f t="shared" si="8"/>
        <v>1348</v>
      </c>
      <c r="X42">
        <f t="shared" si="9"/>
        <v>0</v>
      </c>
      <c r="Y42">
        <f t="shared" si="11"/>
        <v>11.233333333333333</v>
      </c>
      <c r="Z42">
        <f t="shared" si="12"/>
        <v>0</v>
      </c>
    </row>
    <row r="43" spans="11:26" x14ac:dyDescent="0.25">
      <c r="K43" s="105">
        <v>10</v>
      </c>
      <c r="L43">
        <f t="shared" si="5"/>
        <v>0</v>
      </c>
      <c r="M43">
        <f t="shared" si="5"/>
        <v>0</v>
      </c>
      <c r="N43">
        <f t="shared" si="5"/>
        <v>0</v>
      </c>
      <c r="O43">
        <f t="shared" si="5"/>
        <v>0</v>
      </c>
      <c r="P43">
        <f t="shared" si="5"/>
        <v>0</v>
      </c>
      <c r="Q43">
        <f t="shared" si="5"/>
        <v>0</v>
      </c>
      <c r="R43">
        <f t="shared" si="10"/>
        <v>0</v>
      </c>
      <c r="S43">
        <f t="shared" si="6"/>
        <v>0</v>
      </c>
      <c r="T43">
        <f t="shared" si="6"/>
        <v>0</v>
      </c>
      <c r="U43">
        <f t="shared" si="6"/>
        <v>0</v>
      </c>
      <c r="V43" s="108">
        <f t="shared" si="7"/>
        <v>0</v>
      </c>
      <c r="W43" s="26">
        <f t="shared" si="8"/>
        <v>1348</v>
      </c>
      <c r="X43">
        <f t="shared" si="9"/>
        <v>0</v>
      </c>
      <c r="Y43">
        <f t="shared" si="11"/>
        <v>11.233333333333333</v>
      </c>
      <c r="Z43">
        <f t="shared" si="12"/>
        <v>0</v>
      </c>
    </row>
    <row r="44" spans="11:26" x14ac:dyDescent="0.25">
      <c r="K44" s="105">
        <v>11</v>
      </c>
      <c r="L44">
        <f t="shared" ref="L44:Q53" si="13">IF(MID(DEC2BIN($K44,10),L$32,1)="1",L$33,0)</f>
        <v>0</v>
      </c>
      <c r="M44">
        <f t="shared" si="13"/>
        <v>0</v>
      </c>
      <c r="N44">
        <f t="shared" si="13"/>
        <v>0</v>
      </c>
      <c r="O44">
        <f t="shared" si="13"/>
        <v>0</v>
      </c>
      <c r="P44">
        <f t="shared" si="13"/>
        <v>0</v>
      </c>
      <c r="Q44">
        <f t="shared" si="13"/>
        <v>0</v>
      </c>
      <c r="R44">
        <f t="shared" si="10"/>
        <v>0</v>
      </c>
      <c r="S44">
        <f t="shared" si="6"/>
        <v>0</v>
      </c>
      <c r="T44">
        <f t="shared" si="6"/>
        <v>0</v>
      </c>
      <c r="U44">
        <f t="shared" si="6"/>
        <v>0</v>
      </c>
      <c r="V44" s="108">
        <f t="shared" si="7"/>
        <v>0</v>
      </c>
      <c r="W44" s="26">
        <f t="shared" si="8"/>
        <v>1348</v>
      </c>
      <c r="X44">
        <f t="shared" si="9"/>
        <v>0</v>
      </c>
      <c r="Y44">
        <f t="shared" si="11"/>
        <v>11.233333333333333</v>
      </c>
      <c r="Z44">
        <f t="shared" si="12"/>
        <v>0</v>
      </c>
    </row>
    <row r="45" spans="11:26" x14ac:dyDescent="0.25">
      <c r="K45" s="105">
        <v>12</v>
      </c>
      <c r="L45">
        <f t="shared" si="13"/>
        <v>0</v>
      </c>
      <c r="M45">
        <f t="shared" si="13"/>
        <v>0</v>
      </c>
      <c r="N45">
        <f t="shared" si="13"/>
        <v>0</v>
      </c>
      <c r="O45">
        <f t="shared" si="13"/>
        <v>0</v>
      </c>
      <c r="P45">
        <f t="shared" si="13"/>
        <v>0</v>
      </c>
      <c r="Q45">
        <f t="shared" si="13"/>
        <v>0</v>
      </c>
      <c r="R45">
        <f t="shared" si="10"/>
        <v>0</v>
      </c>
      <c r="S45">
        <f t="shared" si="6"/>
        <v>0</v>
      </c>
      <c r="T45">
        <f t="shared" si="6"/>
        <v>0</v>
      </c>
      <c r="U45">
        <f t="shared" si="6"/>
        <v>0</v>
      </c>
      <c r="V45" s="108">
        <f t="shared" si="7"/>
        <v>0</v>
      </c>
      <c r="W45" s="26">
        <f t="shared" si="8"/>
        <v>1348</v>
      </c>
      <c r="X45">
        <f t="shared" si="9"/>
        <v>0</v>
      </c>
      <c r="Y45">
        <f t="shared" si="11"/>
        <v>11.233333333333333</v>
      </c>
      <c r="Z45">
        <f t="shared" si="12"/>
        <v>0</v>
      </c>
    </row>
    <row r="46" spans="11:26" x14ac:dyDescent="0.25">
      <c r="K46" s="105">
        <v>13</v>
      </c>
      <c r="L46">
        <f t="shared" si="13"/>
        <v>0</v>
      </c>
      <c r="M46">
        <f t="shared" si="13"/>
        <v>0</v>
      </c>
      <c r="N46">
        <f t="shared" si="13"/>
        <v>0</v>
      </c>
      <c r="O46">
        <f t="shared" si="13"/>
        <v>0</v>
      </c>
      <c r="P46">
        <f t="shared" si="13"/>
        <v>0</v>
      </c>
      <c r="Q46">
        <f t="shared" si="13"/>
        <v>0</v>
      </c>
      <c r="R46">
        <f t="shared" si="10"/>
        <v>0</v>
      </c>
      <c r="S46">
        <f t="shared" si="6"/>
        <v>0</v>
      </c>
      <c r="T46">
        <f t="shared" si="6"/>
        <v>0</v>
      </c>
      <c r="U46">
        <f t="shared" si="6"/>
        <v>0</v>
      </c>
      <c r="V46" s="108">
        <f t="shared" si="7"/>
        <v>0</v>
      </c>
      <c r="W46" s="26">
        <f t="shared" si="8"/>
        <v>1348</v>
      </c>
      <c r="X46">
        <f t="shared" si="9"/>
        <v>0</v>
      </c>
      <c r="Y46">
        <f t="shared" si="11"/>
        <v>11.233333333333333</v>
      </c>
      <c r="Z46">
        <f t="shared" si="12"/>
        <v>0</v>
      </c>
    </row>
    <row r="47" spans="11:26" x14ac:dyDescent="0.25">
      <c r="K47" s="105">
        <v>14</v>
      </c>
      <c r="L47">
        <f t="shared" si="13"/>
        <v>0</v>
      </c>
      <c r="M47">
        <f t="shared" si="13"/>
        <v>0</v>
      </c>
      <c r="N47">
        <f t="shared" si="13"/>
        <v>0</v>
      </c>
      <c r="O47">
        <f t="shared" si="13"/>
        <v>0</v>
      </c>
      <c r="P47">
        <f t="shared" si="13"/>
        <v>0</v>
      </c>
      <c r="Q47">
        <f t="shared" si="13"/>
        <v>0</v>
      </c>
      <c r="R47">
        <f t="shared" si="10"/>
        <v>0</v>
      </c>
      <c r="S47">
        <f t="shared" si="6"/>
        <v>0</v>
      </c>
      <c r="T47">
        <f t="shared" si="6"/>
        <v>0</v>
      </c>
      <c r="U47">
        <f t="shared" si="6"/>
        <v>0</v>
      </c>
      <c r="V47" s="108">
        <f t="shared" si="7"/>
        <v>0</v>
      </c>
      <c r="W47" s="26">
        <f t="shared" si="8"/>
        <v>1348</v>
      </c>
      <c r="X47">
        <f t="shared" si="9"/>
        <v>0</v>
      </c>
      <c r="Y47">
        <f t="shared" si="11"/>
        <v>11.233333333333333</v>
      </c>
      <c r="Z47">
        <f t="shared" si="12"/>
        <v>0</v>
      </c>
    </row>
    <row r="48" spans="11:26" x14ac:dyDescent="0.25">
      <c r="K48" s="105">
        <v>15</v>
      </c>
      <c r="L48">
        <f t="shared" si="13"/>
        <v>0</v>
      </c>
      <c r="M48">
        <f t="shared" si="13"/>
        <v>0</v>
      </c>
      <c r="N48">
        <f t="shared" si="13"/>
        <v>0</v>
      </c>
      <c r="O48">
        <f t="shared" si="13"/>
        <v>0</v>
      </c>
      <c r="P48">
        <f t="shared" si="13"/>
        <v>0</v>
      </c>
      <c r="Q48">
        <f t="shared" si="13"/>
        <v>0</v>
      </c>
      <c r="R48">
        <f t="shared" si="10"/>
        <v>0</v>
      </c>
      <c r="S48">
        <f t="shared" si="6"/>
        <v>0</v>
      </c>
      <c r="T48">
        <f t="shared" si="6"/>
        <v>0</v>
      </c>
      <c r="U48">
        <f t="shared" si="6"/>
        <v>0</v>
      </c>
      <c r="V48" s="108">
        <f t="shared" si="7"/>
        <v>0</v>
      </c>
      <c r="W48" s="26">
        <f t="shared" si="8"/>
        <v>1348</v>
      </c>
      <c r="X48">
        <f t="shared" si="9"/>
        <v>0</v>
      </c>
      <c r="Y48">
        <f t="shared" si="11"/>
        <v>11.233333333333333</v>
      </c>
      <c r="Z48">
        <f t="shared" si="12"/>
        <v>0</v>
      </c>
    </row>
    <row r="49" spans="11:26" x14ac:dyDescent="0.25">
      <c r="K49" s="105">
        <v>16</v>
      </c>
      <c r="L49">
        <f t="shared" si="13"/>
        <v>0</v>
      </c>
      <c r="M49">
        <f t="shared" si="13"/>
        <v>0</v>
      </c>
      <c r="N49">
        <f t="shared" si="13"/>
        <v>0</v>
      </c>
      <c r="O49">
        <f t="shared" si="13"/>
        <v>0</v>
      </c>
      <c r="P49">
        <f t="shared" si="13"/>
        <v>0</v>
      </c>
      <c r="Q49">
        <f t="shared" si="13"/>
        <v>117</v>
      </c>
      <c r="R49">
        <f t="shared" si="10"/>
        <v>0</v>
      </c>
      <c r="S49">
        <f t="shared" si="6"/>
        <v>0</v>
      </c>
      <c r="T49">
        <f t="shared" si="6"/>
        <v>0</v>
      </c>
      <c r="U49">
        <f t="shared" si="6"/>
        <v>0</v>
      </c>
      <c r="V49" s="108">
        <f t="shared" si="7"/>
        <v>117</v>
      </c>
      <c r="W49" s="26">
        <f t="shared" si="8"/>
        <v>1231</v>
      </c>
      <c r="X49">
        <f t="shared" si="9"/>
        <v>0</v>
      </c>
      <c r="Y49">
        <f t="shared" si="11"/>
        <v>10.258333333333333</v>
      </c>
      <c r="Z49">
        <f t="shared" si="12"/>
        <v>0</v>
      </c>
    </row>
    <row r="50" spans="11:26" x14ac:dyDescent="0.25">
      <c r="K50" s="105">
        <v>17</v>
      </c>
      <c r="L50">
        <f t="shared" si="13"/>
        <v>0</v>
      </c>
      <c r="M50">
        <f t="shared" si="13"/>
        <v>0</v>
      </c>
      <c r="N50">
        <f t="shared" si="13"/>
        <v>0</v>
      </c>
      <c r="O50">
        <f t="shared" si="13"/>
        <v>0</v>
      </c>
      <c r="P50">
        <f t="shared" si="13"/>
        <v>0</v>
      </c>
      <c r="Q50">
        <f t="shared" si="13"/>
        <v>117</v>
      </c>
      <c r="R50">
        <f t="shared" si="10"/>
        <v>0</v>
      </c>
      <c r="S50">
        <f t="shared" si="6"/>
        <v>0</v>
      </c>
      <c r="T50">
        <f t="shared" si="6"/>
        <v>0</v>
      </c>
      <c r="U50">
        <f t="shared" si="6"/>
        <v>0</v>
      </c>
      <c r="V50" s="108">
        <f t="shared" si="7"/>
        <v>117</v>
      </c>
      <c r="W50" s="26">
        <f t="shared" si="8"/>
        <v>1231</v>
      </c>
      <c r="X50">
        <f t="shared" si="9"/>
        <v>0</v>
      </c>
      <c r="Y50">
        <f t="shared" si="11"/>
        <v>10.258333333333333</v>
      </c>
      <c r="Z50">
        <f t="shared" si="12"/>
        <v>0</v>
      </c>
    </row>
    <row r="51" spans="11:26" x14ac:dyDescent="0.25">
      <c r="K51" s="105">
        <v>18</v>
      </c>
      <c r="L51">
        <f t="shared" si="13"/>
        <v>0</v>
      </c>
      <c r="M51">
        <f t="shared" si="13"/>
        <v>0</v>
      </c>
      <c r="N51">
        <f t="shared" si="13"/>
        <v>0</v>
      </c>
      <c r="O51">
        <f t="shared" si="13"/>
        <v>0</v>
      </c>
      <c r="P51">
        <f t="shared" si="13"/>
        <v>0</v>
      </c>
      <c r="Q51">
        <f t="shared" si="13"/>
        <v>117</v>
      </c>
      <c r="R51">
        <f t="shared" si="10"/>
        <v>0</v>
      </c>
      <c r="S51">
        <f t="shared" si="6"/>
        <v>0</v>
      </c>
      <c r="T51">
        <f t="shared" si="6"/>
        <v>0</v>
      </c>
      <c r="U51">
        <f t="shared" si="6"/>
        <v>0</v>
      </c>
      <c r="V51" s="108">
        <f t="shared" si="7"/>
        <v>117</v>
      </c>
      <c r="W51" s="26">
        <f t="shared" si="8"/>
        <v>1231</v>
      </c>
      <c r="X51">
        <f t="shared" si="9"/>
        <v>0</v>
      </c>
      <c r="Y51">
        <f t="shared" si="11"/>
        <v>10.258333333333333</v>
      </c>
      <c r="Z51">
        <f t="shared" si="12"/>
        <v>0</v>
      </c>
    </row>
    <row r="52" spans="11:26" x14ac:dyDescent="0.25">
      <c r="K52" s="105">
        <v>19</v>
      </c>
      <c r="L52">
        <f t="shared" si="13"/>
        <v>0</v>
      </c>
      <c r="M52">
        <f t="shared" si="13"/>
        <v>0</v>
      </c>
      <c r="N52">
        <f t="shared" si="13"/>
        <v>0</v>
      </c>
      <c r="O52">
        <f t="shared" si="13"/>
        <v>0</v>
      </c>
      <c r="P52">
        <f t="shared" si="13"/>
        <v>0</v>
      </c>
      <c r="Q52">
        <f t="shared" si="13"/>
        <v>117</v>
      </c>
      <c r="R52">
        <f t="shared" si="10"/>
        <v>0</v>
      </c>
      <c r="S52">
        <f t="shared" si="6"/>
        <v>0</v>
      </c>
      <c r="T52">
        <f t="shared" si="6"/>
        <v>0</v>
      </c>
      <c r="U52">
        <f t="shared" si="6"/>
        <v>0</v>
      </c>
      <c r="V52" s="108">
        <f t="shared" si="7"/>
        <v>117</v>
      </c>
      <c r="W52" s="26">
        <f t="shared" si="8"/>
        <v>1231</v>
      </c>
      <c r="X52">
        <f t="shared" si="9"/>
        <v>0</v>
      </c>
      <c r="Y52">
        <f t="shared" si="11"/>
        <v>10.258333333333333</v>
      </c>
      <c r="Z52">
        <f t="shared" si="12"/>
        <v>0</v>
      </c>
    </row>
    <row r="53" spans="11:26" x14ac:dyDescent="0.25">
      <c r="K53" s="105">
        <v>20</v>
      </c>
      <c r="L53">
        <f t="shared" si="13"/>
        <v>0</v>
      </c>
      <c r="M53">
        <f t="shared" si="13"/>
        <v>0</v>
      </c>
      <c r="N53">
        <f t="shared" si="13"/>
        <v>0</v>
      </c>
      <c r="O53">
        <f t="shared" si="13"/>
        <v>0</v>
      </c>
      <c r="P53">
        <f t="shared" si="13"/>
        <v>0</v>
      </c>
      <c r="Q53">
        <f t="shared" si="13"/>
        <v>117</v>
      </c>
      <c r="R53">
        <f t="shared" si="10"/>
        <v>0</v>
      </c>
      <c r="S53">
        <f t="shared" si="6"/>
        <v>0</v>
      </c>
      <c r="T53">
        <f t="shared" si="6"/>
        <v>0</v>
      </c>
      <c r="U53">
        <f t="shared" si="6"/>
        <v>0</v>
      </c>
      <c r="V53" s="108">
        <f t="shared" si="7"/>
        <v>117</v>
      </c>
      <c r="W53" s="26">
        <f t="shared" si="8"/>
        <v>1231</v>
      </c>
      <c r="X53">
        <f t="shared" si="9"/>
        <v>0</v>
      </c>
      <c r="Y53">
        <f t="shared" si="11"/>
        <v>10.258333333333333</v>
      </c>
      <c r="Z53">
        <f t="shared" si="12"/>
        <v>0</v>
      </c>
    </row>
    <row r="54" spans="11:26" x14ac:dyDescent="0.25">
      <c r="K54" s="105">
        <v>21</v>
      </c>
      <c r="L54">
        <f t="shared" ref="L54:Q63" si="14">IF(MID(DEC2BIN($K54,10),L$32,1)="1",L$33,0)</f>
        <v>0</v>
      </c>
      <c r="M54">
        <f t="shared" si="14"/>
        <v>0</v>
      </c>
      <c r="N54">
        <f t="shared" si="14"/>
        <v>0</v>
      </c>
      <c r="O54">
        <f t="shared" si="14"/>
        <v>0</v>
      </c>
      <c r="P54">
        <f t="shared" si="14"/>
        <v>0</v>
      </c>
      <c r="Q54">
        <f t="shared" si="14"/>
        <v>117</v>
      </c>
      <c r="R54">
        <f t="shared" si="10"/>
        <v>0</v>
      </c>
      <c r="S54">
        <f t="shared" ref="S54:U73" si="15">IF(MID(DEC2BIN($K54,10),S$32,1)="1",S$33,0)</f>
        <v>0</v>
      </c>
      <c r="T54">
        <f t="shared" si="15"/>
        <v>0</v>
      </c>
      <c r="U54">
        <f t="shared" si="15"/>
        <v>0</v>
      </c>
      <c r="V54" s="108">
        <f t="shared" si="7"/>
        <v>117</v>
      </c>
      <c r="W54" s="26">
        <f t="shared" si="8"/>
        <v>1231</v>
      </c>
      <c r="X54">
        <f t="shared" si="9"/>
        <v>0</v>
      </c>
      <c r="Y54">
        <f t="shared" si="11"/>
        <v>10.258333333333333</v>
      </c>
      <c r="Z54">
        <f t="shared" si="12"/>
        <v>0</v>
      </c>
    </row>
    <row r="55" spans="11:26" x14ac:dyDescent="0.25">
      <c r="K55" s="105">
        <v>22</v>
      </c>
      <c r="L55">
        <f t="shared" si="14"/>
        <v>0</v>
      </c>
      <c r="M55">
        <f t="shared" si="14"/>
        <v>0</v>
      </c>
      <c r="N55">
        <f t="shared" si="14"/>
        <v>0</v>
      </c>
      <c r="O55">
        <f t="shared" si="14"/>
        <v>0</v>
      </c>
      <c r="P55">
        <f t="shared" si="14"/>
        <v>0</v>
      </c>
      <c r="Q55">
        <f t="shared" si="14"/>
        <v>117</v>
      </c>
      <c r="R55">
        <f t="shared" si="10"/>
        <v>0</v>
      </c>
      <c r="S55">
        <f t="shared" si="15"/>
        <v>0</v>
      </c>
      <c r="T55">
        <f t="shared" si="15"/>
        <v>0</v>
      </c>
      <c r="U55">
        <f t="shared" si="15"/>
        <v>0</v>
      </c>
      <c r="V55" s="108">
        <f t="shared" si="7"/>
        <v>117</v>
      </c>
      <c r="W55" s="26">
        <f t="shared" si="8"/>
        <v>1231</v>
      </c>
      <c r="X55">
        <f t="shared" si="9"/>
        <v>0</v>
      </c>
      <c r="Y55">
        <f t="shared" si="11"/>
        <v>10.258333333333333</v>
      </c>
      <c r="Z55">
        <f t="shared" si="12"/>
        <v>0</v>
      </c>
    </row>
    <row r="56" spans="11:26" x14ac:dyDescent="0.25">
      <c r="K56" s="105">
        <v>23</v>
      </c>
      <c r="L56">
        <f t="shared" si="14"/>
        <v>0</v>
      </c>
      <c r="M56">
        <f t="shared" si="14"/>
        <v>0</v>
      </c>
      <c r="N56">
        <f t="shared" si="14"/>
        <v>0</v>
      </c>
      <c r="O56">
        <f t="shared" si="14"/>
        <v>0</v>
      </c>
      <c r="P56">
        <f t="shared" si="14"/>
        <v>0</v>
      </c>
      <c r="Q56">
        <f t="shared" si="14"/>
        <v>117</v>
      </c>
      <c r="R56">
        <f t="shared" si="10"/>
        <v>0</v>
      </c>
      <c r="S56">
        <f t="shared" si="15"/>
        <v>0</v>
      </c>
      <c r="T56">
        <f t="shared" si="15"/>
        <v>0</v>
      </c>
      <c r="U56">
        <f t="shared" si="15"/>
        <v>0</v>
      </c>
      <c r="V56" s="108">
        <f t="shared" si="7"/>
        <v>117</v>
      </c>
      <c r="W56" s="26">
        <f t="shared" si="8"/>
        <v>1231</v>
      </c>
      <c r="X56">
        <f t="shared" si="9"/>
        <v>0</v>
      </c>
      <c r="Y56">
        <f t="shared" si="11"/>
        <v>10.258333333333333</v>
      </c>
      <c r="Z56">
        <f t="shared" si="12"/>
        <v>0</v>
      </c>
    </row>
    <row r="57" spans="11:26" x14ac:dyDescent="0.25">
      <c r="K57" s="105">
        <v>24</v>
      </c>
      <c r="L57">
        <f t="shared" si="14"/>
        <v>0</v>
      </c>
      <c r="M57">
        <f t="shared" si="14"/>
        <v>0</v>
      </c>
      <c r="N57">
        <f t="shared" si="14"/>
        <v>0</v>
      </c>
      <c r="O57">
        <f t="shared" si="14"/>
        <v>0</v>
      </c>
      <c r="P57">
        <f t="shared" si="14"/>
        <v>0</v>
      </c>
      <c r="Q57">
        <f t="shared" si="14"/>
        <v>117</v>
      </c>
      <c r="R57">
        <f t="shared" si="10"/>
        <v>0</v>
      </c>
      <c r="S57">
        <f t="shared" si="15"/>
        <v>0</v>
      </c>
      <c r="T57">
        <f t="shared" si="15"/>
        <v>0</v>
      </c>
      <c r="U57">
        <f t="shared" si="15"/>
        <v>0</v>
      </c>
      <c r="V57" s="108">
        <f t="shared" si="7"/>
        <v>117</v>
      </c>
      <c r="W57" s="26">
        <f t="shared" si="8"/>
        <v>1231</v>
      </c>
      <c r="X57">
        <f t="shared" si="9"/>
        <v>0</v>
      </c>
      <c r="Y57">
        <f t="shared" si="11"/>
        <v>10.258333333333333</v>
      </c>
      <c r="Z57">
        <f t="shared" si="12"/>
        <v>0</v>
      </c>
    </row>
    <row r="58" spans="11:26" x14ac:dyDescent="0.25">
      <c r="K58" s="105">
        <v>25</v>
      </c>
      <c r="L58">
        <f t="shared" si="14"/>
        <v>0</v>
      </c>
      <c r="M58">
        <f t="shared" si="14"/>
        <v>0</v>
      </c>
      <c r="N58">
        <f t="shared" si="14"/>
        <v>0</v>
      </c>
      <c r="O58">
        <f t="shared" si="14"/>
        <v>0</v>
      </c>
      <c r="P58">
        <f t="shared" si="14"/>
        <v>0</v>
      </c>
      <c r="Q58">
        <f t="shared" si="14"/>
        <v>117</v>
      </c>
      <c r="R58">
        <f t="shared" si="10"/>
        <v>0</v>
      </c>
      <c r="S58">
        <f t="shared" si="15"/>
        <v>0</v>
      </c>
      <c r="T58">
        <f t="shared" si="15"/>
        <v>0</v>
      </c>
      <c r="U58">
        <f t="shared" si="15"/>
        <v>0</v>
      </c>
      <c r="V58" s="108">
        <f t="shared" si="7"/>
        <v>117</v>
      </c>
      <c r="W58" s="26">
        <f t="shared" si="8"/>
        <v>1231</v>
      </c>
      <c r="X58">
        <f t="shared" si="9"/>
        <v>0</v>
      </c>
      <c r="Y58">
        <f t="shared" si="11"/>
        <v>10.258333333333333</v>
      </c>
      <c r="Z58">
        <f t="shared" si="12"/>
        <v>0</v>
      </c>
    </row>
    <row r="59" spans="11:26" x14ac:dyDescent="0.25">
      <c r="K59" s="105">
        <v>26</v>
      </c>
      <c r="L59">
        <f t="shared" si="14"/>
        <v>0</v>
      </c>
      <c r="M59">
        <f t="shared" si="14"/>
        <v>0</v>
      </c>
      <c r="N59">
        <f t="shared" si="14"/>
        <v>0</v>
      </c>
      <c r="O59">
        <f t="shared" si="14"/>
        <v>0</v>
      </c>
      <c r="P59">
        <f t="shared" si="14"/>
        <v>0</v>
      </c>
      <c r="Q59">
        <f t="shared" si="14"/>
        <v>117</v>
      </c>
      <c r="R59">
        <f t="shared" si="10"/>
        <v>0</v>
      </c>
      <c r="S59">
        <f t="shared" si="15"/>
        <v>0</v>
      </c>
      <c r="T59">
        <f t="shared" si="15"/>
        <v>0</v>
      </c>
      <c r="U59">
        <f t="shared" si="15"/>
        <v>0</v>
      </c>
      <c r="V59" s="108">
        <f t="shared" si="7"/>
        <v>117</v>
      </c>
      <c r="W59" s="26">
        <f t="shared" si="8"/>
        <v>1231</v>
      </c>
      <c r="X59">
        <f t="shared" si="9"/>
        <v>0</v>
      </c>
      <c r="Y59">
        <f t="shared" si="11"/>
        <v>10.258333333333333</v>
      </c>
      <c r="Z59">
        <f t="shared" si="12"/>
        <v>0</v>
      </c>
    </row>
    <row r="60" spans="11:26" x14ac:dyDescent="0.25">
      <c r="K60" s="105">
        <v>27</v>
      </c>
      <c r="L60">
        <f t="shared" si="14"/>
        <v>0</v>
      </c>
      <c r="M60">
        <f t="shared" si="14"/>
        <v>0</v>
      </c>
      <c r="N60">
        <f t="shared" si="14"/>
        <v>0</v>
      </c>
      <c r="O60">
        <f t="shared" si="14"/>
        <v>0</v>
      </c>
      <c r="P60">
        <f t="shared" si="14"/>
        <v>0</v>
      </c>
      <c r="Q60">
        <f t="shared" si="14"/>
        <v>117</v>
      </c>
      <c r="R60">
        <f t="shared" si="10"/>
        <v>0</v>
      </c>
      <c r="S60">
        <f t="shared" si="15"/>
        <v>0</v>
      </c>
      <c r="T60">
        <f t="shared" si="15"/>
        <v>0</v>
      </c>
      <c r="U60">
        <f t="shared" si="15"/>
        <v>0</v>
      </c>
      <c r="V60" s="108">
        <f t="shared" si="7"/>
        <v>117</v>
      </c>
      <c r="W60" s="26">
        <f t="shared" si="8"/>
        <v>1231</v>
      </c>
      <c r="X60">
        <f t="shared" si="9"/>
        <v>0</v>
      </c>
      <c r="Y60">
        <f t="shared" si="11"/>
        <v>10.258333333333333</v>
      </c>
      <c r="Z60">
        <f t="shared" si="12"/>
        <v>0</v>
      </c>
    </row>
    <row r="61" spans="11:26" x14ac:dyDescent="0.25">
      <c r="K61" s="105">
        <v>28</v>
      </c>
      <c r="L61">
        <f t="shared" si="14"/>
        <v>0</v>
      </c>
      <c r="M61">
        <f t="shared" si="14"/>
        <v>0</v>
      </c>
      <c r="N61">
        <f t="shared" si="14"/>
        <v>0</v>
      </c>
      <c r="O61">
        <f t="shared" si="14"/>
        <v>0</v>
      </c>
      <c r="P61">
        <f t="shared" si="14"/>
        <v>0</v>
      </c>
      <c r="Q61">
        <f t="shared" si="14"/>
        <v>117</v>
      </c>
      <c r="R61">
        <f t="shared" si="10"/>
        <v>0</v>
      </c>
      <c r="S61">
        <f t="shared" si="15"/>
        <v>0</v>
      </c>
      <c r="T61">
        <f t="shared" si="15"/>
        <v>0</v>
      </c>
      <c r="U61">
        <f t="shared" si="15"/>
        <v>0</v>
      </c>
      <c r="V61" s="108">
        <f t="shared" si="7"/>
        <v>117</v>
      </c>
      <c r="W61" s="26">
        <f t="shared" si="8"/>
        <v>1231</v>
      </c>
      <c r="X61">
        <f t="shared" si="9"/>
        <v>0</v>
      </c>
      <c r="Y61">
        <f t="shared" si="11"/>
        <v>10.258333333333333</v>
      </c>
      <c r="Z61">
        <f t="shared" si="12"/>
        <v>0</v>
      </c>
    </row>
    <row r="62" spans="11:26" x14ac:dyDescent="0.25">
      <c r="K62" s="105">
        <v>29</v>
      </c>
      <c r="L62">
        <f t="shared" si="14"/>
        <v>0</v>
      </c>
      <c r="M62">
        <f t="shared" si="14"/>
        <v>0</v>
      </c>
      <c r="N62">
        <f t="shared" si="14"/>
        <v>0</v>
      </c>
      <c r="O62">
        <f t="shared" si="14"/>
        <v>0</v>
      </c>
      <c r="P62">
        <f t="shared" si="14"/>
        <v>0</v>
      </c>
      <c r="Q62">
        <f t="shared" si="14"/>
        <v>117</v>
      </c>
      <c r="R62">
        <f t="shared" si="10"/>
        <v>0</v>
      </c>
      <c r="S62">
        <f t="shared" si="15"/>
        <v>0</v>
      </c>
      <c r="T62">
        <f t="shared" si="15"/>
        <v>0</v>
      </c>
      <c r="U62">
        <f t="shared" si="15"/>
        <v>0</v>
      </c>
      <c r="V62" s="108">
        <f t="shared" si="7"/>
        <v>117</v>
      </c>
      <c r="W62" s="26">
        <f t="shared" si="8"/>
        <v>1231</v>
      </c>
      <c r="X62">
        <f t="shared" si="9"/>
        <v>0</v>
      </c>
      <c r="Y62">
        <f t="shared" si="11"/>
        <v>10.258333333333333</v>
      </c>
      <c r="Z62">
        <f t="shared" si="12"/>
        <v>0</v>
      </c>
    </row>
    <row r="63" spans="11:26" x14ac:dyDescent="0.25">
      <c r="K63" s="105">
        <v>30</v>
      </c>
      <c r="L63">
        <f t="shared" si="14"/>
        <v>0</v>
      </c>
      <c r="M63">
        <f t="shared" si="14"/>
        <v>0</v>
      </c>
      <c r="N63">
        <f t="shared" si="14"/>
        <v>0</v>
      </c>
      <c r="O63">
        <f t="shared" si="14"/>
        <v>0</v>
      </c>
      <c r="P63">
        <f t="shared" si="14"/>
        <v>0</v>
      </c>
      <c r="Q63">
        <f t="shared" si="14"/>
        <v>117</v>
      </c>
      <c r="R63">
        <f t="shared" si="10"/>
        <v>0</v>
      </c>
      <c r="S63">
        <f t="shared" si="15"/>
        <v>0</v>
      </c>
      <c r="T63">
        <f t="shared" si="15"/>
        <v>0</v>
      </c>
      <c r="U63">
        <f t="shared" si="15"/>
        <v>0</v>
      </c>
      <c r="V63" s="108">
        <f t="shared" si="7"/>
        <v>117</v>
      </c>
      <c r="W63" s="26">
        <f t="shared" si="8"/>
        <v>1231</v>
      </c>
      <c r="X63">
        <f t="shared" si="9"/>
        <v>0</v>
      </c>
      <c r="Y63">
        <f t="shared" si="11"/>
        <v>10.258333333333333</v>
      </c>
      <c r="Z63">
        <f t="shared" si="12"/>
        <v>0</v>
      </c>
    </row>
    <row r="64" spans="11:26" x14ac:dyDescent="0.25">
      <c r="K64" s="105">
        <v>31</v>
      </c>
      <c r="L64">
        <f t="shared" ref="L64:Q73" si="16">IF(MID(DEC2BIN($K64,10),L$32,1)="1",L$33,0)</f>
        <v>0</v>
      </c>
      <c r="M64">
        <f t="shared" si="16"/>
        <v>0</v>
      </c>
      <c r="N64">
        <f t="shared" si="16"/>
        <v>0</v>
      </c>
      <c r="O64">
        <f t="shared" si="16"/>
        <v>0</v>
      </c>
      <c r="P64">
        <f t="shared" si="16"/>
        <v>0</v>
      </c>
      <c r="Q64">
        <f t="shared" si="16"/>
        <v>117</v>
      </c>
      <c r="R64">
        <f t="shared" si="10"/>
        <v>0</v>
      </c>
      <c r="S64">
        <f t="shared" si="15"/>
        <v>0</v>
      </c>
      <c r="T64">
        <f t="shared" si="15"/>
        <v>0</v>
      </c>
      <c r="U64">
        <f t="shared" si="15"/>
        <v>0</v>
      </c>
      <c r="V64" s="108">
        <f t="shared" si="7"/>
        <v>117</v>
      </c>
      <c r="W64" s="26">
        <f t="shared" si="8"/>
        <v>1231</v>
      </c>
      <c r="X64">
        <f t="shared" si="9"/>
        <v>0</v>
      </c>
      <c r="Y64">
        <f t="shared" si="11"/>
        <v>10.258333333333333</v>
      </c>
      <c r="Z64">
        <f t="shared" si="12"/>
        <v>0</v>
      </c>
    </row>
    <row r="65" spans="11:26" x14ac:dyDescent="0.25">
      <c r="K65" s="105">
        <v>32</v>
      </c>
      <c r="L65">
        <f t="shared" si="16"/>
        <v>0</v>
      </c>
      <c r="M65">
        <f t="shared" si="16"/>
        <v>0</v>
      </c>
      <c r="N65">
        <f t="shared" si="16"/>
        <v>0</v>
      </c>
      <c r="O65">
        <f t="shared" si="16"/>
        <v>0</v>
      </c>
      <c r="P65">
        <f t="shared" si="16"/>
        <v>89</v>
      </c>
      <c r="Q65">
        <f t="shared" si="16"/>
        <v>0</v>
      </c>
      <c r="R65">
        <f t="shared" si="10"/>
        <v>0</v>
      </c>
      <c r="S65">
        <f t="shared" si="15"/>
        <v>0</v>
      </c>
      <c r="T65">
        <f t="shared" si="15"/>
        <v>0</v>
      </c>
      <c r="U65">
        <f t="shared" si="15"/>
        <v>0</v>
      </c>
      <c r="V65" s="108">
        <f t="shared" si="7"/>
        <v>89</v>
      </c>
      <c r="W65" s="26">
        <f t="shared" si="8"/>
        <v>1259</v>
      </c>
      <c r="X65">
        <f t="shared" si="9"/>
        <v>0</v>
      </c>
      <c r="Y65">
        <f t="shared" si="11"/>
        <v>10.491666666666667</v>
      </c>
      <c r="Z65">
        <f t="shared" si="12"/>
        <v>0</v>
      </c>
    </row>
    <row r="66" spans="11:26" x14ac:dyDescent="0.25">
      <c r="K66" s="105">
        <v>33</v>
      </c>
      <c r="L66">
        <f t="shared" si="16"/>
        <v>0</v>
      </c>
      <c r="M66">
        <f t="shared" si="16"/>
        <v>0</v>
      </c>
      <c r="N66">
        <f t="shared" si="16"/>
        <v>0</v>
      </c>
      <c r="O66">
        <f t="shared" si="16"/>
        <v>0</v>
      </c>
      <c r="P66">
        <f t="shared" si="16"/>
        <v>89</v>
      </c>
      <c r="Q66">
        <f t="shared" si="16"/>
        <v>0</v>
      </c>
      <c r="R66">
        <f t="shared" si="10"/>
        <v>0</v>
      </c>
      <c r="S66">
        <f t="shared" si="15"/>
        <v>0</v>
      </c>
      <c r="T66">
        <f t="shared" si="15"/>
        <v>0</v>
      </c>
      <c r="U66">
        <f t="shared" si="15"/>
        <v>0</v>
      </c>
      <c r="V66" s="108">
        <f t="shared" si="7"/>
        <v>89</v>
      </c>
      <c r="W66" s="26">
        <f t="shared" si="8"/>
        <v>1259</v>
      </c>
      <c r="X66">
        <f t="shared" si="9"/>
        <v>0</v>
      </c>
      <c r="Y66">
        <f t="shared" si="11"/>
        <v>10.491666666666667</v>
      </c>
      <c r="Z66">
        <f t="shared" si="12"/>
        <v>0</v>
      </c>
    </row>
    <row r="67" spans="11:26" x14ac:dyDescent="0.25">
      <c r="K67" s="105">
        <v>34</v>
      </c>
      <c r="L67">
        <f t="shared" si="16"/>
        <v>0</v>
      </c>
      <c r="M67">
        <f t="shared" si="16"/>
        <v>0</v>
      </c>
      <c r="N67">
        <f t="shared" si="16"/>
        <v>0</v>
      </c>
      <c r="O67">
        <f t="shared" si="16"/>
        <v>0</v>
      </c>
      <c r="P67">
        <f t="shared" si="16"/>
        <v>89</v>
      </c>
      <c r="Q67">
        <f t="shared" si="16"/>
        <v>0</v>
      </c>
      <c r="R67">
        <f t="shared" si="10"/>
        <v>0</v>
      </c>
      <c r="S67">
        <f t="shared" si="15"/>
        <v>0</v>
      </c>
      <c r="T67">
        <f t="shared" si="15"/>
        <v>0</v>
      </c>
      <c r="U67">
        <f t="shared" si="15"/>
        <v>0</v>
      </c>
      <c r="V67" s="108">
        <f t="shared" si="7"/>
        <v>89</v>
      </c>
      <c r="W67" s="26">
        <f t="shared" si="8"/>
        <v>1259</v>
      </c>
      <c r="X67">
        <f t="shared" si="9"/>
        <v>0</v>
      </c>
      <c r="Y67">
        <f t="shared" si="11"/>
        <v>10.491666666666667</v>
      </c>
      <c r="Z67">
        <f t="shared" si="12"/>
        <v>0</v>
      </c>
    </row>
    <row r="68" spans="11:26" x14ac:dyDescent="0.25">
      <c r="K68" s="105">
        <v>35</v>
      </c>
      <c r="L68">
        <f t="shared" si="16"/>
        <v>0</v>
      </c>
      <c r="M68">
        <f t="shared" si="16"/>
        <v>0</v>
      </c>
      <c r="N68">
        <f t="shared" si="16"/>
        <v>0</v>
      </c>
      <c r="O68">
        <f t="shared" si="16"/>
        <v>0</v>
      </c>
      <c r="P68">
        <f t="shared" si="16"/>
        <v>89</v>
      </c>
      <c r="Q68">
        <f t="shared" si="16"/>
        <v>0</v>
      </c>
      <c r="R68">
        <f t="shared" si="10"/>
        <v>0</v>
      </c>
      <c r="S68">
        <f t="shared" si="15"/>
        <v>0</v>
      </c>
      <c r="T68">
        <f t="shared" si="15"/>
        <v>0</v>
      </c>
      <c r="U68">
        <f t="shared" si="15"/>
        <v>0</v>
      </c>
      <c r="V68" s="108">
        <f t="shared" si="7"/>
        <v>89</v>
      </c>
      <c r="W68" s="26">
        <f t="shared" si="8"/>
        <v>1259</v>
      </c>
      <c r="X68">
        <f t="shared" si="9"/>
        <v>0</v>
      </c>
      <c r="Y68">
        <f t="shared" si="11"/>
        <v>10.491666666666667</v>
      </c>
      <c r="Z68">
        <f t="shared" si="12"/>
        <v>0</v>
      </c>
    </row>
    <row r="69" spans="11:26" x14ac:dyDescent="0.25">
      <c r="K69" s="105">
        <v>36</v>
      </c>
      <c r="L69">
        <f t="shared" si="16"/>
        <v>0</v>
      </c>
      <c r="M69">
        <f t="shared" si="16"/>
        <v>0</v>
      </c>
      <c r="N69">
        <f t="shared" si="16"/>
        <v>0</v>
      </c>
      <c r="O69">
        <f t="shared" si="16"/>
        <v>0</v>
      </c>
      <c r="P69">
        <f t="shared" si="16"/>
        <v>89</v>
      </c>
      <c r="Q69">
        <f t="shared" si="16"/>
        <v>0</v>
      </c>
      <c r="R69">
        <f t="shared" si="10"/>
        <v>0</v>
      </c>
      <c r="S69">
        <f t="shared" si="15"/>
        <v>0</v>
      </c>
      <c r="T69">
        <f t="shared" si="15"/>
        <v>0</v>
      </c>
      <c r="U69">
        <f t="shared" si="15"/>
        <v>0</v>
      </c>
      <c r="V69" s="108">
        <f t="shared" si="7"/>
        <v>89</v>
      </c>
      <c r="W69" s="26">
        <f t="shared" si="8"/>
        <v>1259</v>
      </c>
      <c r="X69">
        <f t="shared" si="9"/>
        <v>0</v>
      </c>
      <c r="Y69">
        <f t="shared" si="11"/>
        <v>10.491666666666667</v>
      </c>
      <c r="Z69">
        <f t="shared" si="12"/>
        <v>0</v>
      </c>
    </row>
    <row r="70" spans="11:26" x14ac:dyDescent="0.25">
      <c r="K70" s="105">
        <v>37</v>
      </c>
      <c r="L70">
        <f t="shared" si="16"/>
        <v>0</v>
      </c>
      <c r="M70">
        <f t="shared" si="16"/>
        <v>0</v>
      </c>
      <c r="N70">
        <f t="shared" si="16"/>
        <v>0</v>
      </c>
      <c r="O70">
        <f t="shared" si="16"/>
        <v>0</v>
      </c>
      <c r="P70">
        <f t="shared" si="16"/>
        <v>89</v>
      </c>
      <c r="Q70">
        <f t="shared" si="16"/>
        <v>0</v>
      </c>
      <c r="R70">
        <f t="shared" si="10"/>
        <v>0</v>
      </c>
      <c r="S70">
        <f t="shared" si="15"/>
        <v>0</v>
      </c>
      <c r="T70">
        <f t="shared" si="15"/>
        <v>0</v>
      </c>
      <c r="U70">
        <f t="shared" si="15"/>
        <v>0</v>
      </c>
      <c r="V70" s="108">
        <f t="shared" si="7"/>
        <v>89</v>
      </c>
      <c r="W70" s="26">
        <f t="shared" si="8"/>
        <v>1259</v>
      </c>
      <c r="X70">
        <f t="shared" si="9"/>
        <v>0</v>
      </c>
      <c r="Y70">
        <f t="shared" si="11"/>
        <v>10.491666666666667</v>
      </c>
      <c r="Z70">
        <f t="shared" si="12"/>
        <v>0</v>
      </c>
    </row>
    <row r="71" spans="11:26" x14ac:dyDescent="0.25">
      <c r="K71" s="105">
        <v>38</v>
      </c>
      <c r="L71">
        <f t="shared" si="16"/>
        <v>0</v>
      </c>
      <c r="M71">
        <f t="shared" si="16"/>
        <v>0</v>
      </c>
      <c r="N71">
        <f t="shared" si="16"/>
        <v>0</v>
      </c>
      <c r="O71">
        <f t="shared" si="16"/>
        <v>0</v>
      </c>
      <c r="P71">
        <f t="shared" si="16"/>
        <v>89</v>
      </c>
      <c r="Q71">
        <f t="shared" si="16"/>
        <v>0</v>
      </c>
      <c r="R71">
        <f t="shared" si="10"/>
        <v>0</v>
      </c>
      <c r="S71">
        <f t="shared" si="15"/>
        <v>0</v>
      </c>
      <c r="T71">
        <f t="shared" si="15"/>
        <v>0</v>
      </c>
      <c r="U71">
        <f t="shared" si="15"/>
        <v>0</v>
      </c>
      <c r="V71" s="108">
        <f t="shared" si="7"/>
        <v>89</v>
      </c>
      <c r="W71" s="26">
        <f t="shared" si="8"/>
        <v>1259</v>
      </c>
      <c r="X71">
        <f t="shared" si="9"/>
        <v>0</v>
      </c>
      <c r="Y71">
        <f t="shared" si="11"/>
        <v>10.491666666666667</v>
      </c>
      <c r="Z71">
        <f t="shared" si="12"/>
        <v>0</v>
      </c>
    </row>
    <row r="72" spans="11:26" x14ac:dyDescent="0.25">
      <c r="K72" s="105">
        <v>39</v>
      </c>
      <c r="L72">
        <f t="shared" si="16"/>
        <v>0</v>
      </c>
      <c r="M72">
        <f t="shared" si="16"/>
        <v>0</v>
      </c>
      <c r="N72">
        <f t="shared" si="16"/>
        <v>0</v>
      </c>
      <c r="O72">
        <f t="shared" si="16"/>
        <v>0</v>
      </c>
      <c r="P72">
        <f t="shared" si="16"/>
        <v>89</v>
      </c>
      <c r="Q72">
        <f t="shared" si="16"/>
        <v>0</v>
      </c>
      <c r="R72">
        <f t="shared" si="10"/>
        <v>0</v>
      </c>
      <c r="S72">
        <f t="shared" si="15"/>
        <v>0</v>
      </c>
      <c r="T72">
        <f t="shared" si="15"/>
        <v>0</v>
      </c>
      <c r="U72">
        <f t="shared" si="15"/>
        <v>0</v>
      </c>
      <c r="V72" s="108">
        <f t="shared" si="7"/>
        <v>89</v>
      </c>
      <c r="W72" s="26">
        <f t="shared" si="8"/>
        <v>1259</v>
      </c>
      <c r="X72">
        <f t="shared" si="9"/>
        <v>0</v>
      </c>
      <c r="Y72">
        <f t="shared" si="11"/>
        <v>10.491666666666667</v>
      </c>
      <c r="Z72">
        <f t="shared" si="12"/>
        <v>0</v>
      </c>
    </row>
    <row r="73" spans="11:26" x14ac:dyDescent="0.25">
      <c r="K73" s="105">
        <v>40</v>
      </c>
      <c r="L73">
        <f t="shared" si="16"/>
        <v>0</v>
      </c>
      <c r="M73">
        <f t="shared" si="16"/>
        <v>0</v>
      </c>
      <c r="N73">
        <f t="shared" si="16"/>
        <v>0</v>
      </c>
      <c r="O73">
        <f t="shared" si="16"/>
        <v>0</v>
      </c>
      <c r="P73">
        <f t="shared" si="16"/>
        <v>89</v>
      </c>
      <c r="Q73">
        <f t="shared" si="16"/>
        <v>0</v>
      </c>
      <c r="R73">
        <f t="shared" si="10"/>
        <v>0</v>
      </c>
      <c r="S73">
        <f t="shared" si="15"/>
        <v>0</v>
      </c>
      <c r="T73">
        <f t="shared" si="15"/>
        <v>0</v>
      </c>
      <c r="U73">
        <f t="shared" si="15"/>
        <v>0</v>
      </c>
      <c r="V73" s="108">
        <f t="shared" si="7"/>
        <v>89</v>
      </c>
      <c r="W73" s="26">
        <f t="shared" si="8"/>
        <v>1259</v>
      </c>
      <c r="X73">
        <f t="shared" si="9"/>
        <v>0</v>
      </c>
      <c r="Y73">
        <f t="shared" si="11"/>
        <v>10.491666666666667</v>
      </c>
      <c r="Z73">
        <f t="shared" si="12"/>
        <v>0</v>
      </c>
    </row>
    <row r="74" spans="11:26" x14ac:dyDescent="0.25">
      <c r="K74" s="105">
        <v>41</v>
      </c>
      <c r="L74">
        <f t="shared" ref="L74:Q83" si="17">IF(MID(DEC2BIN($K74,10),L$32,1)="1",L$33,0)</f>
        <v>0</v>
      </c>
      <c r="M74">
        <f t="shared" si="17"/>
        <v>0</v>
      </c>
      <c r="N74">
        <f t="shared" si="17"/>
        <v>0</v>
      </c>
      <c r="O74">
        <f t="shared" si="17"/>
        <v>0</v>
      </c>
      <c r="P74">
        <f t="shared" si="17"/>
        <v>89</v>
      </c>
      <c r="Q74">
        <f t="shared" si="17"/>
        <v>0</v>
      </c>
      <c r="R74">
        <f t="shared" si="10"/>
        <v>0</v>
      </c>
      <c r="S74">
        <f t="shared" ref="S74:U93" si="18">IF(MID(DEC2BIN($K74,10),S$32,1)="1",S$33,0)</f>
        <v>0</v>
      </c>
      <c r="T74">
        <f t="shared" si="18"/>
        <v>0</v>
      </c>
      <c r="U74">
        <f t="shared" si="18"/>
        <v>0</v>
      </c>
      <c r="V74" s="108">
        <f t="shared" si="7"/>
        <v>89</v>
      </c>
      <c r="W74" s="26">
        <f t="shared" si="8"/>
        <v>1259</v>
      </c>
      <c r="X74">
        <f t="shared" si="9"/>
        <v>0</v>
      </c>
      <c r="Y74">
        <f t="shared" si="11"/>
        <v>10.491666666666667</v>
      </c>
      <c r="Z74">
        <f t="shared" si="12"/>
        <v>0</v>
      </c>
    </row>
    <row r="75" spans="11:26" x14ac:dyDescent="0.25">
      <c r="K75" s="105">
        <v>42</v>
      </c>
      <c r="L75">
        <f t="shared" si="17"/>
        <v>0</v>
      </c>
      <c r="M75">
        <f t="shared" si="17"/>
        <v>0</v>
      </c>
      <c r="N75">
        <f t="shared" si="17"/>
        <v>0</v>
      </c>
      <c r="O75">
        <f t="shared" si="17"/>
        <v>0</v>
      </c>
      <c r="P75">
        <f t="shared" si="17"/>
        <v>89</v>
      </c>
      <c r="Q75">
        <f t="shared" si="17"/>
        <v>0</v>
      </c>
      <c r="R75">
        <f t="shared" si="10"/>
        <v>0</v>
      </c>
      <c r="S75">
        <f t="shared" si="18"/>
        <v>0</v>
      </c>
      <c r="T75">
        <f t="shared" si="18"/>
        <v>0</v>
      </c>
      <c r="U75">
        <f t="shared" si="18"/>
        <v>0</v>
      </c>
      <c r="V75" s="108">
        <f t="shared" si="7"/>
        <v>89</v>
      </c>
      <c r="W75" s="26">
        <f t="shared" si="8"/>
        <v>1259</v>
      </c>
      <c r="X75">
        <f t="shared" si="9"/>
        <v>0</v>
      </c>
      <c r="Y75">
        <f t="shared" si="11"/>
        <v>10.491666666666667</v>
      </c>
      <c r="Z75">
        <f t="shared" si="12"/>
        <v>0</v>
      </c>
    </row>
    <row r="76" spans="11:26" x14ac:dyDescent="0.25">
      <c r="K76" s="105">
        <v>43</v>
      </c>
      <c r="L76">
        <f t="shared" si="17"/>
        <v>0</v>
      </c>
      <c r="M76">
        <f t="shared" si="17"/>
        <v>0</v>
      </c>
      <c r="N76">
        <f t="shared" si="17"/>
        <v>0</v>
      </c>
      <c r="O76">
        <f t="shared" si="17"/>
        <v>0</v>
      </c>
      <c r="P76">
        <f t="shared" si="17"/>
        <v>89</v>
      </c>
      <c r="Q76">
        <f t="shared" si="17"/>
        <v>0</v>
      </c>
      <c r="R76">
        <f t="shared" si="10"/>
        <v>0</v>
      </c>
      <c r="S76">
        <f t="shared" si="18"/>
        <v>0</v>
      </c>
      <c r="T76">
        <f t="shared" si="18"/>
        <v>0</v>
      </c>
      <c r="U76">
        <f t="shared" si="18"/>
        <v>0</v>
      </c>
      <c r="V76" s="108">
        <f t="shared" si="7"/>
        <v>89</v>
      </c>
      <c r="W76" s="26">
        <f t="shared" si="8"/>
        <v>1259</v>
      </c>
      <c r="X76">
        <f t="shared" si="9"/>
        <v>0</v>
      </c>
      <c r="Y76">
        <f t="shared" si="11"/>
        <v>10.491666666666667</v>
      </c>
      <c r="Z76">
        <f t="shared" si="12"/>
        <v>0</v>
      </c>
    </row>
    <row r="77" spans="11:26" x14ac:dyDescent="0.25">
      <c r="K77" s="105">
        <v>44</v>
      </c>
      <c r="L77">
        <f t="shared" si="17"/>
        <v>0</v>
      </c>
      <c r="M77">
        <f t="shared" si="17"/>
        <v>0</v>
      </c>
      <c r="N77">
        <f t="shared" si="17"/>
        <v>0</v>
      </c>
      <c r="O77">
        <f t="shared" si="17"/>
        <v>0</v>
      </c>
      <c r="P77">
        <f t="shared" si="17"/>
        <v>89</v>
      </c>
      <c r="Q77">
        <f t="shared" si="17"/>
        <v>0</v>
      </c>
      <c r="R77">
        <f t="shared" si="10"/>
        <v>0</v>
      </c>
      <c r="S77">
        <f t="shared" si="18"/>
        <v>0</v>
      </c>
      <c r="T77">
        <f t="shared" si="18"/>
        <v>0</v>
      </c>
      <c r="U77">
        <f t="shared" si="18"/>
        <v>0</v>
      </c>
      <c r="V77" s="108">
        <f t="shared" si="7"/>
        <v>89</v>
      </c>
      <c r="W77" s="26">
        <f t="shared" si="8"/>
        <v>1259</v>
      </c>
      <c r="X77">
        <f t="shared" si="9"/>
        <v>0</v>
      </c>
      <c r="Y77">
        <f t="shared" si="11"/>
        <v>10.491666666666667</v>
      </c>
      <c r="Z77">
        <f t="shared" si="12"/>
        <v>0</v>
      </c>
    </row>
    <row r="78" spans="11:26" x14ac:dyDescent="0.25">
      <c r="K78" s="105">
        <v>45</v>
      </c>
      <c r="L78">
        <f t="shared" si="17"/>
        <v>0</v>
      </c>
      <c r="M78">
        <f t="shared" si="17"/>
        <v>0</v>
      </c>
      <c r="N78">
        <f t="shared" si="17"/>
        <v>0</v>
      </c>
      <c r="O78">
        <f t="shared" si="17"/>
        <v>0</v>
      </c>
      <c r="P78">
        <f t="shared" si="17"/>
        <v>89</v>
      </c>
      <c r="Q78">
        <f t="shared" si="17"/>
        <v>0</v>
      </c>
      <c r="R78">
        <f t="shared" si="10"/>
        <v>0</v>
      </c>
      <c r="S78">
        <f t="shared" si="18"/>
        <v>0</v>
      </c>
      <c r="T78">
        <f t="shared" si="18"/>
        <v>0</v>
      </c>
      <c r="U78">
        <f t="shared" si="18"/>
        <v>0</v>
      </c>
      <c r="V78" s="108">
        <f t="shared" si="7"/>
        <v>89</v>
      </c>
      <c r="W78" s="26">
        <f t="shared" si="8"/>
        <v>1259</v>
      </c>
      <c r="X78">
        <f t="shared" si="9"/>
        <v>0</v>
      </c>
      <c r="Y78">
        <f t="shared" si="11"/>
        <v>10.491666666666667</v>
      </c>
      <c r="Z78">
        <f t="shared" si="12"/>
        <v>0</v>
      </c>
    </row>
    <row r="79" spans="11:26" x14ac:dyDescent="0.25">
      <c r="K79" s="105">
        <v>46</v>
      </c>
      <c r="L79">
        <f t="shared" si="17"/>
        <v>0</v>
      </c>
      <c r="M79">
        <f t="shared" si="17"/>
        <v>0</v>
      </c>
      <c r="N79">
        <f t="shared" si="17"/>
        <v>0</v>
      </c>
      <c r="O79">
        <f t="shared" si="17"/>
        <v>0</v>
      </c>
      <c r="P79">
        <f t="shared" si="17"/>
        <v>89</v>
      </c>
      <c r="Q79">
        <f t="shared" si="17"/>
        <v>0</v>
      </c>
      <c r="R79">
        <f t="shared" si="10"/>
        <v>0</v>
      </c>
      <c r="S79">
        <f t="shared" si="18"/>
        <v>0</v>
      </c>
      <c r="T79">
        <f t="shared" si="18"/>
        <v>0</v>
      </c>
      <c r="U79">
        <f t="shared" si="18"/>
        <v>0</v>
      </c>
      <c r="V79" s="108">
        <f t="shared" si="7"/>
        <v>89</v>
      </c>
      <c r="W79" s="26">
        <f t="shared" si="8"/>
        <v>1259</v>
      </c>
      <c r="X79">
        <f t="shared" si="9"/>
        <v>0</v>
      </c>
      <c r="Y79">
        <f t="shared" si="11"/>
        <v>10.491666666666667</v>
      </c>
      <c r="Z79">
        <f t="shared" si="12"/>
        <v>0</v>
      </c>
    </row>
    <row r="80" spans="11:26" x14ac:dyDescent="0.25">
      <c r="K80" s="105">
        <v>47</v>
      </c>
      <c r="L80">
        <f t="shared" si="17"/>
        <v>0</v>
      </c>
      <c r="M80">
        <f t="shared" si="17"/>
        <v>0</v>
      </c>
      <c r="N80">
        <f t="shared" si="17"/>
        <v>0</v>
      </c>
      <c r="O80">
        <f t="shared" si="17"/>
        <v>0</v>
      </c>
      <c r="P80">
        <f t="shared" si="17"/>
        <v>89</v>
      </c>
      <c r="Q80">
        <f t="shared" si="17"/>
        <v>0</v>
      </c>
      <c r="R80">
        <f t="shared" si="10"/>
        <v>0</v>
      </c>
      <c r="S80">
        <f t="shared" si="18"/>
        <v>0</v>
      </c>
      <c r="T80">
        <f t="shared" si="18"/>
        <v>0</v>
      </c>
      <c r="U80">
        <f t="shared" si="18"/>
        <v>0</v>
      </c>
      <c r="V80" s="108">
        <f t="shared" si="7"/>
        <v>89</v>
      </c>
      <c r="W80" s="26">
        <f t="shared" si="8"/>
        <v>1259</v>
      </c>
      <c r="X80">
        <f t="shared" si="9"/>
        <v>0</v>
      </c>
      <c r="Y80">
        <f t="shared" si="11"/>
        <v>10.491666666666667</v>
      </c>
      <c r="Z80">
        <f t="shared" si="12"/>
        <v>0</v>
      </c>
    </row>
    <row r="81" spans="11:26" x14ac:dyDescent="0.25">
      <c r="K81" s="105">
        <v>48</v>
      </c>
      <c r="L81">
        <f t="shared" si="17"/>
        <v>0</v>
      </c>
      <c r="M81">
        <f t="shared" si="17"/>
        <v>0</v>
      </c>
      <c r="N81">
        <f t="shared" si="17"/>
        <v>0</v>
      </c>
      <c r="O81">
        <f t="shared" si="17"/>
        <v>0</v>
      </c>
      <c r="P81">
        <f t="shared" si="17"/>
        <v>89</v>
      </c>
      <c r="Q81">
        <f t="shared" si="17"/>
        <v>117</v>
      </c>
      <c r="R81">
        <f t="shared" si="10"/>
        <v>0</v>
      </c>
      <c r="S81">
        <f t="shared" si="18"/>
        <v>0</v>
      </c>
      <c r="T81">
        <f t="shared" si="18"/>
        <v>0</v>
      </c>
      <c r="U81">
        <f t="shared" si="18"/>
        <v>0</v>
      </c>
      <c r="V81" s="108">
        <f t="shared" si="7"/>
        <v>206</v>
      </c>
      <c r="W81" s="26">
        <f t="shared" si="8"/>
        <v>1142</v>
      </c>
      <c r="X81">
        <f t="shared" si="9"/>
        <v>0</v>
      </c>
      <c r="Y81">
        <f t="shared" si="11"/>
        <v>9.5166666666666675</v>
      </c>
      <c r="Z81">
        <f t="shared" si="12"/>
        <v>0</v>
      </c>
    </row>
    <row r="82" spans="11:26" x14ac:dyDescent="0.25">
      <c r="K82" s="105">
        <v>49</v>
      </c>
      <c r="L82">
        <f t="shared" si="17"/>
        <v>0</v>
      </c>
      <c r="M82">
        <f t="shared" si="17"/>
        <v>0</v>
      </c>
      <c r="N82">
        <f t="shared" si="17"/>
        <v>0</v>
      </c>
      <c r="O82">
        <f t="shared" si="17"/>
        <v>0</v>
      </c>
      <c r="P82">
        <f t="shared" si="17"/>
        <v>89</v>
      </c>
      <c r="Q82">
        <f t="shared" si="17"/>
        <v>117</v>
      </c>
      <c r="R82">
        <f t="shared" si="10"/>
        <v>0</v>
      </c>
      <c r="S82">
        <f t="shared" si="18"/>
        <v>0</v>
      </c>
      <c r="T82">
        <f t="shared" si="18"/>
        <v>0</v>
      </c>
      <c r="U82">
        <f t="shared" si="18"/>
        <v>0</v>
      </c>
      <c r="V82" s="108">
        <f t="shared" si="7"/>
        <v>206</v>
      </c>
      <c r="W82" s="26">
        <f t="shared" si="8"/>
        <v>1142</v>
      </c>
      <c r="X82">
        <f t="shared" si="9"/>
        <v>0</v>
      </c>
      <c r="Y82">
        <f t="shared" si="11"/>
        <v>9.5166666666666675</v>
      </c>
      <c r="Z82">
        <f t="shared" si="12"/>
        <v>0</v>
      </c>
    </row>
    <row r="83" spans="11:26" x14ac:dyDescent="0.25">
      <c r="K83" s="105">
        <v>50</v>
      </c>
      <c r="L83">
        <f t="shared" si="17"/>
        <v>0</v>
      </c>
      <c r="M83">
        <f t="shared" si="17"/>
        <v>0</v>
      </c>
      <c r="N83">
        <f t="shared" si="17"/>
        <v>0</v>
      </c>
      <c r="O83">
        <f t="shared" si="17"/>
        <v>0</v>
      </c>
      <c r="P83">
        <f t="shared" si="17"/>
        <v>89</v>
      </c>
      <c r="Q83">
        <f t="shared" si="17"/>
        <v>117</v>
      </c>
      <c r="R83">
        <f t="shared" si="10"/>
        <v>0</v>
      </c>
      <c r="S83">
        <f t="shared" si="18"/>
        <v>0</v>
      </c>
      <c r="T83">
        <f t="shared" si="18"/>
        <v>0</v>
      </c>
      <c r="U83">
        <f t="shared" si="18"/>
        <v>0</v>
      </c>
      <c r="V83" s="108">
        <f t="shared" si="7"/>
        <v>206</v>
      </c>
      <c r="W83" s="26">
        <f t="shared" si="8"/>
        <v>1142</v>
      </c>
      <c r="X83">
        <f t="shared" si="9"/>
        <v>0</v>
      </c>
      <c r="Y83">
        <f t="shared" si="11"/>
        <v>9.5166666666666675</v>
      </c>
      <c r="Z83">
        <f t="shared" si="12"/>
        <v>0</v>
      </c>
    </row>
    <row r="84" spans="11:26" x14ac:dyDescent="0.25">
      <c r="K84" s="105">
        <v>51</v>
      </c>
      <c r="L84">
        <f t="shared" ref="L84:Q93" si="19">IF(MID(DEC2BIN($K84,10),L$32,1)="1",L$33,0)</f>
        <v>0</v>
      </c>
      <c r="M84">
        <f t="shared" si="19"/>
        <v>0</v>
      </c>
      <c r="N84">
        <f t="shared" si="19"/>
        <v>0</v>
      </c>
      <c r="O84">
        <f t="shared" si="19"/>
        <v>0</v>
      </c>
      <c r="P84">
        <f t="shared" si="19"/>
        <v>89</v>
      </c>
      <c r="Q84">
        <f t="shared" si="19"/>
        <v>117</v>
      </c>
      <c r="R84">
        <f t="shared" si="10"/>
        <v>0</v>
      </c>
      <c r="S84">
        <f t="shared" si="18"/>
        <v>0</v>
      </c>
      <c r="T84">
        <f t="shared" si="18"/>
        <v>0</v>
      </c>
      <c r="U84">
        <f t="shared" si="18"/>
        <v>0</v>
      </c>
      <c r="V84" s="108">
        <f t="shared" si="7"/>
        <v>206</v>
      </c>
      <c r="W84" s="26">
        <f t="shared" si="8"/>
        <v>1142</v>
      </c>
      <c r="X84">
        <f t="shared" si="9"/>
        <v>0</v>
      </c>
      <c r="Y84">
        <f t="shared" si="11"/>
        <v>9.5166666666666675</v>
      </c>
      <c r="Z84">
        <f t="shared" si="12"/>
        <v>0</v>
      </c>
    </row>
    <row r="85" spans="11:26" x14ac:dyDescent="0.25">
      <c r="K85" s="105">
        <v>52</v>
      </c>
      <c r="L85">
        <f t="shared" si="19"/>
        <v>0</v>
      </c>
      <c r="M85">
        <f t="shared" si="19"/>
        <v>0</v>
      </c>
      <c r="N85">
        <f t="shared" si="19"/>
        <v>0</v>
      </c>
      <c r="O85">
        <f t="shared" si="19"/>
        <v>0</v>
      </c>
      <c r="P85">
        <f t="shared" si="19"/>
        <v>89</v>
      </c>
      <c r="Q85">
        <f t="shared" si="19"/>
        <v>117</v>
      </c>
      <c r="R85">
        <f t="shared" si="10"/>
        <v>0</v>
      </c>
      <c r="S85">
        <f t="shared" si="18"/>
        <v>0</v>
      </c>
      <c r="T85">
        <f t="shared" si="18"/>
        <v>0</v>
      </c>
      <c r="U85">
        <f t="shared" si="18"/>
        <v>0</v>
      </c>
      <c r="V85" s="108">
        <f t="shared" si="7"/>
        <v>206</v>
      </c>
      <c r="W85" s="26">
        <f t="shared" si="8"/>
        <v>1142</v>
      </c>
      <c r="X85">
        <f t="shared" si="9"/>
        <v>0</v>
      </c>
      <c r="Y85">
        <f t="shared" si="11"/>
        <v>9.5166666666666675</v>
      </c>
      <c r="Z85">
        <f t="shared" si="12"/>
        <v>0</v>
      </c>
    </row>
    <row r="86" spans="11:26" x14ac:dyDescent="0.25">
      <c r="K86" s="105">
        <v>53</v>
      </c>
      <c r="L86">
        <f t="shared" si="19"/>
        <v>0</v>
      </c>
      <c r="M86">
        <f t="shared" si="19"/>
        <v>0</v>
      </c>
      <c r="N86">
        <f t="shared" si="19"/>
        <v>0</v>
      </c>
      <c r="O86">
        <f t="shared" si="19"/>
        <v>0</v>
      </c>
      <c r="P86">
        <f t="shared" si="19"/>
        <v>89</v>
      </c>
      <c r="Q86">
        <f t="shared" si="19"/>
        <v>117</v>
      </c>
      <c r="R86">
        <f t="shared" si="10"/>
        <v>0</v>
      </c>
      <c r="S86">
        <f t="shared" si="18"/>
        <v>0</v>
      </c>
      <c r="T86">
        <f t="shared" si="18"/>
        <v>0</v>
      </c>
      <c r="U86">
        <f t="shared" si="18"/>
        <v>0</v>
      </c>
      <c r="V86" s="108">
        <f t="shared" si="7"/>
        <v>206</v>
      </c>
      <c r="W86" s="26">
        <f t="shared" si="8"/>
        <v>1142</v>
      </c>
      <c r="X86">
        <f t="shared" si="9"/>
        <v>0</v>
      </c>
      <c r="Y86">
        <f t="shared" si="11"/>
        <v>9.5166666666666675</v>
      </c>
      <c r="Z86">
        <f t="shared" si="12"/>
        <v>0</v>
      </c>
    </row>
    <row r="87" spans="11:26" x14ac:dyDescent="0.25">
      <c r="K87" s="105">
        <v>54</v>
      </c>
      <c r="L87">
        <f t="shared" si="19"/>
        <v>0</v>
      </c>
      <c r="M87">
        <f t="shared" si="19"/>
        <v>0</v>
      </c>
      <c r="N87">
        <f t="shared" si="19"/>
        <v>0</v>
      </c>
      <c r="O87">
        <f t="shared" si="19"/>
        <v>0</v>
      </c>
      <c r="P87">
        <f t="shared" si="19"/>
        <v>89</v>
      </c>
      <c r="Q87">
        <f t="shared" si="19"/>
        <v>117</v>
      </c>
      <c r="R87">
        <f t="shared" si="10"/>
        <v>0</v>
      </c>
      <c r="S87">
        <f t="shared" si="18"/>
        <v>0</v>
      </c>
      <c r="T87">
        <f t="shared" si="18"/>
        <v>0</v>
      </c>
      <c r="U87">
        <f t="shared" si="18"/>
        <v>0</v>
      </c>
      <c r="V87" s="108">
        <f t="shared" si="7"/>
        <v>206</v>
      </c>
      <c r="W87" s="26">
        <f t="shared" si="8"/>
        <v>1142</v>
      </c>
      <c r="X87">
        <f t="shared" si="9"/>
        <v>0</v>
      </c>
      <c r="Y87">
        <f t="shared" si="11"/>
        <v>9.5166666666666675</v>
      </c>
      <c r="Z87">
        <f t="shared" si="12"/>
        <v>0</v>
      </c>
    </row>
    <row r="88" spans="11:26" x14ac:dyDescent="0.25">
      <c r="K88" s="105">
        <v>55</v>
      </c>
      <c r="L88">
        <f t="shared" si="19"/>
        <v>0</v>
      </c>
      <c r="M88">
        <f t="shared" si="19"/>
        <v>0</v>
      </c>
      <c r="N88">
        <f t="shared" si="19"/>
        <v>0</v>
      </c>
      <c r="O88">
        <f t="shared" si="19"/>
        <v>0</v>
      </c>
      <c r="P88">
        <f t="shared" si="19"/>
        <v>89</v>
      </c>
      <c r="Q88">
        <f t="shared" si="19"/>
        <v>117</v>
      </c>
      <c r="R88">
        <f t="shared" si="10"/>
        <v>0</v>
      </c>
      <c r="S88">
        <f t="shared" si="18"/>
        <v>0</v>
      </c>
      <c r="T88">
        <f t="shared" si="18"/>
        <v>0</v>
      </c>
      <c r="U88">
        <f t="shared" si="18"/>
        <v>0</v>
      </c>
      <c r="V88" s="108">
        <f t="shared" si="7"/>
        <v>206</v>
      </c>
      <c r="W88" s="26">
        <f t="shared" si="8"/>
        <v>1142</v>
      </c>
      <c r="X88">
        <f t="shared" si="9"/>
        <v>0</v>
      </c>
      <c r="Y88">
        <f t="shared" si="11"/>
        <v>9.5166666666666675</v>
      </c>
      <c r="Z88">
        <f t="shared" si="12"/>
        <v>0</v>
      </c>
    </row>
    <row r="89" spans="11:26" x14ac:dyDescent="0.25">
      <c r="K89" s="105">
        <v>56</v>
      </c>
      <c r="L89">
        <f t="shared" si="19"/>
        <v>0</v>
      </c>
      <c r="M89">
        <f t="shared" si="19"/>
        <v>0</v>
      </c>
      <c r="N89">
        <f t="shared" si="19"/>
        <v>0</v>
      </c>
      <c r="O89">
        <f t="shared" si="19"/>
        <v>0</v>
      </c>
      <c r="P89">
        <f t="shared" si="19"/>
        <v>89</v>
      </c>
      <c r="Q89">
        <f t="shared" si="19"/>
        <v>117</v>
      </c>
      <c r="R89">
        <f t="shared" si="10"/>
        <v>0</v>
      </c>
      <c r="S89">
        <f t="shared" si="18"/>
        <v>0</v>
      </c>
      <c r="T89">
        <f t="shared" si="18"/>
        <v>0</v>
      </c>
      <c r="U89">
        <f t="shared" si="18"/>
        <v>0</v>
      </c>
      <c r="V89" s="108">
        <f t="shared" si="7"/>
        <v>206</v>
      </c>
      <c r="W89" s="26">
        <f t="shared" si="8"/>
        <v>1142</v>
      </c>
      <c r="X89">
        <f t="shared" si="9"/>
        <v>0</v>
      </c>
      <c r="Y89">
        <f t="shared" si="11"/>
        <v>9.5166666666666675</v>
      </c>
      <c r="Z89">
        <f t="shared" si="12"/>
        <v>0</v>
      </c>
    </row>
    <row r="90" spans="11:26" x14ac:dyDescent="0.25">
      <c r="K90" s="105">
        <v>57</v>
      </c>
      <c r="L90">
        <f t="shared" si="19"/>
        <v>0</v>
      </c>
      <c r="M90">
        <f t="shared" si="19"/>
        <v>0</v>
      </c>
      <c r="N90">
        <f t="shared" si="19"/>
        <v>0</v>
      </c>
      <c r="O90">
        <f t="shared" si="19"/>
        <v>0</v>
      </c>
      <c r="P90">
        <f t="shared" si="19"/>
        <v>89</v>
      </c>
      <c r="Q90">
        <f t="shared" si="19"/>
        <v>117</v>
      </c>
      <c r="R90">
        <f t="shared" si="10"/>
        <v>0</v>
      </c>
      <c r="S90">
        <f t="shared" si="18"/>
        <v>0</v>
      </c>
      <c r="T90">
        <f t="shared" si="18"/>
        <v>0</v>
      </c>
      <c r="U90">
        <f t="shared" si="18"/>
        <v>0</v>
      </c>
      <c r="V90" s="108">
        <f t="shared" si="7"/>
        <v>206</v>
      </c>
      <c r="W90" s="26">
        <f t="shared" si="8"/>
        <v>1142</v>
      </c>
      <c r="X90">
        <f t="shared" si="9"/>
        <v>0</v>
      </c>
      <c r="Y90">
        <f t="shared" si="11"/>
        <v>9.5166666666666675</v>
      </c>
      <c r="Z90">
        <f t="shared" si="12"/>
        <v>0</v>
      </c>
    </row>
    <row r="91" spans="11:26" x14ac:dyDescent="0.25">
      <c r="K91" s="105">
        <v>58</v>
      </c>
      <c r="L91">
        <f t="shared" si="19"/>
        <v>0</v>
      </c>
      <c r="M91">
        <f t="shared" si="19"/>
        <v>0</v>
      </c>
      <c r="N91">
        <f t="shared" si="19"/>
        <v>0</v>
      </c>
      <c r="O91">
        <f t="shared" si="19"/>
        <v>0</v>
      </c>
      <c r="P91">
        <f t="shared" si="19"/>
        <v>89</v>
      </c>
      <c r="Q91">
        <f t="shared" si="19"/>
        <v>117</v>
      </c>
      <c r="R91">
        <f t="shared" si="10"/>
        <v>0</v>
      </c>
      <c r="S91">
        <f t="shared" si="18"/>
        <v>0</v>
      </c>
      <c r="T91">
        <f t="shared" si="18"/>
        <v>0</v>
      </c>
      <c r="U91">
        <f t="shared" si="18"/>
        <v>0</v>
      </c>
      <c r="V91" s="108">
        <f t="shared" si="7"/>
        <v>206</v>
      </c>
      <c r="W91" s="26">
        <f t="shared" si="8"/>
        <v>1142</v>
      </c>
      <c r="X91">
        <f t="shared" si="9"/>
        <v>0</v>
      </c>
      <c r="Y91">
        <f t="shared" si="11"/>
        <v>9.5166666666666675</v>
      </c>
      <c r="Z91">
        <f t="shared" si="12"/>
        <v>0</v>
      </c>
    </row>
    <row r="92" spans="11:26" x14ac:dyDescent="0.25">
      <c r="K92" s="105">
        <v>59</v>
      </c>
      <c r="L92">
        <f t="shared" si="19"/>
        <v>0</v>
      </c>
      <c r="M92">
        <f t="shared" si="19"/>
        <v>0</v>
      </c>
      <c r="N92">
        <f t="shared" si="19"/>
        <v>0</v>
      </c>
      <c r="O92">
        <f t="shared" si="19"/>
        <v>0</v>
      </c>
      <c r="P92">
        <f t="shared" si="19"/>
        <v>89</v>
      </c>
      <c r="Q92">
        <f t="shared" si="19"/>
        <v>117</v>
      </c>
      <c r="R92">
        <f t="shared" si="10"/>
        <v>0</v>
      </c>
      <c r="S92">
        <f t="shared" si="18"/>
        <v>0</v>
      </c>
      <c r="T92">
        <f t="shared" si="18"/>
        <v>0</v>
      </c>
      <c r="U92">
        <f t="shared" si="18"/>
        <v>0</v>
      </c>
      <c r="V92" s="108">
        <f t="shared" si="7"/>
        <v>206</v>
      </c>
      <c r="W92" s="26">
        <f t="shared" si="8"/>
        <v>1142</v>
      </c>
      <c r="X92">
        <f t="shared" si="9"/>
        <v>0</v>
      </c>
      <c r="Y92">
        <f t="shared" si="11"/>
        <v>9.5166666666666675</v>
      </c>
      <c r="Z92">
        <f t="shared" si="12"/>
        <v>0</v>
      </c>
    </row>
    <row r="93" spans="11:26" x14ac:dyDescent="0.25">
      <c r="K93" s="105">
        <v>60</v>
      </c>
      <c r="L93">
        <f t="shared" si="19"/>
        <v>0</v>
      </c>
      <c r="M93">
        <f t="shared" si="19"/>
        <v>0</v>
      </c>
      <c r="N93">
        <f t="shared" si="19"/>
        <v>0</v>
      </c>
      <c r="O93">
        <f t="shared" si="19"/>
        <v>0</v>
      </c>
      <c r="P93">
        <f t="shared" si="19"/>
        <v>89</v>
      </c>
      <c r="Q93">
        <f t="shared" si="19"/>
        <v>117</v>
      </c>
      <c r="R93">
        <f t="shared" si="10"/>
        <v>0</v>
      </c>
      <c r="S93">
        <f t="shared" si="18"/>
        <v>0</v>
      </c>
      <c r="T93">
        <f t="shared" si="18"/>
        <v>0</v>
      </c>
      <c r="U93">
        <f t="shared" si="18"/>
        <v>0</v>
      </c>
      <c r="V93" s="108">
        <f t="shared" si="7"/>
        <v>206</v>
      </c>
      <c r="W93" s="26">
        <f t="shared" si="8"/>
        <v>1142</v>
      </c>
      <c r="X93">
        <f t="shared" si="9"/>
        <v>0</v>
      </c>
      <c r="Y93">
        <f t="shared" si="11"/>
        <v>9.5166666666666675</v>
      </c>
      <c r="Z93">
        <f t="shared" si="12"/>
        <v>0</v>
      </c>
    </row>
    <row r="94" spans="11:26" x14ac:dyDescent="0.25">
      <c r="K94" s="105">
        <v>61</v>
      </c>
      <c r="L94">
        <f t="shared" ref="L94:Q103" si="20">IF(MID(DEC2BIN($K94,10),L$32,1)="1",L$33,0)</f>
        <v>0</v>
      </c>
      <c r="M94">
        <f t="shared" si="20"/>
        <v>0</v>
      </c>
      <c r="N94">
        <f t="shared" si="20"/>
        <v>0</v>
      </c>
      <c r="O94">
        <f t="shared" si="20"/>
        <v>0</v>
      </c>
      <c r="P94">
        <f t="shared" si="20"/>
        <v>89</v>
      </c>
      <c r="Q94">
        <f t="shared" si="20"/>
        <v>117</v>
      </c>
      <c r="R94">
        <f t="shared" si="10"/>
        <v>0</v>
      </c>
      <c r="S94">
        <f t="shared" ref="S94:U113" si="21">IF(MID(DEC2BIN($K94,10),S$32,1)="1",S$33,0)</f>
        <v>0</v>
      </c>
      <c r="T94">
        <f t="shared" si="21"/>
        <v>0</v>
      </c>
      <c r="U94">
        <f t="shared" si="21"/>
        <v>0</v>
      </c>
      <c r="V94" s="108">
        <f t="shared" si="7"/>
        <v>206</v>
      </c>
      <c r="W94" s="26">
        <f t="shared" si="8"/>
        <v>1142</v>
      </c>
      <c r="X94">
        <f t="shared" si="9"/>
        <v>0</v>
      </c>
      <c r="Y94">
        <f t="shared" si="11"/>
        <v>9.5166666666666675</v>
      </c>
      <c r="Z94">
        <f t="shared" si="12"/>
        <v>0</v>
      </c>
    </row>
    <row r="95" spans="11:26" x14ac:dyDescent="0.25">
      <c r="K95" s="105">
        <v>62</v>
      </c>
      <c r="L95">
        <f t="shared" si="20"/>
        <v>0</v>
      </c>
      <c r="M95">
        <f t="shared" si="20"/>
        <v>0</v>
      </c>
      <c r="N95">
        <f t="shared" si="20"/>
        <v>0</v>
      </c>
      <c r="O95">
        <f t="shared" si="20"/>
        <v>0</v>
      </c>
      <c r="P95">
        <f t="shared" si="20"/>
        <v>89</v>
      </c>
      <c r="Q95">
        <f t="shared" si="20"/>
        <v>117</v>
      </c>
      <c r="R95">
        <f t="shared" si="10"/>
        <v>0</v>
      </c>
      <c r="S95">
        <f t="shared" si="21"/>
        <v>0</v>
      </c>
      <c r="T95">
        <f t="shared" si="21"/>
        <v>0</v>
      </c>
      <c r="U95">
        <f t="shared" si="21"/>
        <v>0</v>
      </c>
      <c r="V95" s="108">
        <f t="shared" si="7"/>
        <v>206</v>
      </c>
      <c r="W95" s="26">
        <f t="shared" si="8"/>
        <v>1142</v>
      </c>
      <c r="X95">
        <f t="shared" si="9"/>
        <v>0</v>
      </c>
      <c r="Y95">
        <f t="shared" si="11"/>
        <v>9.5166666666666675</v>
      </c>
      <c r="Z95">
        <f t="shared" si="12"/>
        <v>0</v>
      </c>
    </row>
    <row r="96" spans="11:26" x14ac:dyDescent="0.25">
      <c r="K96" s="105">
        <v>63</v>
      </c>
      <c r="L96">
        <f t="shared" si="20"/>
        <v>0</v>
      </c>
      <c r="M96">
        <f t="shared" si="20"/>
        <v>0</v>
      </c>
      <c r="N96">
        <f t="shared" si="20"/>
        <v>0</v>
      </c>
      <c r="O96">
        <f t="shared" si="20"/>
        <v>0</v>
      </c>
      <c r="P96">
        <f t="shared" si="20"/>
        <v>89</v>
      </c>
      <c r="Q96">
        <f t="shared" si="20"/>
        <v>117</v>
      </c>
      <c r="R96">
        <f t="shared" si="10"/>
        <v>0</v>
      </c>
      <c r="S96">
        <f t="shared" si="21"/>
        <v>0</v>
      </c>
      <c r="T96">
        <f t="shared" si="21"/>
        <v>0</v>
      </c>
      <c r="U96">
        <f t="shared" si="21"/>
        <v>0</v>
      </c>
      <c r="V96" s="108">
        <f t="shared" si="7"/>
        <v>206</v>
      </c>
      <c r="W96" s="26">
        <f t="shared" si="8"/>
        <v>1142</v>
      </c>
      <c r="X96">
        <f t="shared" si="9"/>
        <v>0</v>
      </c>
      <c r="Y96">
        <f t="shared" si="11"/>
        <v>9.5166666666666675</v>
      </c>
      <c r="Z96">
        <f t="shared" si="12"/>
        <v>0</v>
      </c>
    </row>
    <row r="97" spans="11:26" x14ac:dyDescent="0.25">
      <c r="K97" s="105">
        <v>64</v>
      </c>
      <c r="L97">
        <f t="shared" si="20"/>
        <v>0</v>
      </c>
      <c r="M97">
        <f t="shared" si="20"/>
        <v>0</v>
      </c>
      <c r="N97">
        <f t="shared" si="20"/>
        <v>0</v>
      </c>
      <c r="O97">
        <f t="shared" si="20"/>
        <v>78</v>
      </c>
      <c r="P97">
        <f t="shared" si="20"/>
        <v>0</v>
      </c>
      <c r="Q97">
        <f t="shared" si="20"/>
        <v>0</v>
      </c>
      <c r="R97">
        <f t="shared" si="10"/>
        <v>0</v>
      </c>
      <c r="S97">
        <f t="shared" si="21"/>
        <v>0</v>
      </c>
      <c r="T97">
        <f t="shared" si="21"/>
        <v>0</v>
      </c>
      <c r="U97">
        <f t="shared" si="21"/>
        <v>0</v>
      </c>
      <c r="V97" s="108">
        <f t="shared" si="7"/>
        <v>78</v>
      </c>
      <c r="W97" s="26">
        <f t="shared" si="8"/>
        <v>1270</v>
      </c>
      <c r="X97">
        <f t="shared" si="9"/>
        <v>0</v>
      </c>
      <c r="Y97">
        <f t="shared" si="11"/>
        <v>10.583333333333334</v>
      </c>
      <c r="Z97">
        <f t="shared" si="12"/>
        <v>0</v>
      </c>
    </row>
    <row r="98" spans="11:26" x14ac:dyDescent="0.25">
      <c r="K98" s="105">
        <v>65</v>
      </c>
      <c r="L98">
        <f t="shared" si="20"/>
        <v>0</v>
      </c>
      <c r="M98">
        <f t="shared" si="20"/>
        <v>0</v>
      </c>
      <c r="N98">
        <f t="shared" si="20"/>
        <v>0</v>
      </c>
      <c r="O98">
        <f t="shared" si="20"/>
        <v>78</v>
      </c>
      <c r="P98">
        <f t="shared" si="20"/>
        <v>0</v>
      </c>
      <c r="Q98">
        <f t="shared" si="20"/>
        <v>0</v>
      </c>
      <c r="R98">
        <f t="shared" si="10"/>
        <v>0</v>
      </c>
      <c r="S98">
        <f t="shared" si="21"/>
        <v>0</v>
      </c>
      <c r="T98">
        <f t="shared" si="21"/>
        <v>0</v>
      </c>
      <c r="U98">
        <f t="shared" si="21"/>
        <v>0</v>
      </c>
      <c r="V98" s="108">
        <f t="shared" ref="V98:V161" si="22">SUM(L98:U98)</f>
        <v>78</v>
      </c>
      <c r="W98" s="26">
        <f t="shared" ref="W98:W161" si="23">$M$31-V98</f>
        <v>1270</v>
      </c>
      <c r="X98">
        <f t="shared" ref="X98:X161" si="24">IF(W98=0,1,0)</f>
        <v>0</v>
      </c>
      <c r="Y98">
        <f t="shared" si="11"/>
        <v>10.583333333333334</v>
      </c>
      <c r="Z98">
        <f t="shared" si="12"/>
        <v>0</v>
      </c>
    </row>
    <row r="99" spans="11:26" x14ac:dyDescent="0.25">
      <c r="K99" s="105">
        <v>66</v>
      </c>
      <c r="L99">
        <f t="shared" si="20"/>
        <v>0</v>
      </c>
      <c r="M99">
        <f t="shared" si="20"/>
        <v>0</v>
      </c>
      <c r="N99">
        <f t="shared" si="20"/>
        <v>0</v>
      </c>
      <c r="O99">
        <f t="shared" si="20"/>
        <v>78</v>
      </c>
      <c r="P99">
        <f t="shared" si="20"/>
        <v>0</v>
      </c>
      <c r="Q99">
        <f t="shared" si="20"/>
        <v>0</v>
      </c>
      <c r="R99">
        <f t="shared" ref="R99:R162" si="25">IF(MID(DEC2BIN($K99,10),R$32,1)="1",R$33,0)</f>
        <v>0</v>
      </c>
      <c r="S99">
        <f t="shared" si="21"/>
        <v>0</v>
      </c>
      <c r="T99">
        <f t="shared" si="21"/>
        <v>0</v>
      </c>
      <c r="U99">
        <f t="shared" si="21"/>
        <v>0</v>
      </c>
      <c r="V99" s="108">
        <f t="shared" si="22"/>
        <v>78</v>
      </c>
      <c r="W99" s="26">
        <f t="shared" si="23"/>
        <v>1270</v>
      </c>
      <c r="X99">
        <f t="shared" si="24"/>
        <v>0</v>
      </c>
      <c r="Y99">
        <f t="shared" ref="Y99:Y162" si="26">W99/$Y$32</f>
        <v>10.583333333333334</v>
      </c>
      <c r="Z99">
        <f t="shared" ref="Z99:Z162" si="27">IF(INT(Y99)=Y99,1,0)</f>
        <v>0</v>
      </c>
    </row>
    <row r="100" spans="11:26" x14ac:dyDescent="0.25">
      <c r="K100" s="105">
        <v>67</v>
      </c>
      <c r="L100">
        <f t="shared" si="20"/>
        <v>0</v>
      </c>
      <c r="M100">
        <f t="shared" si="20"/>
        <v>0</v>
      </c>
      <c r="N100">
        <f t="shared" si="20"/>
        <v>0</v>
      </c>
      <c r="O100">
        <f t="shared" si="20"/>
        <v>78</v>
      </c>
      <c r="P100">
        <f t="shared" si="20"/>
        <v>0</v>
      </c>
      <c r="Q100">
        <f t="shared" si="20"/>
        <v>0</v>
      </c>
      <c r="R100">
        <f t="shared" si="25"/>
        <v>0</v>
      </c>
      <c r="S100">
        <f t="shared" si="21"/>
        <v>0</v>
      </c>
      <c r="T100">
        <f t="shared" si="21"/>
        <v>0</v>
      </c>
      <c r="U100">
        <f t="shared" si="21"/>
        <v>0</v>
      </c>
      <c r="V100" s="108">
        <f t="shared" si="22"/>
        <v>78</v>
      </c>
      <c r="W100" s="26">
        <f t="shared" si="23"/>
        <v>1270</v>
      </c>
      <c r="X100">
        <f t="shared" si="24"/>
        <v>0</v>
      </c>
      <c r="Y100">
        <f t="shared" si="26"/>
        <v>10.583333333333334</v>
      </c>
      <c r="Z100">
        <f t="shared" si="27"/>
        <v>0</v>
      </c>
    </row>
    <row r="101" spans="11:26" x14ac:dyDescent="0.25">
      <c r="K101" s="105">
        <v>68</v>
      </c>
      <c r="L101">
        <f t="shared" si="20"/>
        <v>0</v>
      </c>
      <c r="M101">
        <f t="shared" si="20"/>
        <v>0</v>
      </c>
      <c r="N101">
        <f t="shared" si="20"/>
        <v>0</v>
      </c>
      <c r="O101">
        <f t="shared" si="20"/>
        <v>78</v>
      </c>
      <c r="P101">
        <f t="shared" si="20"/>
        <v>0</v>
      </c>
      <c r="Q101">
        <f t="shared" si="20"/>
        <v>0</v>
      </c>
      <c r="R101">
        <f t="shared" si="25"/>
        <v>0</v>
      </c>
      <c r="S101">
        <f t="shared" si="21"/>
        <v>0</v>
      </c>
      <c r="T101">
        <f t="shared" si="21"/>
        <v>0</v>
      </c>
      <c r="U101">
        <f t="shared" si="21"/>
        <v>0</v>
      </c>
      <c r="V101" s="108">
        <f t="shared" si="22"/>
        <v>78</v>
      </c>
      <c r="W101" s="26">
        <f t="shared" si="23"/>
        <v>1270</v>
      </c>
      <c r="X101">
        <f t="shared" si="24"/>
        <v>0</v>
      </c>
      <c r="Y101">
        <f t="shared" si="26"/>
        <v>10.583333333333334</v>
      </c>
      <c r="Z101">
        <f t="shared" si="27"/>
        <v>0</v>
      </c>
    </row>
    <row r="102" spans="11:26" x14ac:dyDescent="0.25">
      <c r="K102" s="105">
        <v>69</v>
      </c>
      <c r="L102">
        <f t="shared" si="20"/>
        <v>0</v>
      </c>
      <c r="M102">
        <f t="shared" si="20"/>
        <v>0</v>
      </c>
      <c r="N102">
        <f t="shared" si="20"/>
        <v>0</v>
      </c>
      <c r="O102">
        <f t="shared" si="20"/>
        <v>78</v>
      </c>
      <c r="P102">
        <f t="shared" si="20"/>
        <v>0</v>
      </c>
      <c r="Q102">
        <f t="shared" si="20"/>
        <v>0</v>
      </c>
      <c r="R102">
        <f t="shared" si="25"/>
        <v>0</v>
      </c>
      <c r="S102">
        <f t="shared" si="21"/>
        <v>0</v>
      </c>
      <c r="T102">
        <f t="shared" si="21"/>
        <v>0</v>
      </c>
      <c r="U102">
        <f t="shared" si="21"/>
        <v>0</v>
      </c>
      <c r="V102" s="108">
        <f t="shared" si="22"/>
        <v>78</v>
      </c>
      <c r="W102" s="26">
        <f t="shared" si="23"/>
        <v>1270</v>
      </c>
      <c r="X102">
        <f t="shared" si="24"/>
        <v>0</v>
      </c>
      <c r="Y102">
        <f t="shared" si="26"/>
        <v>10.583333333333334</v>
      </c>
      <c r="Z102">
        <f t="shared" si="27"/>
        <v>0</v>
      </c>
    </row>
    <row r="103" spans="11:26" x14ac:dyDescent="0.25">
      <c r="K103" s="105">
        <v>70</v>
      </c>
      <c r="L103">
        <f t="shared" si="20"/>
        <v>0</v>
      </c>
      <c r="M103">
        <f t="shared" si="20"/>
        <v>0</v>
      </c>
      <c r="N103">
        <f t="shared" si="20"/>
        <v>0</v>
      </c>
      <c r="O103">
        <f t="shared" si="20"/>
        <v>78</v>
      </c>
      <c r="P103">
        <f t="shared" si="20"/>
        <v>0</v>
      </c>
      <c r="Q103">
        <f t="shared" si="20"/>
        <v>0</v>
      </c>
      <c r="R103">
        <f t="shared" si="25"/>
        <v>0</v>
      </c>
      <c r="S103">
        <f t="shared" si="21"/>
        <v>0</v>
      </c>
      <c r="T103">
        <f t="shared" si="21"/>
        <v>0</v>
      </c>
      <c r="U103">
        <f t="shared" si="21"/>
        <v>0</v>
      </c>
      <c r="V103" s="108">
        <f t="shared" si="22"/>
        <v>78</v>
      </c>
      <c r="W103" s="26">
        <f t="shared" si="23"/>
        <v>1270</v>
      </c>
      <c r="X103">
        <f t="shared" si="24"/>
        <v>0</v>
      </c>
      <c r="Y103">
        <f t="shared" si="26"/>
        <v>10.583333333333334</v>
      </c>
      <c r="Z103">
        <f t="shared" si="27"/>
        <v>0</v>
      </c>
    </row>
    <row r="104" spans="11:26" x14ac:dyDescent="0.25">
      <c r="K104" s="105">
        <v>71</v>
      </c>
      <c r="L104">
        <f t="shared" ref="L104:Q113" si="28">IF(MID(DEC2BIN($K104,10),L$32,1)="1",L$33,0)</f>
        <v>0</v>
      </c>
      <c r="M104">
        <f t="shared" si="28"/>
        <v>0</v>
      </c>
      <c r="N104">
        <f t="shared" si="28"/>
        <v>0</v>
      </c>
      <c r="O104">
        <f t="shared" si="28"/>
        <v>78</v>
      </c>
      <c r="P104">
        <f t="shared" si="28"/>
        <v>0</v>
      </c>
      <c r="Q104">
        <f t="shared" si="28"/>
        <v>0</v>
      </c>
      <c r="R104">
        <f t="shared" si="25"/>
        <v>0</v>
      </c>
      <c r="S104">
        <f t="shared" si="21"/>
        <v>0</v>
      </c>
      <c r="T104">
        <f t="shared" si="21"/>
        <v>0</v>
      </c>
      <c r="U104">
        <f t="shared" si="21"/>
        <v>0</v>
      </c>
      <c r="V104" s="108">
        <f t="shared" si="22"/>
        <v>78</v>
      </c>
      <c r="W104" s="26">
        <f t="shared" si="23"/>
        <v>1270</v>
      </c>
      <c r="X104">
        <f t="shared" si="24"/>
        <v>0</v>
      </c>
      <c r="Y104">
        <f t="shared" si="26"/>
        <v>10.583333333333334</v>
      </c>
      <c r="Z104">
        <f t="shared" si="27"/>
        <v>0</v>
      </c>
    </row>
    <row r="105" spans="11:26" x14ac:dyDescent="0.25">
      <c r="K105" s="105">
        <v>72</v>
      </c>
      <c r="L105">
        <f t="shared" si="28"/>
        <v>0</v>
      </c>
      <c r="M105">
        <f t="shared" si="28"/>
        <v>0</v>
      </c>
      <c r="N105">
        <f t="shared" si="28"/>
        <v>0</v>
      </c>
      <c r="O105">
        <f t="shared" si="28"/>
        <v>78</v>
      </c>
      <c r="P105">
        <f t="shared" si="28"/>
        <v>0</v>
      </c>
      <c r="Q105">
        <f t="shared" si="28"/>
        <v>0</v>
      </c>
      <c r="R105">
        <f t="shared" si="25"/>
        <v>0</v>
      </c>
      <c r="S105">
        <f t="shared" si="21"/>
        <v>0</v>
      </c>
      <c r="T105">
        <f t="shared" si="21"/>
        <v>0</v>
      </c>
      <c r="U105">
        <f t="shared" si="21"/>
        <v>0</v>
      </c>
      <c r="V105" s="108">
        <f t="shared" si="22"/>
        <v>78</v>
      </c>
      <c r="W105" s="26">
        <f t="shared" si="23"/>
        <v>1270</v>
      </c>
      <c r="X105">
        <f t="shared" si="24"/>
        <v>0</v>
      </c>
      <c r="Y105">
        <f t="shared" si="26"/>
        <v>10.583333333333334</v>
      </c>
      <c r="Z105">
        <f t="shared" si="27"/>
        <v>0</v>
      </c>
    </row>
    <row r="106" spans="11:26" x14ac:dyDescent="0.25">
      <c r="K106" s="105">
        <v>73</v>
      </c>
      <c r="L106">
        <f t="shared" si="28"/>
        <v>0</v>
      </c>
      <c r="M106">
        <f t="shared" si="28"/>
        <v>0</v>
      </c>
      <c r="N106">
        <f t="shared" si="28"/>
        <v>0</v>
      </c>
      <c r="O106">
        <f t="shared" si="28"/>
        <v>78</v>
      </c>
      <c r="P106">
        <f t="shared" si="28"/>
        <v>0</v>
      </c>
      <c r="Q106">
        <f t="shared" si="28"/>
        <v>0</v>
      </c>
      <c r="R106">
        <f t="shared" si="25"/>
        <v>0</v>
      </c>
      <c r="S106">
        <f t="shared" si="21"/>
        <v>0</v>
      </c>
      <c r="T106">
        <f t="shared" si="21"/>
        <v>0</v>
      </c>
      <c r="U106">
        <f t="shared" si="21"/>
        <v>0</v>
      </c>
      <c r="V106" s="108">
        <f t="shared" si="22"/>
        <v>78</v>
      </c>
      <c r="W106" s="26">
        <f t="shared" si="23"/>
        <v>1270</v>
      </c>
      <c r="X106">
        <f t="shared" si="24"/>
        <v>0</v>
      </c>
      <c r="Y106">
        <f t="shared" si="26"/>
        <v>10.583333333333334</v>
      </c>
      <c r="Z106">
        <f t="shared" si="27"/>
        <v>0</v>
      </c>
    </row>
    <row r="107" spans="11:26" x14ac:dyDescent="0.25">
      <c r="K107" s="105">
        <v>74</v>
      </c>
      <c r="L107">
        <f t="shared" si="28"/>
        <v>0</v>
      </c>
      <c r="M107">
        <f t="shared" si="28"/>
        <v>0</v>
      </c>
      <c r="N107">
        <f t="shared" si="28"/>
        <v>0</v>
      </c>
      <c r="O107">
        <f t="shared" si="28"/>
        <v>78</v>
      </c>
      <c r="P107">
        <f t="shared" si="28"/>
        <v>0</v>
      </c>
      <c r="Q107">
        <f t="shared" si="28"/>
        <v>0</v>
      </c>
      <c r="R107">
        <f t="shared" si="25"/>
        <v>0</v>
      </c>
      <c r="S107">
        <f t="shared" si="21"/>
        <v>0</v>
      </c>
      <c r="T107">
        <f t="shared" si="21"/>
        <v>0</v>
      </c>
      <c r="U107">
        <f t="shared" si="21"/>
        <v>0</v>
      </c>
      <c r="V107" s="108">
        <f t="shared" si="22"/>
        <v>78</v>
      </c>
      <c r="W107" s="26">
        <f t="shared" si="23"/>
        <v>1270</v>
      </c>
      <c r="X107">
        <f t="shared" si="24"/>
        <v>0</v>
      </c>
      <c r="Y107">
        <f t="shared" si="26"/>
        <v>10.583333333333334</v>
      </c>
      <c r="Z107">
        <f t="shared" si="27"/>
        <v>0</v>
      </c>
    </row>
    <row r="108" spans="11:26" x14ac:dyDescent="0.25">
      <c r="K108" s="105">
        <v>75</v>
      </c>
      <c r="L108">
        <f t="shared" si="28"/>
        <v>0</v>
      </c>
      <c r="M108">
        <f t="shared" si="28"/>
        <v>0</v>
      </c>
      <c r="N108">
        <f t="shared" si="28"/>
        <v>0</v>
      </c>
      <c r="O108">
        <f t="shared" si="28"/>
        <v>78</v>
      </c>
      <c r="P108">
        <f t="shared" si="28"/>
        <v>0</v>
      </c>
      <c r="Q108">
        <f t="shared" si="28"/>
        <v>0</v>
      </c>
      <c r="R108">
        <f t="shared" si="25"/>
        <v>0</v>
      </c>
      <c r="S108">
        <f t="shared" si="21"/>
        <v>0</v>
      </c>
      <c r="T108">
        <f t="shared" si="21"/>
        <v>0</v>
      </c>
      <c r="U108">
        <f t="shared" si="21"/>
        <v>0</v>
      </c>
      <c r="V108" s="108">
        <f t="shared" si="22"/>
        <v>78</v>
      </c>
      <c r="W108" s="26">
        <f t="shared" si="23"/>
        <v>1270</v>
      </c>
      <c r="X108">
        <f t="shared" si="24"/>
        <v>0</v>
      </c>
      <c r="Y108">
        <f t="shared" si="26"/>
        <v>10.583333333333334</v>
      </c>
      <c r="Z108">
        <f t="shared" si="27"/>
        <v>0</v>
      </c>
    </row>
    <row r="109" spans="11:26" x14ac:dyDescent="0.25">
      <c r="K109" s="105">
        <v>76</v>
      </c>
      <c r="L109">
        <f t="shared" si="28"/>
        <v>0</v>
      </c>
      <c r="M109">
        <f t="shared" si="28"/>
        <v>0</v>
      </c>
      <c r="N109">
        <f t="shared" si="28"/>
        <v>0</v>
      </c>
      <c r="O109">
        <f t="shared" si="28"/>
        <v>78</v>
      </c>
      <c r="P109">
        <f t="shared" si="28"/>
        <v>0</v>
      </c>
      <c r="Q109">
        <f t="shared" si="28"/>
        <v>0</v>
      </c>
      <c r="R109">
        <f t="shared" si="25"/>
        <v>0</v>
      </c>
      <c r="S109">
        <f t="shared" si="21"/>
        <v>0</v>
      </c>
      <c r="T109">
        <f t="shared" si="21"/>
        <v>0</v>
      </c>
      <c r="U109">
        <f t="shared" si="21"/>
        <v>0</v>
      </c>
      <c r="V109" s="108">
        <f t="shared" si="22"/>
        <v>78</v>
      </c>
      <c r="W109" s="26">
        <f t="shared" si="23"/>
        <v>1270</v>
      </c>
      <c r="X109">
        <f t="shared" si="24"/>
        <v>0</v>
      </c>
      <c r="Y109">
        <f t="shared" si="26"/>
        <v>10.583333333333334</v>
      </c>
      <c r="Z109">
        <f t="shared" si="27"/>
        <v>0</v>
      </c>
    </row>
    <row r="110" spans="11:26" x14ac:dyDescent="0.25">
      <c r="K110" s="105">
        <v>77</v>
      </c>
      <c r="L110">
        <f t="shared" si="28"/>
        <v>0</v>
      </c>
      <c r="M110">
        <f t="shared" si="28"/>
        <v>0</v>
      </c>
      <c r="N110">
        <f t="shared" si="28"/>
        <v>0</v>
      </c>
      <c r="O110">
        <f t="shared" si="28"/>
        <v>78</v>
      </c>
      <c r="P110">
        <f t="shared" si="28"/>
        <v>0</v>
      </c>
      <c r="Q110">
        <f t="shared" si="28"/>
        <v>0</v>
      </c>
      <c r="R110">
        <f t="shared" si="25"/>
        <v>0</v>
      </c>
      <c r="S110">
        <f t="shared" si="21"/>
        <v>0</v>
      </c>
      <c r="T110">
        <f t="shared" si="21"/>
        <v>0</v>
      </c>
      <c r="U110">
        <f t="shared" si="21"/>
        <v>0</v>
      </c>
      <c r="V110" s="108">
        <f t="shared" si="22"/>
        <v>78</v>
      </c>
      <c r="W110" s="26">
        <f t="shared" si="23"/>
        <v>1270</v>
      </c>
      <c r="X110">
        <f t="shared" si="24"/>
        <v>0</v>
      </c>
      <c r="Y110">
        <f t="shared" si="26"/>
        <v>10.583333333333334</v>
      </c>
      <c r="Z110">
        <f t="shared" si="27"/>
        <v>0</v>
      </c>
    </row>
    <row r="111" spans="11:26" x14ac:dyDescent="0.25">
      <c r="K111" s="105">
        <v>78</v>
      </c>
      <c r="L111">
        <f t="shared" si="28"/>
        <v>0</v>
      </c>
      <c r="M111">
        <f t="shared" si="28"/>
        <v>0</v>
      </c>
      <c r="N111">
        <f t="shared" si="28"/>
        <v>0</v>
      </c>
      <c r="O111">
        <f t="shared" si="28"/>
        <v>78</v>
      </c>
      <c r="P111">
        <f t="shared" si="28"/>
        <v>0</v>
      </c>
      <c r="Q111">
        <f t="shared" si="28"/>
        <v>0</v>
      </c>
      <c r="R111">
        <f t="shared" si="25"/>
        <v>0</v>
      </c>
      <c r="S111">
        <f t="shared" si="21"/>
        <v>0</v>
      </c>
      <c r="T111">
        <f t="shared" si="21"/>
        <v>0</v>
      </c>
      <c r="U111">
        <f t="shared" si="21"/>
        <v>0</v>
      </c>
      <c r="V111" s="108">
        <f t="shared" si="22"/>
        <v>78</v>
      </c>
      <c r="W111" s="26">
        <f t="shared" si="23"/>
        <v>1270</v>
      </c>
      <c r="X111">
        <f t="shared" si="24"/>
        <v>0</v>
      </c>
      <c r="Y111">
        <f t="shared" si="26"/>
        <v>10.583333333333334</v>
      </c>
      <c r="Z111">
        <f t="shared" si="27"/>
        <v>0</v>
      </c>
    </row>
    <row r="112" spans="11:26" x14ac:dyDescent="0.25">
      <c r="K112" s="105">
        <v>79</v>
      </c>
      <c r="L112">
        <f t="shared" si="28"/>
        <v>0</v>
      </c>
      <c r="M112">
        <f t="shared" si="28"/>
        <v>0</v>
      </c>
      <c r="N112">
        <f t="shared" si="28"/>
        <v>0</v>
      </c>
      <c r="O112">
        <f t="shared" si="28"/>
        <v>78</v>
      </c>
      <c r="P112">
        <f t="shared" si="28"/>
        <v>0</v>
      </c>
      <c r="Q112">
        <f t="shared" si="28"/>
        <v>0</v>
      </c>
      <c r="R112">
        <f t="shared" si="25"/>
        <v>0</v>
      </c>
      <c r="S112">
        <f t="shared" si="21"/>
        <v>0</v>
      </c>
      <c r="T112">
        <f t="shared" si="21"/>
        <v>0</v>
      </c>
      <c r="U112">
        <f t="shared" si="21"/>
        <v>0</v>
      </c>
      <c r="V112" s="108">
        <f t="shared" si="22"/>
        <v>78</v>
      </c>
      <c r="W112" s="26">
        <f t="shared" si="23"/>
        <v>1270</v>
      </c>
      <c r="X112">
        <f t="shared" si="24"/>
        <v>0</v>
      </c>
      <c r="Y112">
        <f t="shared" si="26"/>
        <v>10.583333333333334</v>
      </c>
      <c r="Z112">
        <f t="shared" si="27"/>
        <v>0</v>
      </c>
    </row>
    <row r="113" spans="11:26" x14ac:dyDescent="0.25">
      <c r="K113" s="105">
        <v>80</v>
      </c>
      <c r="L113">
        <f t="shared" si="28"/>
        <v>0</v>
      </c>
      <c r="M113">
        <f t="shared" si="28"/>
        <v>0</v>
      </c>
      <c r="N113">
        <f t="shared" si="28"/>
        <v>0</v>
      </c>
      <c r="O113">
        <f t="shared" si="28"/>
        <v>78</v>
      </c>
      <c r="P113">
        <f t="shared" si="28"/>
        <v>0</v>
      </c>
      <c r="Q113">
        <f t="shared" si="28"/>
        <v>117</v>
      </c>
      <c r="R113">
        <f t="shared" si="25"/>
        <v>0</v>
      </c>
      <c r="S113">
        <f t="shared" si="21"/>
        <v>0</v>
      </c>
      <c r="T113">
        <f t="shared" si="21"/>
        <v>0</v>
      </c>
      <c r="U113">
        <f t="shared" si="21"/>
        <v>0</v>
      </c>
      <c r="V113" s="108">
        <f t="shared" si="22"/>
        <v>195</v>
      </c>
      <c r="W113" s="26">
        <f t="shared" si="23"/>
        <v>1153</v>
      </c>
      <c r="X113">
        <f t="shared" si="24"/>
        <v>0</v>
      </c>
      <c r="Y113">
        <f t="shared" si="26"/>
        <v>9.6083333333333325</v>
      </c>
      <c r="Z113">
        <f t="shared" si="27"/>
        <v>0</v>
      </c>
    </row>
    <row r="114" spans="11:26" x14ac:dyDescent="0.25">
      <c r="K114" s="105">
        <v>81</v>
      </c>
      <c r="L114">
        <f t="shared" ref="L114:Q123" si="29">IF(MID(DEC2BIN($K114,10),L$32,1)="1",L$33,0)</f>
        <v>0</v>
      </c>
      <c r="M114">
        <f t="shared" si="29"/>
        <v>0</v>
      </c>
      <c r="N114">
        <f t="shared" si="29"/>
        <v>0</v>
      </c>
      <c r="O114">
        <f t="shared" si="29"/>
        <v>78</v>
      </c>
      <c r="P114">
        <f t="shared" si="29"/>
        <v>0</v>
      </c>
      <c r="Q114">
        <f t="shared" si="29"/>
        <v>117</v>
      </c>
      <c r="R114">
        <f t="shared" si="25"/>
        <v>0</v>
      </c>
      <c r="S114">
        <f t="shared" ref="S114:U133" si="30">IF(MID(DEC2BIN($K114,10),S$32,1)="1",S$33,0)</f>
        <v>0</v>
      </c>
      <c r="T114">
        <f t="shared" si="30"/>
        <v>0</v>
      </c>
      <c r="U114">
        <f t="shared" si="30"/>
        <v>0</v>
      </c>
      <c r="V114" s="108">
        <f t="shared" si="22"/>
        <v>195</v>
      </c>
      <c r="W114" s="26">
        <f t="shared" si="23"/>
        <v>1153</v>
      </c>
      <c r="X114">
        <f t="shared" si="24"/>
        <v>0</v>
      </c>
      <c r="Y114">
        <f t="shared" si="26"/>
        <v>9.6083333333333325</v>
      </c>
      <c r="Z114">
        <f t="shared" si="27"/>
        <v>0</v>
      </c>
    </row>
    <row r="115" spans="11:26" x14ac:dyDescent="0.25">
      <c r="K115" s="105">
        <v>82</v>
      </c>
      <c r="L115">
        <f t="shared" si="29"/>
        <v>0</v>
      </c>
      <c r="M115">
        <f t="shared" si="29"/>
        <v>0</v>
      </c>
      <c r="N115">
        <f t="shared" si="29"/>
        <v>0</v>
      </c>
      <c r="O115">
        <f t="shared" si="29"/>
        <v>78</v>
      </c>
      <c r="P115">
        <f t="shared" si="29"/>
        <v>0</v>
      </c>
      <c r="Q115">
        <f t="shared" si="29"/>
        <v>117</v>
      </c>
      <c r="R115">
        <f t="shared" si="25"/>
        <v>0</v>
      </c>
      <c r="S115">
        <f t="shared" si="30"/>
        <v>0</v>
      </c>
      <c r="T115">
        <f t="shared" si="30"/>
        <v>0</v>
      </c>
      <c r="U115">
        <f t="shared" si="30"/>
        <v>0</v>
      </c>
      <c r="V115" s="108">
        <f t="shared" si="22"/>
        <v>195</v>
      </c>
      <c r="W115" s="26">
        <f t="shared" si="23"/>
        <v>1153</v>
      </c>
      <c r="X115">
        <f t="shared" si="24"/>
        <v>0</v>
      </c>
      <c r="Y115">
        <f t="shared" si="26"/>
        <v>9.6083333333333325</v>
      </c>
      <c r="Z115">
        <f t="shared" si="27"/>
        <v>0</v>
      </c>
    </row>
    <row r="116" spans="11:26" x14ac:dyDescent="0.25">
      <c r="K116" s="105">
        <v>83</v>
      </c>
      <c r="L116">
        <f t="shared" si="29"/>
        <v>0</v>
      </c>
      <c r="M116">
        <f t="shared" si="29"/>
        <v>0</v>
      </c>
      <c r="N116">
        <f t="shared" si="29"/>
        <v>0</v>
      </c>
      <c r="O116">
        <f t="shared" si="29"/>
        <v>78</v>
      </c>
      <c r="P116">
        <f t="shared" si="29"/>
        <v>0</v>
      </c>
      <c r="Q116">
        <f t="shared" si="29"/>
        <v>117</v>
      </c>
      <c r="R116">
        <f t="shared" si="25"/>
        <v>0</v>
      </c>
      <c r="S116">
        <f t="shared" si="30"/>
        <v>0</v>
      </c>
      <c r="T116">
        <f t="shared" si="30"/>
        <v>0</v>
      </c>
      <c r="U116">
        <f t="shared" si="30"/>
        <v>0</v>
      </c>
      <c r="V116" s="108">
        <f t="shared" si="22"/>
        <v>195</v>
      </c>
      <c r="W116" s="26">
        <f t="shared" si="23"/>
        <v>1153</v>
      </c>
      <c r="X116">
        <f t="shared" si="24"/>
        <v>0</v>
      </c>
      <c r="Y116">
        <f t="shared" si="26"/>
        <v>9.6083333333333325</v>
      </c>
      <c r="Z116">
        <f t="shared" si="27"/>
        <v>0</v>
      </c>
    </row>
    <row r="117" spans="11:26" x14ac:dyDescent="0.25">
      <c r="K117" s="105">
        <v>84</v>
      </c>
      <c r="L117">
        <f t="shared" si="29"/>
        <v>0</v>
      </c>
      <c r="M117">
        <f t="shared" si="29"/>
        <v>0</v>
      </c>
      <c r="N117">
        <f t="shared" si="29"/>
        <v>0</v>
      </c>
      <c r="O117">
        <f t="shared" si="29"/>
        <v>78</v>
      </c>
      <c r="P117">
        <f t="shared" si="29"/>
        <v>0</v>
      </c>
      <c r="Q117">
        <f t="shared" si="29"/>
        <v>117</v>
      </c>
      <c r="R117">
        <f t="shared" si="25"/>
        <v>0</v>
      </c>
      <c r="S117">
        <f t="shared" si="30"/>
        <v>0</v>
      </c>
      <c r="T117">
        <f t="shared" si="30"/>
        <v>0</v>
      </c>
      <c r="U117">
        <f t="shared" si="30"/>
        <v>0</v>
      </c>
      <c r="V117" s="108">
        <f t="shared" si="22"/>
        <v>195</v>
      </c>
      <c r="W117" s="26">
        <f t="shared" si="23"/>
        <v>1153</v>
      </c>
      <c r="X117">
        <f t="shared" si="24"/>
        <v>0</v>
      </c>
      <c r="Y117">
        <f t="shared" si="26"/>
        <v>9.6083333333333325</v>
      </c>
      <c r="Z117">
        <f t="shared" si="27"/>
        <v>0</v>
      </c>
    </row>
    <row r="118" spans="11:26" x14ac:dyDescent="0.25">
      <c r="K118" s="105">
        <v>85</v>
      </c>
      <c r="L118">
        <f t="shared" si="29"/>
        <v>0</v>
      </c>
      <c r="M118">
        <f t="shared" si="29"/>
        <v>0</v>
      </c>
      <c r="N118">
        <f t="shared" si="29"/>
        <v>0</v>
      </c>
      <c r="O118">
        <f t="shared" si="29"/>
        <v>78</v>
      </c>
      <c r="P118">
        <f t="shared" si="29"/>
        <v>0</v>
      </c>
      <c r="Q118">
        <f t="shared" si="29"/>
        <v>117</v>
      </c>
      <c r="R118">
        <f t="shared" si="25"/>
        <v>0</v>
      </c>
      <c r="S118">
        <f t="shared" si="30"/>
        <v>0</v>
      </c>
      <c r="T118">
        <f t="shared" si="30"/>
        <v>0</v>
      </c>
      <c r="U118">
        <f t="shared" si="30"/>
        <v>0</v>
      </c>
      <c r="V118" s="108">
        <f t="shared" si="22"/>
        <v>195</v>
      </c>
      <c r="W118" s="26">
        <f t="shared" si="23"/>
        <v>1153</v>
      </c>
      <c r="X118">
        <f t="shared" si="24"/>
        <v>0</v>
      </c>
      <c r="Y118">
        <f t="shared" si="26"/>
        <v>9.6083333333333325</v>
      </c>
      <c r="Z118">
        <f t="shared" si="27"/>
        <v>0</v>
      </c>
    </row>
    <row r="119" spans="11:26" x14ac:dyDescent="0.25">
      <c r="K119" s="105">
        <v>86</v>
      </c>
      <c r="L119">
        <f t="shared" si="29"/>
        <v>0</v>
      </c>
      <c r="M119">
        <f t="shared" si="29"/>
        <v>0</v>
      </c>
      <c r="N119">
        <f t="shared" si="29"/>
        <v>0</v>
      </c>
      <c r="O119">
        <f t="shared" si="29"/>
        <v>78</v>
      </c>
      <c r="P119">
        <f t="shared" si="29"/>
        <v>0</v>
      </c>
      <c r="Q119">
        <f t="shared" si="29"/>
        <v>117</v>
      </c>
      <c r="R119">
        <f t="shared" si="25"/>
        <v>0</v>
      </c>
      <c r="S119">
        <f t="shared" si="30"/>
        <v>0</v>
      </c>
      <c r="T119">
        <f t="shared" si="30"/>
        <v>0</v>
      </c>
      <c r="U119">
        <f t="shared" si="30"/>
        <v>0</v>
      </c>
      <c r="V119" s="108">
        <f t="shared" si="22"/>
        <v>195</v>
      </c>
      <c r="W119" s="26">
        <f t="shared" si="23"/>
        <v>1153</v>
      </c>
      <c r="X119">
        <f t="shared" si="24"/>
        <v>0</v>
      </c>
      <c r="Y119">
        <f t="shared" si="26"/>
        <v>9.6083333333333325</v>
      </c>
      <c r="Z119">
        <f t="shared" si="27"/>
        <v>0</v>
      </c>
    </row>
    <row r="120" spans="11:26" x14ac:dyDescent="0.25">
      <c r="K120" s="105">
        <v>87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78</v>
      </c>
      <c r="P120">
        <f t="shared" si="29"/>
        <v>0</v>
      </c>
      <c r="Q120">
        <f t="shared" si="29"/>
        <v>117</v>
      </c>
      <c r="R120">
        <f t="shared" si="25"/>
        <v>0</v>
      </c>
      <c r="S120">
        <f t="shared" si="30"/>
        <v>0</v>
      </c>
      <c r="T120">
        <f t="shared" si="30"/>
        <v>0</v>
      </c>
      <c r="U120">
        <f t="shared" si="30"/>
        <v>0</v>
      </c>
      <c r="V120" s="108">
        <f t="shared" si="22"/>
        <v>195</v>
      </c>
      <c r="W120" s="26">
        <f t="shared" si="23"/>
        <v>1153</v>
      </c>
      <c r="X120">
        <f t="shared" si="24"/>
        <v>0</v>
      </c>
      <c r="Y120">
        <f t="shared" si="26"/>
        <v>9.6083333333333325</v>
      </c>
      <c r="Z120">
        <f t="shared" si="27"/>
        <v>0</v>
      </c>
    </row>
    <row r="121" spans="11:26" x14ac:dyDescent="0.25">
      <c r="K121" s="105">
        <v>88</v>
      </c>
      <c r="L121">
        <f t="shared" si="29"/>
        <v>0</v>
      </c>
      <c r="M121">
        <f t="shared" si="29"/>
        <v>0</v>
      </c>
      <c r="N121">
        <f t="shared" si="29"/>
        <v>0</v>
      </c>
      <c r="O121">
        <f t="shared" si="29"/>
        <v>78</v>
      </c>
      <c r="P121">
        <f t="shared" si="29"/>
        <v>0</v>
      </c>
      <c r="Q121">
        <f t="shared" si="29"/>
        <v>117</v>
      </c>
      <c r="R121">
        <f t="shared" si="25"/>
        <v>0</v>
      </c>
      <c r="S121">
        <f t="shared" si="30"/>
        <v>0</v>
      </c>
      <c r="T121">
        <f t="shared" si="30"/>
        <v>0</v>
      </c>
      <c r="U121">
        <f t="shared" si="30"/>
        <v>0</v>
      </c>
      <c r="V121" s="108">
        <f t="shared" si="22"/>
        <v>195</v>
      </c>
      <c r="W121" s="26">
        <f t="shared" si="23"/>
        <v>1153</v>
      </c>
      <c r="X121">
        <f t="shared" si="24"/>
        <v>0</v>
      </c>
      <c r="Y121">
        <f t="shared" si="26"/>
        <v>9.6083333333333325</v>
      </c>
      <c r="Z121">
        <f t="shared" si="27"/>
        <v>0</v>
      </c>
    </row>
    <row r="122" spans="11:26" x14ac:dyDescent="0.25">
      <c r="K122" s="105">
        <v>89</v>
      </c>
      <c r="L122">
        <f t="shared" si="29"/>
        <v>0</v>
      </c>
      <c r="M122">
        <f t="shared" si="29"/>
        <v>0</v>
      </c>
      <c r="N122">
        <f t="shared" si="29"/>
        <v>0</v>
      </c>
      <c r="O122">
        <f t="shared" si="29"/>
        <v>78</v>
      </c>
      <c r="P122">
        <f t="shared" si="29"/>
        <v>0</v>
      </c>
      <c r="Q122">
        <f t="shared" si="29"/>
        <v>117</v>
      </c>
      <c r="R122">
        <f t="shared" si="25"/>
        <v>0</v>
      </c>
      <c r="S122">
        <f t="shared" si="30"/>
        <v>0</v>
      </c>
      <c r="T122">
        <f t="shared" si="30"/>
        <v>0</v>
      </c>
      <c r="U122">
        <f t="shared" si="30"/>
        <v>0</v>
      </c>
      <c r="V122" s="108">
        <f t="shared" si="22"/>
        <v>195</v>
      </c>
      <c r="W122" s="26">
        <f t="shared" si="23"/>
        <v>1153</v>
      </c>
      <c r="X122">
        <f t="shared" si="24"/>
        <v>0</v>
      </c>
      <c r="Y122">
        <f t="shared" si="26"/>
        <v>9.6083333333333325</v>
      </c>
      <c r="Z122">
        <f t="shared" si="27"/>
        <v>0</v>
      </c>
    </row>
    <row r="123" spans="11:26" x14ac:dyDescent="0.25">
      <c r="K123" s="105">
        <v>90</v>
      </c>
      <c r="L123">
        <f t="shared" si="29"/>
        <v>0</v>
      </c>
      <c r="M123">
        <f t="shared" si="29"/>
        <v>0</v>
      </c>
      <c r="N123">
        <f t="shared" si="29"/>
        <v>0</v>
      </c>
      <c r="O123">
        <f t="shared" si="29"/>
        <v>78</v>
      </c>
      <c r="P123">
        <f t="shared" si="29"/>
        <v>0</v>
      </c>
      <c r="Q123">
        <f t="shared" si="29"/>
        <v>117</v>
      </c>
      <c r="R123">
        <f t="shared" si="25"/>
        <v>0</v>
      </c>
      <c r="S123">
        <f t="shared" si="30"/>
        <v>0</v>
      </c>
      <c r="T123">
        <f t="shared" si="30"/>
        <v>0</v>
      </c>
      <c r="U123">
        <f t="shared" si="30"/>
        <v>0</v>
      </c>
      <c r="V123" s="108">
        <f t="shared" si="22"/>
        <v>195</v>
      </c>
      <c r="W123" s="26">
        <f t="shared" si="23"/>
        <v>1153</v>
      </c>
      <c r="X123">
        <f t="shared" si="24"/>
        <v>0</v>
      </c>
      <c r="Y123">
        <f t="shared" si="26"/>
        <v>9.6083333333333325</v>
      </c>
      <c r="Z123">
        <f t="shared" si="27"/>
        <v>0</v>
      </c>
    </row>
    <row r="124" spans="11:26" x14ac:dyDescent="0.25">
      <c r="K124" s="105">
        <v>91</v>
      </c>
      <c r="L124">
        <f t="shared" ref="L124:Q133" si="31">IF(MID(DEC2BIN($K124,10),L$32,1)="1",L$33,0)</f>
        <v>0</v>
      </c>
      <c r="M124">
        <f t="shared" si="31"/>
        <v>0</v>
      </c>
      <c r="N124">
        <f t="shared" si="31"/>
        <v>0</v>
      </c>
      <c r="O124">
        <f t="shared" si="31"/>
        <v>78</v>
      </c>
      <c r="P124">
        <f t="shared" si="31"/>
        <v>0</v>
      </c>
      <c r="Q124">
        <f t="shared" si="31"/>
        <v>117</v>
      </c>
      <c r="R124">
        <f t="shared" si="25"/>
        <v>0</v>
      </c>
      <c r="S124">
        <f t="shared" si="30"/>
        <v>0</v>
      </c>
      <c r="T124">
        <f t="shared" si="30"/>
        <v>0</v>
      </c>
      <c r="U124">
        <f t="shared" si="30"/>
        <v>0</v>
      </c>
      <c r="V124" s="108">
        <f t="shared" si="22"/>
        <v>195</v>
      </c>
      <c r="W124" s="26">
        <f t="shared" si="23"/>
        <v>1153</v>
      </c>
      <c r="X124">
        <f t="shared" si="24"/>
        <v>0</v>
      </c>
      <c r="Y124">
        <f t="shared" si="26"/>
        <v>9.6083333333333325</v>
      </c>
      <c r="Z124">
        <f t="shared" si="27"/>
        <v>0</v>
      </c>
    </row>
    <row r="125" spans="11:26" x14ac:dyDescent="0.25">
      <c r="K125" s="105">
        <v>92</v>
      </c>
      <c r="L125">
        <f t="shared" si="31"/>
        <v>0</v>
      </c>
      <c r="M125">
        <f t="shared" si="31"/>
        <v>0</v>
      </c>
      <c r="N125">
        <f t="shared" si="31"/>
        <v>0</v>
      </c>
      <c r="O125">
        <f t="shared" si="31"/>
        <v>78</v>
      </c>
      <c r="P125">
        <f t="shared" si="31"/>
        <v>0</v>
      </c>
      <c r="Q125">
        <f t="shared" si="31"/>
        <v>117</v>
      </c>
      <c r="R125">
        <f t="shared" si="25"/>
        <v>0</v>
      </c>
      <c r="S125">
        <f t="shared" si="30"/>
        <v>0</v>
      </c>
      <c r="T125">
        <f t="shared" si="30"/>
        <v>0</v>
      </c>
      <c r="U125">
        <f t="shared" si="30"/>
        <v>0</v>
      </c>
      <c r="V125" s="108">
        <f t="shared" si="22"/>
        <v>195</v>
      </c>
      <c r="W125" s="26">
        <f t="shared" si="23"/>
        <v>1153</v>
      </c>
      <c r="X125">
        <f t="shared" si="24"/>
        <v>0</v>
      </c>
      <c r="Y125">
        <f t="shared" si="26"/>
        <v>9.6083333333333325</v>
      </c>
      <c r="Z125">
        <f t="shared" si="27"/>
        <v>0</v>
      </c>
    </row>
    <row r="126" spans="11:26" x14ac:dyDescent="0.25">
      <c r="K126" s="105">
        <v>93</v>
      </c>
      <c r="L126">
        <f t="shared" si="31"/>
        <v>0</v>
      </c>
      <c r="M126">
        <f t="shared" si="31"/>
        <v>0</v>
      </c>
      <c r="N126">
        <f t="shared" si="31"/>
        <v>0</v>
      </c>
      <c r="O126">
        <f t="shared" si="31"/>
        <v>78</v>
      </c>
      <c r="P126">
        <f t="shared" si="31"/>
        <v>0</v>
      </c>
      <c r="Q126">
        <f t="shared" si="31"/>
        <v>117</v>
      </c>
      <c r="R126">
        <f t="shared" si="25"/>
        <v>0</v>
      </c>
      <c r="S126">
        <f t="shared" si="30"/>
        <v>0</v>
      </c>
      <c r="T126">
        <f t="shared" si="30"/>
        <v>0</v>
      </c>
      <c r="U126">
        <f t="shared" si="30"/>
        <v>0</v>
      </c>
      <c r="V126" s="108">
        <f t="shared" si="22"/>
        <v>195</v>
      </c>
      <c r="W126" s="26">
        <f t="shared" si="23"/>
        <v>1153</v>
      </c>
      <c r="X126">
        <f t="shared" si="24"/>
        <v>0</v>
      </c>
      <c r="Y126">
        <f t="shared" si="26"/>
        <v>9.6083333333333325</v>
      </c>
      <c r="Z126">
        <f t="shared" si="27"/>
        <v>0</v>
      </c>
    </row>
    <row r="127" spans="11:26" x14ac:dyDescent="0.25">
      <c r="K127" s="105">
        <v>94</v>
      </c>
      <c r="L127">
        <f t="shared" si="31"/>
        <v>0</v>
      </c>
      <c r="M127">
        <f t="shared" si="31"/>
        <v>0</v>
      </c>
      <c r="N127">
        <f t="shared" si="31"/>
        <v>0</v>
      </c>
      <c r="O127">
        <f t="shared" si="31"/>
        <v>78</v>
      </c>
      <c r="P127">
        <f t="shared" si="31"/>
        <v>0</v>
      </c>
      <c r="Q127">
        <f t="shared" si="31"/>
        <v>117</v>
      </c>
      <c r="R127">
        <f t="shared" si="25"/>
        <v>0</v>
      </c>
      <c r="S127">
        <f t="shared" si="30"/>
        <v>0</v>
      </c>
      <c r="T127">
        <f t="shared" si="30"/>
        <v>0</v>
      </c>
      <c r="U127">
        <f t="shared" si="30"/>
        <v>0</v>
      </c>
      <c r="V127" s="108">
        <f t="shared" si="22"/>
        <v>195</v>
      </c>
      <c r="W127" s="26">
        <f t="shared" si="23"/>
        <v>1153</v>
      </c>
      <c r="X127">
        <f t="shared" si="24"/>
        <v>0</v>
      </c>
      <c r="Y127">
        <f t="shared" si="26"/>
        <v>9.6083333333333325</v>
      </c>
      <c r="Z127">
        <f t="shared" si="27"/>
        <v>0</v>
      </c>
    </row>
    <row r="128" spans="11:26" x14ac:dyDescent="0.25">
      <c r="K128" s="105">
        <v>95</v>
      </c>
      <c r="L128">
        <f t="shared" si="31"/>
        <v>0</v>
      </c>
      <c r="M128">
        <f t="shared" si="31"/>
        <v>0</v>
      </c>
      <c r="N128">
        <f t="shared" si="31"/>
        <v>0</v>
      </c>
      <c r="O128">
        <f t="shared" si="31"/>
        <v>78</v>
      </c>
      <c r="P128">
        <f t="shared" si="31"/>
        <v>0</v>
      </c>
      <c r="Q128">
        <f t="shared" si="31"/>
        <v>117</v>
      </c>
      <c r="R128">
        <f t="shared" si="25"/>
        <v>0</v>
      </c>
      <c r="S128">
        <f t="shared" si="30"/>
        <v>0</v>
      </c>
      <c r="T128">
        <f t="shared" si="30"/>
        <v>0</v>
      </c>
      <c r="U128">
        <f t="shared" si="30"/>
        <v>0</v>
      </c>
      <c r="V128" s="108">
        <f t="shared" si="22"/>
        <v>195</v>
      </c>
      <c r="W128" s="26">
        <f t="shared" si="23"/>
        <v>1153</v>
      </c>
      <c r="X128">
        <f t="shared" si="24"/>
        <v>0</v>
      </c>
      <c r="Y128">
        <f t="shared" si="26"/>
        <v>9.6083333333333325</v>
      </c>
      <c r="Z128">
        <f t="shared" si="27"/>
        <v>0</v>
      </c>
    </row>
    <row r="129" spans="11:26" x14ac:dyDescent="0.25">
      <c r="K129" s="105">
        <v>96</v>
      </c>
      <c r="L129">
        <f t="shared" si="31"/>
        <v>0</v>
      </c>
      <c r="M129">
        <f t="shared" si="31"/>
        <v>0</v>
      </c>
      <c r="N129">
        <f t="shared" si="31"/>
        <v>0</v>
      </c>
      <c r="O129">
        <f t="shared" si="31"/>
        <v>78</v>
      </c>
      <c r="P129">
        <f t="shared" si="31"/>
        <v>89</v>
      </c>
      <c r="Q129">
        <f t="shared" si="31"/>
        <v>0</v>
      </c>
      <c r="R129">
        <f t="shared" si="25"/>
        <v>0</v>
      </c>
      <c r="S129">
        <f t="shared" si="30"/>
        <v>0</v>
      </c>
      <c r="T129">
        <f t="shared" si="30"/>
        <v>0</v>
      </c>
      <c r="U129">
        <f t="shared" si="30"/>
        <v>0</v>
      </c>
      <c r="V129" s="108">
        <f t="shared" si="22"/>
        <v>167</v>
      </c>
      <c r="W129" s="26">
        <f t="shared" si="23"/>
        <v>1181</v>
      </c>
      <c r="X129">
        <f t="shared" si="24"/>
        <v>0</v>
      </c>
      <c r="Y129">
        <f t="shared" si="26"/>
        <v>9.8416666666666668</v>
      </c>
      <c r="Z129">
        <f t="shared" si="27"/>
        <v>0</v>
      </c>
    </row>
    <row r="130" spans="11:26" x14ac:dyDescent="0.25">
      <c r="K130" s="105">
        <v>97</v>
      </c>
      <c r="L130">
        <f t="shared" si="31"/>
        <v>0</v>
      </c>
      <c r="M130">
        <f t="shared" si="31"/>
        <v>0</v>
      </c>
      <c r="N130">
        <f t="shared" si="31"/>
        <v>0</v>
      </c>
      <c r="O130">
        <f t="shared" si="31"/>
        <v>78</v>
      </c>
      <c r="P130">
        <f t="shared" si="31"/>
        <v>89</v>
      </c>
      <c r="Q130">
        <f t="shared" si="31"/>
        <v>0</v>
      </c>
      <c r="R130">
        <f t="shared" si="25"/>
        <v>0</v>
      </c>
      <c r="S130">
        <f t="shared" si="30"/>
        <v>0</v>
      </c>
      <c r="T130">
        <f t="shared" si="30"/>
        <v>0</v>
      </c>
      <c r="U130">
        <f t="shared" si="30"/>
        <v>0</v>
      </c>
      <c r="V130" s="108">
        <f t="shared" si="22"/>
        <v>167</v>
      </c>
      <c r="W130" s="26">
        <f t="shared" si="23"/>
        <v>1181</v>
      </c>
      <c r="X130">
        <f t="shared" si="24"/>
        <v>0</v>
      </c>
      <c r="Y130">
        <f t="shared" si="26"/>
        <v>9.8416666666666668</v>
      </c>
      <c r="Z130">
        <f t="shared" si="27"/>
        <v>0</v>
      </c>
    </row>
    <row r="131" spans="11:26" x14ac:dyDescent="0.25">
      <c r="K131" s="105">
        <v>98</v>
      </c>
      <c r="L131">
        <f t="shared" si="31"/>
        <v>0</v>
      </c>
      <c r="M131">
        <f t="shared" si="31"/>
        <v>0</v>
      </c>
      <c r="N131">
        <f t="shared" si="31"/>
        <v>0</v>
      </c>
      <c r="O131">
        <f t="shared" si="31"/>
        <v>78</v>
      </c>
      <c r="P131">
        <f t="shared" si="31"/>
        <v>89</v>
      </c>
      <c r="Q131">
        <f t="shared" si="31"/>
        <v>0</v>
      </c>
      <c r="R131">
        <f t="shared" si="25"/>
        <v>0</v>
      </c>
      <c r="S131">
        <f t="shared" si="30"/>
        <v>0</v>
      </c>
      <c r="T131">
        <f t="shared" si="30"/>
        <v>0</v>
      </c>
      <c r="U131">
        <f t="shared" si="30"/>
        <v>0</v>
      </c>
      <c r="V131" s="108">
        <f t="shared" si="22"/>
        <v>167</v>
      </c>
      <c r="W131" s="26">
        <f t="shared" si="23"/>
        <v>1181</v>
      </c>
      <c r="X131">
        <f t="shared" si="24"/>
        <v>0</v>
      </c>
      <c r="Y131">
        <f t="shared" si="26"/>
        <v>9.8416666666666668</v>
      </c>
      <c r="Z131">
        <f t="shared" si="27"/>
        <v>0</v>
      </c>
    </row>
    <row r="132" spans="11:26" x14ac:dyDescent="0.25">
      <c r="K132" s="105">
        <v>99</v>
      </c>
      <c r="L132">
        <f t="shared" si="31"/>
        <v>0</v>
      </c>
      <c r="M132">
        <f t="shared" si="31"/>
        <v>0</v>
      </c>
      <c r="N132">
        <f t="shared" si="31"/>
        <v>0</v>
      </c>
      <c r="O132">
        <f t="shared" si="31"/>
        <v>78</v>
      </c>
      <c r="P132">
        <f t="shared" si="31"/>
        <v>89</v>
      </c>
      <c r="Q132">
        <f t="shared" si="31"/>
        <v>0</v>
      </c>
      <c r="R132">
        <f t="shared" si="25"/>
        <v>0</v>
      </c>
      <c r="S132">
        <f t="shared" si="30"/>
        <v>0</v>
      </c>
      <c r="T132">
        <f t="shared" si="30"/>
        <v>0</v>
      </c>
      <c r="U132">
        <f t="shared" si="30"/>
        <v>0</v>
      </c>
      <c r="V132" s="108">
        <f t="shared" si="22"/>
        <v>167</v>
      </c>
      <c r="W132" s="26">
        <f t="shared" si="23"/>
        <v>1181</v>
      </c>
      <c r="X132">
        <f t="shared" si="24"/>
        <v>0</v>
      </c>
      <c r="Y132">
        <f t="shared" si="26"/>
        <v>9.8416666666666668</v>
      </c>
      <c r="Z132">
        <f t="shared" si="27"/>
        <v>0</v>
      </c>
    </row>
    <row r="133" spans="11:26" x14ac:dyDescent="0.25">
      <c r="K133" s="105">
        <v>100</v>
      </c>
      <c r="L133">
        <f t="shared" si="31"/>
        <v>0</v>
      </c>
      <c r="M133">
        <f t="shared" si="31"/>
        <v>0</v>
      </c>
      <c r="N133">
        <f t="shared" si="31"/>
        <v>0</v>
      </c>
      <c r="O133">
        <f t="shared" si="31"/>
        <v>78</v>
      </c>
      <c r="P133">
        <f t="shared" si="31"/>
        <v>89</v>
      </c>
      <c r="Q133">
        <f t="shared" si="31"/>
        <v>0</v>
      </c>
      <c r="R133">
        <f t="shared" si="25"/>
        <v>0</v>
      </c>
      <c r="S133">
        <f t="shared" si="30"/>
        <v>0</v>
      </c>
      <c r="T133">
        <f t="shared" si="30"/>
        <v>0</v>
      </c>
      <c r="U133">
        <f t="shared" si="30"/>
        <v>0</v>
      </c>
      <c r="V133" s="108">
        <f t="shared" si="22"/>
        <v>167</v>
      </c>
      <c r="W133" s="26">
        <f t="shared" si="23"/>
        <v>1181</v>
      </c>
      <c r="X133">
        <f t="shared" si="24"/>
        <v>0</v>
      </c>
      <c r="Y133">
        <f t="shared" si="26"/>
        <v>9.8416666666666668</v>
      </c>
      <c r="Z133">
        <f t="shared" si="27"/>
        <v>0</v>
      </c>
    </row>
    <row r="134" spans="11:26" x14ac:dyDescent="0.25">
      <c r="K134" s="105">
        <v>101</v>
      </c>
      <c r="L134">
        <f t="shared" ref="L134:Q143" si="32">IF(MID(DEC2BIN($K134,10),L$32,1)="1",L$33,0)</f>
        <v>0</v>
      </c>
      <c r="M134">
        <f t="shared" si="32"/>
        <v>0</v>
      </c>
      <c r="N134">
        <f t="shared" si="32"/>
        <v>0</v>
      </c>
      <c r="O134">
        <f t="shared" si="32"/>
        <v>78</v>
      </c>
      <c r="P134">
        <f t="shared" si="32"/>
        <v>89</v>
      </c>
      <c r="Q134">
        <f t="shared" si="32"/>
        <v>0</v>
      </c>
      <c r="R134">
        <f t="shared" si="25"/>
        <v>0</v>
      </c>
      <c r="S134">
        <f t="shared" ref="S134:U153" si="33">IF(MID(DEC2BIN($K134,10),S$32,1)="1",S$33,0)</f>
        <v>0</v>
      </c>
      <c r="T134">
        <f t="shared" si="33"/>
        <v>0</v>
      </c>
      <c r="U134">
        <f t="shared" si="33"/>
        <v>0</v>
      </c>
      <c r="V134" s="108">
        <f t="shared" si="22"/>
        <v>167</v>
      </c>
      <c r="W134" s="26">
        <f t="shared" si="23"/>
        <v>1181</v>
      </c>
      <c r="X134">
        <f t="shared" si="24"/>
        <v>0</v>
      </c>
      <c r="Y134">
        <f t="shared" si="26"/>
        <v>9.8416666666666668</v>
      </c>
      <c r="Z134">
        <f t="shared" si="27"/>
        <v>0</v>
      </c>
    </row>
    <row r="135" spans="11:26" x14ac:dyDescent="0.25">
      <c r="K135" s="105">
        <v>102</v>
      </c>
      <c r="L135">
        <f t="shared" si="32"/>
        <v>0</v>
      </c>
      <c r="M135">
        <f t="shared" si="32"/>
        <v>0</v>
      </c>
      <c r="N135">
        <f t="shared" si="32"/>
        <v>0</v>
      </c>
      <c r="O135">
        <f t="shared" si="32"/>
        <v>78</v>
      </c>
      <c r="P135">
        <f t="shared" si="32"/>
        <v>89</v>
      </c>
      <c r="Q135">
        <f t="shared" si="32"/>
        <v>0</v>
      </c>
      <c r="R135">
        <f t="shared" si="25"/>
        <v>0</v>
      </c>
      <c r="S135">
        <f t="shared" si="33"/>
        <v>0</v>
      </c>
      <c r="T135">
        <f t="shared" si="33"/>
        <v>0</v>
      </c>
      <c r="U135">
        <f t="shared" si="33"/>
        <v>0</v>
      </c>
      <c r="V135" s="108">
        <f t="shared" si="22"/>
        <v>167</v>
      </c>
      <c r="W135" s="26">
        <f t="shared" si="23"/>
        <v>1181</v>
      </c>
      <c r="X135">
        <f t="shared" si="24"/>
        <v>0</v>
      </c>
      <c r="Y135">
        <f t="shared" si="26"/>
        <v>9.8416666666666668</v>
      </c>
      <c r="Z135">
        <f t="shared" si="27"/>
        <v>0</v>
      </c>
    </row>
    <row r="136" spans="11:26" x14ac:dyDescent="0.25">
      <c r="K136" s="105">
        <v>103</v>
      </c>
      <c r="L136">
        <f t="shared" si="32"/>
        <v>0</v>
      </c>
      <c r="M136">
        <f t="shared" si="32"/>
        <v>0</v>
      </c>
      <c r="N136">
        <f t="shared" si="32"/>
        <v>0</v>
      </c>
      <c r="O136">
        <f t="shared" si="32"/>
        <v>78</v>
      </c>
      <c r="P136">
        <f t="shared" si="32"/>
        <v>89</v>
      </c>
      <c r="Q136">
        <f t="shared" si="32"/>
        <v>0</v>
      </c>
      <c r="R136">
        <f t="shared" si="25"/>
        <v>0</v>
      </c>
      <c r="S136">
        <f t="shared" si="33"/>
        <v>0</v>
      </c>
      <c r="T136">
        <f t="shared" si="33"/>
        <v>0</v>
      </c>
      <c r="U136">
        <f t="shared" si="33"/>
        <v>0</v>
      </c>
      <c r="V136" s="108">
        <f t="shared" si="22"/>
        <v>167</v>
      </c>
      <c r="W136" s="26">
        <f t="shared" si="23"/>
        <v>1181</v>
      </c>
      <c r="X136">
        <f t="shared" si="24"/>
        <v>0</v>
      </c>
      <c r="Y136">
        <f t="shared" si="26"/>
        <v>9.8416666666666668</v>
      </c>
      <c r="Z136">
        <f t="shared" si="27"/>
        <v>0</v>
      </c>
    </row>
    <row r="137" spans="11:26" x14ac:dyDescent="0.25">
      <c r="K137" s="105">
        <v>104</v>
      </c>
      <c r="L137">
        <f t="shared" si="32"/>
        <v>0</v>
      </c>
      <c r="M137">
        <f t="shared" si="32"/>
        <v>0</v>
      </c>
      <c r="N137">
        <f t="shared" si="32"/>
        <v>0</v>
      </c>
      <c r="O137">
        <f t="shared" si="32"/>
        <v>78</v>
      </c>
      <c r="P137">
        <f t="shared" si="32"/>
        <v>89</v>
      </c>
      <c r="Q137">
        <f t="shared" si="32"/>
        <v>0</v>
      </c>
      <c r="R137">
        <f t="shared" si="25"/>
        <v>0</v>
      </c>
      <c r="S137">
        <f t="shared" si="33"/>
        <v>0</v>
      </c>
      <c r="T137">
        <f t="shared" si="33"/>
        <v>0</v>
      </c>
      <c r="U137">
        <f t="shared" si="33"/>
        <v>0</v>
      </c>
      <c r="V137" s="108">
        <f t="shared" si="22"/>
        <v>167</v>
      </c>
      <c r="W137" s="26">
        <f t="shared" si="23"/>
        <v>1181</v>
      </c>
      <c r="X137">
        <f t="shared" si="24"/>
        <v>0</v>
      </c>
      <c r="Y137">
        <f t="shared" si="26"/>
        <v>9.8416666666666668</v>
      </c>
      <c r="Z137">
        <f t="shared" si="27"/>
        <v>0</v>
      </c>
    </row>
    <row r="138" spans="11:26" x14ac:dyDescent="0.25">
      <c r="K138" s="105">
        <v>105</v>
      </c>
      <c r="L138">
        <f t="shared" si="32"/>
        <v>0</v>
      </c>
      <c r="M138">
        <f t="shared" si="32"/>
        <v>0</v>
      </c>
      <c r="N138">
        <f t="shared" si="32"/>
        <v>0</v>
      </c>
      <c r="O138">
        <f t="shared" si="32"/>
        <v>78</v>
      </c>
      <c r="P138">
        <f t="shared" si="32"/>
        <v>89</v>
      </c>
      <c r="Q138">
        <f t="shared" si="32"/>
        <v>0</v>
      </c>
      <c r="R138">
        <f t="shared" si="25"/>
        <v>0</v>
      </c>
      <c r="S138">
        <f t="shared" si="33"/>
        <v>0</v>
      </c>
      <c r="T138">
        <f t="shared" si="33"/>
        <v>0</v>
      </c>
      <c r="U138">
        <f t="shared" si="33"/>
        <v>0</v>
      </c>
      <c r="V138" s="108">
        <f t="shared" si="22"/>
        <v>167</v>
      </c>
      <c r="W138" s="26">
        <f t="shared" si="23"/>
        <v>1181</v>
      </c>
      <c r="X138">
        <f t="shared" si="24"/>
        <v>0</v>
      </c>
      <c r="Y138">
        <f t="shared" si="26"/>
        <v>9.8416666666666668</v>
      </c>
      <c r="Z138">
        <f t="shared" si="27"/>
        <v>0</v>
      </c>
    </row>
    <row r="139" spans="11:26" x14ac:dyDescent="0.25">
      <c r="K139" s="105">
        <v>106</v>
      </c>
      <c r="L139">
        <f t="shared" si="32"/>
        <v>0</v>
      </c>
      <c r="M139">
        <f t="shared" si="32"/>
        <v>0</v>
      </c>
      <c r="N139">
        <f t="shared" si="32"/>
        <v>0</v>
      </c>
      <c r="O139">
        <f t="shared" si="32"/>
        <v>78</v>
      </c>
      <c r="P139">
        <f t="shared" si="32"/>
        <v>89</v>
      </c>
      <c r="Q139">
        <f t="shared" si="32"/>
        <v>0</v>
      </c>
      <c r="R139">
        <f t="shared" si="25"/>
        <v>0</v>
      </c>
      <c r="S139">
        <f t="shared" si="33"/>
        <v>0</v>
      </c>
      <c r="T139">
        <f t="shared" si="33"/>
        <v>0</v>
      </c>
      <c r="U139">
        <f t="shared" si="33"/>
        <v>0</v>
      </c>
      <c r="V139" s="108">
        <f t="shared" si="22"/>
        <v>167</v>
      </c>
      <c r="W139" s="26">
        <f t="shared" si="23"/>
        <v>1181</v>
      </c>
      <c r="X139">
        <f t="shared" si="24"/>
        <v>0</v>
      </c>
      <c r="Y139">
        <f t="shared" si="26"/>
        <v>9.8416666666666668</v>
      </c>
      <c r="Z139">
        <f t="shared" si="27"/>
        <v>0</v>
      </c>
    </row>
    <row r="140" spans="11:26" x14ac:dyDescent="0.25">
      <c r="K140" s="105">
        <v>107</v>
      </c>
      <c r="L140">
        <f t="shared" si="32"/>
        <v>0</v>
      </c>
      <c r="M140">
        <f t="shared" si="32"/>
        <v>0</v>
      </c>
      <c r="N140">
        <f t="shared" si="32"/>
        <v>0</v>
      </c>
      <c r="O140">
        <f t="shared" si="32"/>
        <v>78</v>
      </c>
      <c r="P140">
        <f t="shared" si="32"/>
        <v>89</v>
      </c>
      <c r="Q140">
        <f t="shared" si="32"/>
        <v>0</v>
      </c>
      <c r="R140">
        <f t="shared" si="25"/>
        <v>0</v>
      </c>
      <c r="S140">
        <f t="shared" si="33"/>
        <v>0</v>
      </c>
      <c r="T140">
        <f t="shared" si="33"/>
        <v>0</v>
      </c>
      <c r="U140">
        <f t="shared" si="33"/>
        <v>0</v>
      </c>
      <c r="V140" s="108">
        <f t="shared" si="22"/>
        <v>167</v>
      </c>
      <c r="W140" s="26">
        <f t="shared" si="23"/>
        <v>1181</v>
      </c>
      <c r="X140">
        <f t="shared" si="24"/>
        <v>0</v>
      </c>
      <c r="Y140">
        <f t="shared" si="26"/>
        <v>9.8416666666666668</v>
      </c>
      <c r="Z140">
        <f t="shared" si="27"/>
        <v>0</v>
      </c>
    </row>
    <row r="141" spans="11:26" x14ac:dyDescent="0.25">
      <c r="K141" s="105">
        <v>108</v>
      </c>
      <c r="L141">
        <f t="shared" si="32"/>
        <v>0</v>
      </c>
      <c r="M141">
        <f t="shared" si="32"/>
        <v>0</v>
      </c>
      <c r="N141">
        <f t="shared" si="32"/>
        <v>0</v>
      </c>
      <c r="O141">
        <f t="shared" si="32"/>
        <v>78</v>
      </c>
      <c r="P141">
        <f t="shared" si="32"/>
        <v>89</v>
      </c>
      <c r="Q141">
        <f t="shared" si="32"/>
        <v>0</v>
      </c>
      <c r="R141">
        <f t="shared" si="25"/>
        <v>0</v>
      </c>
      <c r="S141">
        <f t="shared" si="33"/>
        <v>0</v>
      </c>
      <c r="T141">
        <f t="shared" si="33"/>
        <v>0</v>
      </c>
      <c r="U141">
        <f t="shared" si="33"/>
        <v>0</v>
      </c>
      <c r="V141" s="108">
        <f t="shared" si="22"/>
        <v>167</v>
      </c>
      <c r="W141" s="26">
        <f t="shared" si="23"/>
        <v>1181</v>
      </c>
      <c r="X141">
        <f t="shared" si="24"/>
        <v>0</v>
      </c>
      <c r="Y141">
        <f t="shared" si="26"/>
        <v>9.8416666666666668</v>
      </c>
      <c r="Z141">
        <f t="shared" si="27"/>
        <v>0</v>
      </c>
    </row>
    <row r="142" spans="11:26" x14ac:dyDescent="0.25">
      <c r="K142" s="105">
        <v>109</v>
      </c>
      <c r="L142">
        <f t="shared" si="32"/>
        <v>0</v>
      </c>
      <c r="M142">
        <f t="shared" si="32"/>
        <v>0</v>
      </c>
      <c r="N142">
        <f t="shared" si="32"/>
        <v>0</v>
      </c>
      <c r="O142">
        <f t="shared" si="32"/>
        <v>78</v>
      </c>
      <c r="P142">
        <f t="shared" si="32"/>
        <v>89</v>
      </c>
      <c r="Q142">
        <f t="shared" si="32"/>
        <v>0</v>
      </c>
      <c r="R142">
        <f t="shared" si="25"/>
        <v>0</v>
      </c>
      <c r="S142">
        <f t="shared" si="33"/>
        <v>0</v>
      </c>
      <c r="T142">
        <f t="shared" si="33"/>
        <v>0</v>
      </c>
      <c r="U142">
        <f t="shared" si="33"/>
        <v>0</v>
      </c>
      <c r="V142" s="108">
        <f t="shared" si="22"/>
        <v>167</v>
      </c>
      <c r="W142" s="26">
        <f t="shared" si="23"/>
        <v>1181</v>
      </c>
      <c r="X142">
        <f t="shared" si="24"/>
        <v>0</v>
      </c>
      <c r="Y142">
        <f t="shared" si="26"/>
        <v>9.8416666666666668</v>
      </c>
      <c r="Z142">
        <f t="shared" si="27"/>
        <v>0</v>
      </c>
    </row>
    <row r="143" spans="11:26" x14ac:dyDescent="0.25">
      <c r="K143" s="105">
        <v>110</v>
      </c>
      <c r="L143">
        <f t="shared" si="32"/>
        <v>0</v>
      </c>
      <c r="M143">
        <f t="shared" si="32"/>
        <v>0</v>
      </c>
      <c r="N143">
        <f t="shared" si="32"/>
        <v>0</v>
      </c>
      <c r="O143">
        <f t="shared" si="32"/>
        <v>78</v>
      </c>
      <c r="P143">
        <f t="shared" si="32"/>
        <v>89</v>
      </c>
      <c r="Q143">
        <f t="shared" si="32"/>
        <v>0</v>
      </c>
      <c r="R143">
        <f t="shared" si="25"/>
        <v>0</v>
      </c>
      <c r="S143">
        <f t="shared" si="33"/>
        <v>0</v>
      </c>
      <c r="T143">
        <f t="shared" si="33"/>
        <v>0</v>
      </c>
      <c r="U143">
        <f t="shared" si="33"/>
        <v>0</v>
      </c>
      <c r="V143" s="108">
        <f t="shared" si="22"/>
        <v>167</v>
      </c>
      <c r="W143" s="26">
        <f t="shared" si="23"/>
        <v>1181</v>
      </c>
      <c r="X143">
        <f t="shared" si="24"/>
        <v>0</v>
      </c>
      <c r="Y143">
        <f t="shared" si="26"/>
        <v>9.8416666666666668</v>
      </c>
      <c r="Z143">
        <f t="shared" si="27"/>
        <v>0</v>
      </c>
    </row>
    <row r="144" spans="11:26" x14ac:dyDescent="0.25">
      <c r="K144" s="105">
        <v>111</v>
      </c>
      <c r="L144">
        <f t="shared" ref="L144:Q153" si="34">IF(MID(DEC2BIN($K144,10),L$32,1)="1",L$33,0)</f>
        <v>0</v>
      </c>
      <c r="M144">
        <f t="shared" si="34"/>
        <v>0</v>
      </c>
      <c r="N144">
        <f t="shared" si="34"/>
        <v>0</v>
      </c>
      <c r="O144">
        <f t="shared" si="34"/>
        <v>78</v>
      </c>
      <c r="P144">
        <f t="shared" si="34"/>
        <v>89</v>
      </c>
      <c r="Q144">
        <f t="shared" si="34"/>
        <v>0</v>
      </c>
      <c r="R144">
        <f t="shared" si="25"/>
        <v>0</v>
      </c>
      <c r="S144">
        <f t="shared" si="33"/>
        <v>0</v>
      </c>
      <c r="T144">
        <f t="shared" si="33"/>
        <v>0</v>
      </c>
      <c r="U144">
        <f t="shared" si="33"/>
        <v>0</v>
      </c>
      <c r="V144" s="108">
        <f t="shared" si="22"/>
        <v>167</v>
      </c>
      <c r="W144" s="26">
        <f t="shared" si="23"/>
        <v>1181</v>
      </c>
      <c r="X144">
        <f t="shared" si="24"/>
        <v>0</v>
      </c>
      <c r="Y144">
        <f t="shared" si="26"/>
        <v>9.8416666666666668</v>
      </c>
      <c r="Z144">
        <f t="shared" si="27"/>
        <v>0</v>
      </c>
    </row>
    <row r="145" spans="11:26" x14ac:dyDescent="0.25">
      <c r="K145" s="105">
        <v>112</v>
      </c>
      <c r="L145">
        <f t="shared" si="34"/>
        <v>0</v>
      </c>
      <c r="M145">
        <f t="shared" si="34"/>
        <v>0</v>
      </c>
      <c r="N145">
        <f t="shared" si="34"/>
        <v>0</v>
      </c>
      <c r="O145">
        <f t="shared" si="34"/>
        <v>78</v>
      </c>
      <c r="P145">
        <f t="shared" si="34"/>
        <v>89</v>
      </c>
      <c r="Q145">
        <f t="shared" si="34"/>
        <v>117</v>
      </c>
      <c r="R145">
        <f t="shared" si="25"/>
        <v>0</v>
      </c>
      <c r="S145">
        <f t="shared" si="33"/>
        <v>0</v>
      </c>
      <c r="T145">
        <f t="shared" si="33"/>
        <v>0</v>
      </c>
      <c r="U145">
        <f t="shared" si="33"/>
        <v>0</v>
      </c>
      <c r="V145" s="108">
        <f t="shared" si="22"/>
        <v>284</v>
      </c>
      <c r="W145" s="26">
        <f t="shared" si="23"/>
        <v>1064</v>
      </c>
      <c r="X145">
        <f t="shared" si="24"/>
        <v>0</v>
      </c>
      <c r="Y145">
        <f t="shared" si="26"/>
        <v>8.8666666666666671</v>
      </c>
      <c r="Z145">
        <f t="shared" si="27"/>
        <v>0</v>
      </c>
    </row>
    <row r="146" spans="11:26" x14ac:dyDescent="0.25">
      <c r="K146" s="105">
        <v>113</v>
      </c>
      <c r="L146">
        <f t="shared" si="34"/>
        <v>0</v>
      </c>
      <c r="M146">
        <f t="shared" si="34"/>
        <v>0</v>
      </c>
      <c r="N146">
        <f t="shared" si="34"/>
        <v>0</v>
      </c>
      <c r="O146">
        <f t="shared" si="34"/>
        <v>78</v>
      </c>
      <c r="P146">
        <f t="shared" si="34"/>
        <v>89</v>
      </c>
      <c r="Q146">
        <f t="shared" si="34"/>
        <v>117</v>
      </c>
      <c r="R146">
        <f t="shared" si="25"/>
        <v>0</v>
      </c>
      <c r="S146">
        <f t="shared" si="33"/>
        <v>0</v>
      </c>
      <c r="T146">
        <f t="shared" si="33"/>
        <v>0</v>
      </c>
      <c r="U146">
        <f t="shared" si="33"/>
        <v>0</v>
      </c>
      <c r="V146" s="108">
        <f t="shared" si="22"/>
        <v>284</v>
      </c>
      <c r="W146" s="26">
        <f t="shared" si="23"/>
        <v>1064</v>
      </c>
      <c r="X146">
        <f t="shared" si="24"/>
        <v>0</v>
      </c>
      <c r="Y146">
        <f t="shared" si="26"/>
        <v>8.8666666666666671</v>
      </c>
      <c r="Z146">
        <f t="shared" si="27"/>
        <v>0</v>
      </c>
    </row>
    <row r="147" spans="11:26" x14ac:dyDescent="0.25">
      <c r="K147" s="105">
        <v>114</v>
      </c>
      <c r="L147">
        <f t="shared" si="34"/>
        <v>0</v>
      </c>
      <c r="M147">
        <f t="shared" si="34"/>
        <v>0</v>
      </c>
      <c r="N147">
        <f t="shared" si="34"/>
        <v>0</v>
      </c>
      <c r="O147">
        <f t="shared" si="34"/>
        <v>78</v>
      </c>
      <c r="P147">
        <f t="shared" si="34"/>
        <v>89</v>
      </c>
      <c r="Q147">
        <f t="shared" si="34"/>
        <v>117</v>
      </c>
      <c r="R147">
        <f t="shared" si="25"/>
        <v>0</v>
      </c>
      <c r="S147">
        <f t="shared" si="33"/>
        <v>0</v>
      </c>
      <c r="T147">
        <f t="shared" si="33"/>
        <v>0</v>
      </c>
      <c r="U147">
        <f t="shared" si="33"/>
        <v>0</v>
      </c>
      <c r="V147" s="108">
        <f t="shared" si="22"/>
        <v>284</v>
      </c>
      <c r="W147" s="26">
        <f t="shared" si="23"/>
        <v>1064</v>
      </c>
      <c r="X147">
        <f t="shared" si="24"/>
        <v>0</v>
      </c>
      <c r="Y147">
        <f t="shared" si="26"/>
        <v>8.8666666666666671</v>
      </c>
      <c r="Z147">
        <f t="shared" si="27"/>
        <v>0</v>
      </c>
    </row>
    <row r="148" spans="11:26" x14ac:dyDescent="0.25">
      <c r="K148" s="105">
        <v>115</v>
      </c>
      <c r="L148">
        <f t="shared" si="34"/>
        <v>0</v>
      </c>
      <c r="M148">
        <f t="shared" si="34"/>
        <v>0</v>
      </c>
      <c r="N148">
        <f t="shared" si="34"/>
        <v>0</v>
      </c>
      <c r="O148">
        <f t="shared" si="34"/>
        <v>78</v>
      </c>
      <c r="P148">
        <f t="shared" si="34"/>
        <v>89</v>
      </c>
      <c r="Q148">
        <f t="shared" si="34"/>
        <v>117</v>
      </c>
      <c r="R148">
        <f t="shared" si="25"/>
        <v>0</v>
      </c>
      <c r="S148">
        <f t="shared" si="33"/>
        <v>0</v>
      </c>
      <c r="T148">
        <f t="shared" si="33"/>
        <v>0</v>
      </c>
      <c r="U148">
        <f t="shared" si="33"/>
        <v>0</v>
      </c>
      <c r="V148" s="108">
        <f t="shared" si="22"/>
        <v>284</v>
      </c>
      <c r="W148" s="26">
        <f t="shared" si="23"/>
        <v>1064</v>
      </c>
      <c r="X148">
        <f t="shared" si="24"/>
        <v>0</v>
      </c>
      <c r="Y148">
        <f t="shared" si="26"/>
        <v>8.8666666666666671</v>
      </c>
      <c r="Z148">
        <f t="shared" si="27"/>
        <v>0</v>
      </c>
    </row>
    <row r="149" spans="11:26" x14ac:dyDescent="0.25">
      <c r="K149" s="105">
        <v>116</v>
      </c>
      <c r="L149">
        <f t="shared" si="34"/>
        <v>0</v>
      </c>
      <c r="M149">
        <f t="shared" si="34"/>
        <v>0</v>
      </c>
      <c r="N149">
        <f t="shared" si="34"/>
        <v>0</v>
      </c>
      <c r="O149">
        <f t="shared" si="34"/>
        <v>78</v>
      </c>
      <c r="P149">
        <f t="shared" si="34"/>
        <v>89</v>
      </c>
      <c r="Q149">
        <f t="shared" si="34"/>
        <v>117</v>
      </c>
      <c r="R149">
        <f t="shared" si="25"/>
        <v>0</v>
      </c>
      <c r="S149">
        <f t="shared" si="33"/>
        <v>0</v>
      </c>
      <c r="T149">
        <f t="shared" si="33"/>
        <v>0</v>
      </c>
      <c r="U149">
        <f t="shared" si="33"/>
        <v>0</v>
      </c>
      <c r="V149" s="108">
        <f t="shared" si="22"/>
        <v>284</v>
      </c>
      <c r="W149" s="26">
        <f t="shared" si="23"/>
        <v>1064</v>
      </c>
      <c r="X149">
        <f t="shared" si="24"/>
        <v>0</v>
      </c>
      <c r="Y149">
        <f t="shared" si="26"/>
        <v>8.8666666666666671</v>
      </c>
      <c r="Z149">
        <f t="shared" si="27"/>
        <v>0</v>
      </c>
    </row>
    <row r="150" spans="11:26" x14ac:dyDescent="0.25">
      <c r="K150" s="105">
        <v>117</v>
      </c>
      <c r="L150">
        <f t="shared" si="34"/>
        <v>0</v>
      </c>
      <c r="M150">
        <f t="shared" si="34"/>
        <v>0</v>
      </c>
      <c r="N150">
        <f t="shared" si="34"/>
        <v>0</v>
      </c>
      <c r="O150">
        <f t="shared" si="34"/>
        <v>78</v>
      </c>
      <c r="P150">
        <f t="shared" si="34"/>
        <v>89</v>
      </c>
      <c r="Q150">
        <f t="shared" si="34"/>
        <v>117</v>
      </c>
      <c r="R150">
        <f t="shared" si="25"/>
        <v>0</v>
      </c>
      <c r="S150">
        <f t="shared" si="33"/>
        <v>0</v>
      </c>
      <c r="T150">
        <f t="shared" si="33"/>
        <v>0</v>
      </c>
      <c r="U150">
        <f t="shared" si="33"/>
        <v>0</v>
      </c>
      <c r="V150" s="108">
        <f t="shared" si="22"/>
        <v>284</v>
      </c>
      <c r="W150" s="26">
        <f t="shared" si="23"/>
        <v>1064</v>
      </c>
      <c r="X150">
        <f t="shared" si="24"/>
        <v>0</v>
      </c>
      <c r="Y150">
        <f t="shared" si="26"/>
        <v>8.8666666666666671</v>
      </c>
      <c r="Z150">
        <f t="shared" si="27"/>
        <v>0</v>
      </c>
    </row>
    <row r="151" spans="11:26" x14ac:dyDescent="0.25">
      <c r="K151" s="105">
        <v>118</v>
      </c>
      <c r="L151">
        <f t="shared" si="34"/>
        <v>0</v>
      </c>
      <c r="M151">
        <f t="shared" si="34"/>
        <v>0</v>
      </c>
      <c r="N151">
        <f t="shared" si="34"/>
        <v>0</v>
      </c>
      <c r="O151">
        <f t="shared" si="34"/>
        <v>78</v>
      </c>
      <c r="P151">
        <f t="shared" si="34"/>
        <v>89</v>
      </c>
      <c r="Q151">
        <f t="shared" si="34"/>
        <v>117</v>
      </c>
      <c r="R151">
        <f t="shared" si="25"/>
        <v>0</v>
      </c>
      <c r="S151">
        <f t="shared" si="33"/>
        <v>0</v>
      </c>
      <c r="T151">
        <f t="shared" si="33"/>
        <v>0</v>
      </c>
      <c r="U151">
        <f t="shared" si="33"/>
        <v>0</v>
      </c>
      <c r="V151" s="108">
        <f t="shared" si="22"/>
        <v>284</v>
      </c>
      <c r="W151" s="26">
        <f t="shared" si="23"/>
        <v>1064</v>
      </c>
      <c r="X151">
        <f t="shared" si="24"/>
        <v>0</v>
      </c>
      <c r="Y151">
        <f t="shared" si="26"/>
        <v>8.8666666666666671</v>
      </c>
      <c r="Z151">
        <f t="shared" si="27"/>
        <v>0</v>
      </c>
    </row>
    <row r="152" spans="11:26" x14ac:dyDescent="0.25">
      <c r="K152" s="105">
        <v>119</v>
      </c>
      <c r="L152">
        <f t="shared" si="34"/>
        <v>0</v>
      </c>
      <c r="M152">
        <f t="shared" si="34"/>
        <v>0</v>
      </c>
      <c r="N152">
        <f t="shared" si="34"/>
        <v>0</v>
      </c>
      <c r="O152">
        <f t="shared" si="34"/>
        <v>78</v>
      </c>
      <c r="P152">
        <f t="shared" si="34"/>
        <v>89</v>
      </c>
      <c r="Q152">
        <f t="shared" si="34"/>
        <v>117</v>
      </c>
      <c r="R152">
        <f t="shared" si="25"/>
        <v>0</v>
      </c>
      <c r="S152">
        <f t="shared" si="33"/>
        <v>0</v>
      </c>
      <c r="T152">
        <f t="shared" si="33"/>
        <v>0</v>
      </c>
      <c r="U152">
        <f t="shared" si="33"/>
        <v>0</v>
      </c>
      <c r="V152" s="108">
        <f t="shared" si="22"/>
        <v>284</v>
      </c>
      <c r="W152" s="26">
        <f t="shared" si="23"/>
        <v>1064</v>
      </c>
      <c r="X152">
        <f t="shared" si="24"/>
        <v>0</v>
      </c>
      <c r="Y152">
        <f t="shared" si="26"/>
        <v>8.8666666666666671</v>
      </c>
      <c r="Z152">
        <f t="shared" si="27"/>
        <v>0</v>
      </c>
    </row>
    <row r="153" spans="11:26" x14ac:dyDescent="0.25">
      <c r="K153" s="105">
        <v>120</v>
      </c>
      <c r="L153">
        <f t="shared" si="34"/>
        <v>0</v>
      </c>
      <c r="M153">
        <f t="shared" si="34"/>
        <v>0</v>
      </c>
      <c r="N153">
        <f t="shared" si="34"/>
        <v>0</v>
      </c>
      <c r="O153">
        <f t="shared" si="34"/>
        <v>78</v>
      </c>
      <c r="P153">
        <f t="shared" si="34"/>
        <v>89</v>
      </c>
      <c r="Q153">
        <f t="shared" si="34"/>
        <v>117</v>
      </c>
      <c r="R153">
        <f t="shared" si="25"/>
        <v>0</v>
      </c>
      <c r="S153">
        <f t="shared" si="33"/>
        <v>0</v>
      </c>
      <c r="T153">
        <f t="shared" si="33"/>
        <v>0</v>
      </c>
      <c r="U153">
        <f t="shared" si="33"/>
        <v>0</v>
      </c>
      <c r="V153" s="108">
        <f t="shared" si="22"/>
        <v>284</v>
      </c>
      <c r="W153" s="26">
        <f t="shared" si="23"/>
        <v>1064</v>
      </c>
      <c r="X153">
        <f t="shared" si="24"/>
        <v>0</v>
      </c>
      <c r="Y153">
        <f t="shared" si="26"/>
        <v>8.8666666666666671</v>
      </c>
      <c r="Z153">
        <f t="shared" si="27"/>
        <v>0</v>
      </c>
    </row>
    <row r="154" spans="11:26" x14ac:dyDescent="0.25">
      <c r="K154" s="105">
        <v>121</v>
      </c>
      <c r="L154">
        <f t="shared" ref="L154:Q163" si="35">IF(MID(DEC2BIN($K154,10),L$32,1)="1",L$33,0)</f>
        <v>0</v>
      </c>
      <c r="M154">
        <f t="shared" si="35"/>
        <v>0</v>
      </c>
      <c r="N154">
        <f t="shared" si="35"/>
        <v>0</v>
      </c>
      <c r="O154">
        <f t="shared" si="35"/>
        <v>78</v>
      </c>
      <c r="P154">
        <f t="shared" si="35"/>
        <v>89</v>
      </c>
      <c r="Q154">
        <f t="shared" si="35"/>
        <v>117</v>
      </c>
      <c r="R154">
        <f t="shared" si="25"/>
        <v>0</v>
      </c>
      <c r="S154">
        <f t="shared" ref="S154:U173" si="36">IF(MID(DEC2BIN($K154,10),S$32,1)="1",S$33,0)</f>
        <v>0</v>
      </c>
      <c r="T154">
        <f t="shared" si="36"/>
        <v>0</v>
      </c>
      <c r="U154">
        <f t="shared" si="36"/>
        <v>0</v>
      </c>
      <c r="V154" s="108">
        <f t="shared" si="22"/>
        <v>284</v>
      </c>
      <c r="W154" s="26">
        <f t="shared" si="23"/>
        <v>1064</v>
      </c>
      <c r="X154">
        <f t="shared" si="24"/>
        <v>0</v>
      </c>
      <c r="Y154">
        <f t="shared" si="26"/>
        <v>8.8666666666666671</v>
      </c>
      <c r="Z154">
        <f t="shared" si="27"/>
        <v>0</v>
      </c>
    </row>
    <row r="155" spans="11:26" x14ac:dyDescent="0.25">
      <c r="K155" s="105">
        <v>122</v>
      </c>
      <c r="L155">
        <f t="shared" si="35"/>
        <v>0</v>
      </c>
      <c r="M155">
        <f t="shared" si="35"/>
        <v>0</v>
      </c>
      <c r="N155">
        <f t="shared" si="35"/>
        <v>0</v>
      </c>
      <c r="O155">
        <f t="shared" si="35"/>
        <v>78</v>
      </c>
      <c r="P155">
        <f t="shared" si="35"/>
        <v>89</v>
      </c>
      <c r="Q155">
        <f t="shared" si="35"/>
        <v>117</v>
      </c>
      <c r="R155">
        <f t="shared" si="25"/>
        <v>0</v>
      </c>
      <c r="S155">
        <f t="shared" si="36"/>
        <v>0</v>
      </c>
      <c r="T155">
        <f t="shared" si="36"/>
        <v>0</v>
      </c>
      <c r="U155">
        <f t="shared" si="36"/>
        <v>0</v>
      </c>
      <c r="V155" s="108">
        <f t="shared" si="22"/>
        <v>284</v>
      </c>
      <c r="W155" s="26">
        <f t="shared" si="23"/>
        <v>1064</v>
      </c>
      <c r="X155">
        <f t="shared" si="24"/>
        <v>0</v>
      </c>
      <c r="Y155">
        <f t="shared" si="26"/>
        <v>8.8666666666666671</v>
      </c>
      <c r="Z155">
        <f t="shared" si="27"/>
        <v>0</v>
      </c>
    </row>
    <row r="156" spans="11:26" x14ac:dyDescent="0.25">
      <c r="K156" s="105">
        <v>123</v>
      </c>
      <c r="L156">
        <f t="shared" si="35"/>
        <v>0</v>
      </c>
      <c r="M156">
        <f t="shared" si="35"/>
        <v>0</v>
      </c>
      <c r="N156">
        <f t="shared" si="35"/>
        <v>0</v>
      </c>
      <c r="O156">
        <f t="shared" si="35"/>
        <v>78</v>
      </c>
      <c r="P156">
        <f t="shared" si="35"/>
        <v>89</v>
      </c>
      <c r="Q156">
        <f t="shared" si="35"/>
        <v>117</v>
      </c>
      <c r="R156">
        <f t="shared" si="25"/>
        <v>0</v>
      </c>
      <c r="S156">
        <f t="shared" si="36"/>
        <v>0</v>
      </c>
      <c r="T156">
        <f t="shared" si="36"/>
        <v>0</v>
      </c>
      <c r="U156">
        <f t="shared" si="36"/>
        <v>0</v>
      </c>
      <c r="V156" s="108">
        <f t="shared" si="22"/>
        <v>284</v>
      </c>
      <c r="W156" s="26">
        <f t="shared" si="23"/>
        <v>1064</v>
      </c>
      <c r="X156">
        <f t="shared" si="24"/>
        <v>0</v>
      </c>
      <c r="Y156">
        <f t="shared" si="26"/>
        <v>8.8666666666666671</v>
      </c>
      <c r="Z156">
        <f t="shared" si="27"/>
        <v>0</v>
      </c>
    </row>
    <row r="157" spans="11:26" x14ac:dyDescent="0.25">
      <c r="K157" s="105">
        <v>124</v>
      </c>
      <c r="L157">
        <f t="shared" si="35"/>
        <v>0</v>
      </c>
      <c r="M157">
        <f t="shared" si="35"/>
        <v>0</v>
      </c>
      <c r="N157">
        <f t="shared" si="35"/>
        <v>0</v>
      </c>
      <c r="O157">
        <f t="shared" si="35"/>
        <v>78</v>
      </c>
      <c r="P157">
        <f t="shared" si="35"/>
        <v>89</v>
      </c>
      <c r="Q157">
        <f t="shared" si="35"/>
        <v>117</v>
      </c>
      <c r="R157">
        <f t="shared" si="25"/>
        <v>0</v>
      </c>
      <c r="S157">
        <f t="shared" si="36"/>
        <v>0</v>
      </c>
      <c r="T157">
        <f t="shared" si="36"/>
        <v>0</v>
      </c>
      <c r="U157">
        <f t="shared" si="36"/>
        <v>0</v>
      </c>
      <c r="V157" s="108">
        <f t="shared" si="22"/>
        <v>284</v>
      </c>
      <c r="W157" s="26">
        <f t="shared" si="23"/>
        <v>1064</v>
      </c>
      <c r="X157">
        <f t="shared" si="24"/>
        <v>0</v>
      </c>
      <c r="Y157">
        <f t="shared" si="26"/>
        <v>8.8666666666666671</v>
      </c>
      <c r="Z157">
        <f t="shared" si="27"/>
        <v>0</v>
      </c>
    </row>
    <row r="158" spans="11:26" x14ac:dyDescent="0.25">
      <c r="K158" s="105">
        <v>125</v>
      </c>
      <c r="L158">
        <f t="shared" si="35"/>
        <v>0</v>
      </c>
      <c r="M158">
        <f t="shared" si="35"/>
        <v>0</v>
      </c>
      <c r="N158">
        <f t="shared" si="35"/>
        <v>0</v>
      </c>
      <c r="O158">
        <f t="shared" si="35"/>
        <v>78</v>
      </c>
      <c r="P158">
        <f t="shared" si="35"/>
        <v>89</v>
      </c>
      <c r="Q158">
        <f t="shared" si="35"/>
        <v>117</v>
      </c>
      <c r="R158">
        <f t="shared" si="25"/>
        <v>0</v>
      </c>
      <c r="S158">
        <f t="shared" si="36"/>
        <v>0</v>
      </c>
      <c r="T158">
        <f t="shared" si="36"/>
        <v>0</v>
      </c>
      <c r="U158">
        <f t="shared" si="36"/>
        <v>0</v>
      </c>
      <c r="V158" s="108">
        <f t="shared" si="22"/>
        <v>284</v>
      </c>
      <c r="W158" s="26">
        <f t="shared" si="23"/>
        <v>1064</v>
      </c>
      <c r="X158">
        <f t="shared" si="24"/>
        <v>0</v>
      </c>
      <c r="Y158">
        <f t="shared" si="26"/>
        <v>8.8666666666666671</v>
      </c>
      <c r="Z158">
        <f t="shared" si="27"/>
        <v>0</v>
      </c>
    </row>
    <row r="159" spans="11:26" x14ac:dyDescent="0.25">
      <c r="K159" s="105">
        <v>126</v>
      </c>
      <c r="L159">
        <f t="shared" si="35"/>
        <v>0</v>
      </c>
      <c r="M159">
        <f t="shared" si="35"/>
        <v>0</v>
      </c>
      <c r="N159">
        <f t="shared" si="35"/>
        <v>0</v>
      </c>
      <c r="O159">
        <f t="shared" si="35"/>
        <v>78</v>
      </c>
      <c r="P159">
        <f t="shared" si="35"/>
        <v>89</v>
      </c>
      <c r="Q159">
        <f t="shared" si="35"/>
        <v>117</v>
      </c>
      <c r="R159">
        <f t="shared" si="25"/>
        <v>0</v>
      </c>
      <c r="S159">
        <f t="shared" si="36"/>
        <v>0</v>
      </c>
      <c r="T159">
        <f t="shared" si="36"/>
        <v>0</v>
      </c>
      <c r="U159">
        <f t="shared" si="36"/>
        <v>0</v>
      </c>
      <c r="V159" s="108">
        <f t="shared" si="22"/>
        <v>284</v>
      </c>
      <c r="W159" s="26">
        <f t="shared" si="23"/>
        <v>1064</v>
      </c>
      <c r="X159">
        <f t="shared" si="24"/>
        <v>0</v>
      </c>
      <c r="Y159">
        <f t="shared" si="26"/>
        <v>8.8666666666666671</v>
      </c>
      <c r="Z159">
        <f t="shared" si="27"/>
        <v>0</v>
      </c>
    </row>
    <row r="160" spans="11:26" x14ac:dyDescent="0.25">
      <c r="K160" s="105">
        <v>127</v>
      </c>
      <c r="L160">
        <f t="shared" si="35"/>
        <v>0</v>
      </c>
      <c r="M160">
        <f t="shared" si="35"/>
        <v>0</v>
      </c>
      <c r="N160">
        <f t="shared" si="35"/>
        <v>0</v>
      </c>
      <c r="O160">
        <f t="shared" si="35"/>
        <v>78</v>
      </c>
      <c r="P160">
        <f t="shared" si="35"/>
        <v>89</v>
      </c>
      <c r="Q160">
        <f t="shared" si="35"/>
        <v>117</v>
      </c>
      <c r="R160">
        <f t="shared" si="25"/>
        <v>0</v>
      </c>
      <c r="S160">
        <f t="shared" si="36"/>
        <v>0</v>
      </c>
      <c r="T160">
        <f t="shared" si="36"/>
        <v>0</v>
      </c>
      <c r="U160">
        <f t="shared" si="36"/>
        <v>0</v>
      </c>
      <c r="V160" s="108">
        <f t="shared" si="22"/>
        <v>284</v>
      </c>
      <c r="W160" s="26">
        <f t="shared" si="23"/>
        <v>1064</v>
      </c>
      <c r="X160">
        <f t="shared" si="24"/>
        <v>0</v>
      </c>
      <c r="Y160">
        <f t="shared" si="26"/>
        <v>8.8666666666666671</v>
      </c>
      <c r="Z160">
        <f t="shared" si="27"/>
        <v>0</v>
      </c>
    </row>
    <row r="161" spans="11:26" x14ac:dyDescent="0.25">
      <c r="K161" s="105">
        <v>128</v>
      </c>
      <c r="L161">
        <f t="shared" si="35"/>
        <v>0</v>
      </c>
      <c r="M161">
        <f t="shared" si="35"/>
        <v>0</v>
      </c>
      <c r="N161">
        <f t="shared" si="35"/>
        <v>104</v>
      </c>
      <c r="O161">
        <f t="shared" si="35"/>
        <v>0</v>
      </c>
      <c r="P161">
        <f t="shared" si="35"/>
        <v>0</v>
      </c>
      <c r="Q161">
        <f t="shared" si="35"/>
        <v>0</v>
      </c>
      <c r="R161">
        <f t="shared" si="25"/>
        <v>0</v>
      </c>
      <c r="S161">
        <f t="shared" si="36"/>
        <v>0</v>
      </c>
      <c r="T161">
        <f t="shared" si="36"/>
        <v>0</v>
      </c>
      <c r="U161">
        <f t="shared" si="36"/>
        <v>0</v>
      </c>
      <c r="V161" s="108">
        <f t="shared" si="22"/>
        <v>104</v>
      </c>
      <c r="W161" s="26">
        <f t="shared" si="23"/>
        <v>1244</v>
      </c>
      <c r="X161">
        <f t="shared" si="24"/>
        <v>0</v>
      </c>
      <c r="Y161">
        <f t="shared" si="26"/>
        <v>10.366666666666667</v>
      </c>
      <c r="Z161">
        <f t="shared" si="27"/>
        <v>0</v>
      </c>
    </row>
    <row r="162" spans="11:26" x14ac:dyDescent="0.25">
      <c r="K162" s="105">
        <v>129</v>
      </c>
      <c r="L162">
        <f t="shared" si="35"/>
        <v>0</v>
      </c>
      <c r="M162">
        <f t="shared" si="35"/>
        <v>0</v>
      </c>
      <c r="N162">
        <f t="shared" si="35"/>
        <v>104</v>
      </c>
      <c r="O162">
        <f t="shared" si="35"/>
        <v>0</v>
      </c>
      <c r="P162">
        <f t="shared" si="35"/>
        <v>0</v>
      </c>
      <c r="Q162">
        <f t="shared" si="35"/>
        <v>0</v>
      </c>
      <c r="R162">
        <f t="shared" si="25"/>
        <v>0</v>
      </c>
      <c r="S162">
        <f t="shared" si="36"/>
        <v>0</v>
      </c>
      <c r="T162">
        <f t="shared" si="36"/>
        <v>0</v>
      </c>
      <c r="U162">
        <f t="shared" si="36"/>
        <v>0</v>
      </c>
      <c r="V162" s="108">
        <f t="shared" ref="V162:V225" si="37">SUM(L162:U162)</f>
        <v>104</v>
      </c>
      <c r="W162" s="26">
        <f t="shared" ref="W162:W225" si="38">$M$31-V162</f>
        <v>1244</v>
      </c>
      <c r="X162">
        <f t="shared" ref="X162:X225" si="39">IF(W162=0,1,0)</f>
        <v>0</v>
      </c>
      <c r="Y162">
        <f t="shared" si="26"/>
        <v>10.366666666666667</v>
      </c>
      <c r="Z162">
        <f t="shared" si="27"/>
        <v>0</v>
      </c>
    </row>
    <row r="163" spans="11:26" x14ac:dyDescent="0.25">
      <c r="K163" s="105">
        <v>130</v>
      </c>
      <c r="L163">
        <f t="shared" si="35"/>
        <v>0</v>
      </c>
      <c r="M163">
        <f t="shared" si="35"/>
        <v>0</v>
      </c>
      <c r="N163">
        <f t="shared" si="35"/>
        <v>104</v>
      </c>
      <c r="O163">
        <f t="shared" si="35"/>
        <v>0</v>
      </c>
      <c r="P163">
        <f t="shared" si="35"/>
        <v>0</v>
      </c>
      <c r="Q163">
        <f t="shared" si="35"/>
        <v>0</v>
      </c>
      <c r="R163">
        <f t="shared" ref="R163:R226" si="40">IF(MID(DEC2BIN($K163,10),R$32,1)="1",R$33,0)</f>
        <v>0</v>
      </c>
      <c r="S163">
        <f t="shared" si="36"/>
        <v>0</v>
      </c>
      <c r="T163">
        <f t="shared" si="36"/>
        <v>0</v>
      </c>
      <c r="U163">
        <f t="shared" si="36"/>
        <v>0</v>
      </c>
      <c r="V163" s="108">
        <f t="shared" si="37"/>
        <v>104</v>
      </c>
      <c r="W163" s="26">
        <f t="shared" si="38"/>
        <v>1244</v>
      </c>
      <c r="X163">
        <f t="shared" si="39"/>
        <v>0</v>
      </c>
      <c r="Y163">
        <f t="shared" ref="Y163:Y226" si="41">W163/$Y$32</f>
        <v>10.366666666666667</v>
      </c>
      <c r="Z163">
        <f t="shared" ref="Z163:Z226" si="42">IF(INT(Y163)=Y163,1,0)</f>
        <v>0</v>
      </c>
    </row>
    <row r="164" spans="11:26" x14ac:dyDescent="0.25">
      <c r="K164" s="105">
        <v>131</v>
      </c>
      <c r="L164">
        <f t="shared" ref="L164:Q173" si="43">IF(MID(DEC2BIN($K164,10),L$32,1)="1",L$33,0)</f>
        <v>0</v>
      </c>
      <c r="M164">
        <f t="shared" si="43"/>
        <v>0</v>
      </c>
      <c r="N164">
        <f t="shared" si="43"/>
        <v>104</v>
      </c>
      <c r="O164">
        <f t="shared" si="43"/>
        <v>0</v>
      </c>
      <c r="P164">
        <f t="shared" si="43"/>
        <v>0</v>
      </c>
      <c r="Q164">
        <f t="shared" si="43"/>
        <v>0</v>
      </c>
      <c r="R164">
        <f t="shared" si="40"/>
        <v>0</v>
      </c>
      <c r="S164">
        <f t="shared" si="36"/>
        <v>0</v>
      </c>
      <c r="T164">
        <f t="shared" si="36"/>
        <v>0</v>
      </c>
      <c r="U164">
        <f t="shared" si="36"/>
        <v>0</v>
      </c>
      <c r="V164" s="108">
        <f t="shared" si="37"/>
        <v>104</v>
      </c>
      <c r="W164" s="26">
        <f t="shared" si="38"/>
        <v>1244</v>
      </c>
      <c r="X164">
        <f t="shared" si="39"/>
        <v>0</v>
      </c>
      <c r="Y164">
        <f t="shared" si="41"/>
        <v>10.366666666666667</v>
      </c>
      <c r="Z164">
        <f t="shared" si="42"/>
        <v>0</v>
      </c>
    </row>
    <row r="165" spans="11:26" x14ac:dyDescent="0.25">
      <c r="K165" s="105">
        <v>132</v>
      </c>
      <c r="L165">
        <f t="shared" si="43"/>
        <v>0</v>
      </c>
      <c r="M165">
        <f t="shared" si="43"/>
        <v>0</v>
      </c>
      <c r="N165">
        <f t="shared" si="43"/>
        <v>104</v>
      </c>
      <c r="O165">
        <f t="shared" si="43"/>
        <v>0</v>
      </c>
      <c r="P165">
        <f t="shared" si="43"/>
        <v>0</v>
      </c>
      <c r="Q165">
        <f t="shared" si="43"/>
        <v>0</v>
      </c>
      <c r="R165">
        <f t="shared" si="40"/>
        <v>0</v>
      </c>
      <c r="S165">
        <f t="shared" si="36"/>
        <v>0</v>
      </c>
      <c r="T165">
        <f t="shared" si="36"/>
        <v>0</v>
      </c>
      <c r="U165">
        <f t="shared" si="36"/>
        <v>0</v>
      </c>
      <c r="V165" s="108">
        <f t="shared" si="37"/>
        <v>104</v>
      </c>
      <c r="W165" s="26">
        <f t="shared" si="38"/>
        <v>1244</v>
      </c>
      <c r="X165">
        <f t="shared" si="39"/>
        <v>0</v>
      </c>
      <c r="Y165">
        <f t="shared" si="41"/>
        <v>10.366666666666667</v>
      </c>
      <c r="Z165">
        <f t="shared" si="42"/>
        <v>0</v>
      </c>
    </row>
    <row r="166" spans="11:26" x14ac:dyDescent="0.25">
      <c r="K166" s="105">
        <v>133</v>
      </c>
      <c r="L166">
        <f t="shared" si="43"/>
        <v>0</v>
      </c>
      <c r="M166">
        <f t="shared" si="43"/>
        <v>0</v>
      </c>
      <c r="N166">
        <f t="shared" si="43"/>
        <v>104</v>
      </c>
      <c r="O166">
        <f t="shared" si="43"/>
        <v>0</v>
      </c>
      <c r="P166">
        <f t="shared" si="43"/>
        <v>0</v>
      </c>
      <c r="Q166">
        <f t="shared" si="43"/>
        <v>0</v>
      </c>
      <c r="R166">
        <f t="shared" si="40"/>
        <v>0</v>
      </c>
      <c r="S166">
        <f t="shared" si="36"/>
        <v>0</v>
      </c>
      <c r="T166">
        <f t="shared" si="36"/>
        <v>0</v>
      </c>
      <c r="U166">
        <f t="shared" si="36"/>
        <v>0</v>
      </c>
      <c r="V166" s="108">
        <f t="shared" si="37"/>
        <v>104</v>
      </c>
      <c r="W166" s="26">
        <f t="shared" si="38"/>
        <v>1244</v>
      </c>
      <c r="X166">
        <f t="shared" si="39"/>
        <v>0</v>
      </c>
      <c r="Y166">
        <f t="shared" si="41"/>
        <v>10.366666666666667</v>
      </c>
      <c r="Z166">
        <f t="shared" si="42"/>
        <v>0</v>
      </c>
    </row>
    <row r="167" spans="11:26" x14ac:dyDescent="0.25">
      <c r="K167" s="105">
        <v>134</v>
      </c>
      <c r="L167">
        <f t="shared" si="43"/>
        <v>0</v>
      </c>
      <c r="M167">
        <f t="shared" si="43"/>
        <v>0</v>
      </c>
      <c r="N167">
        <f t="shared" si="43"/>
        <v>104</v>
      </c>
      <c r="O167">
        <f t="shared" si="43"/>
        <v>0</v>
      </c>
      <c r="P167">
        <f t="shared" si="43"/>
        <v>0</v>
      </c>
      <c r="Q167">
        <f t="shared" si="43"/>
        <v>0</v>
      </c>
      <c r="R167">
        <f t="shared" si="40"/>
        <v>0</v>
      </c>
      <c r="S167">
        <f t="shared" si="36"/>
        <v>0</v>
      </c>
      <c r="T167">
        <f t="shared" si="36"/>
        <v>0</v>
      </c>
      <c r="U167">
        <f t="shared" si="36"/>
        <v>0</v>
      </c>
      <c r="V167" s="108">
        <f t="shared" si="37"/>
        <v>104</v>
      </c>
      <c r="W167" s="26">
        <f t="shared" si="38"/>
        <v>1244</v>
      </c>
      <c r="X167">
        <f t="shared" si="39"/>
        <v>0</v>
      </c>
      <c r="Y167">
        <f t="shared" si="41"/>
        <v>10.366666666666667</v>
      </c>
      <c r="Z167">
        <f t="shared" si="42"/>
        <v>0</v>
      </c>
    </row>
    <row r="168" spans="11:26" x14ac:dyDescent="0.25">
      <c r="K168" s="105">
        <v>135</v>
      </c>
      <c r="L168">
        <f t="shared" si="43"/>
        <v>0</v>
      </c>
      <c r="M168">
        <f t="shared" si="43"/>
        <v>0</v>
      </c>
      <c r="N168">
        <f t="shared" si="43"/>
        <v>104</v>
      </c>
      <c r="O168">
        <f t="shared" si="43"/>
        <v>0</v>
      </c>
      <c r="P168">
        <f t="shared" si="43"/>
        <v>0</v>
      </c>
      <c r="Q168">
        <f t="shared" si="43"/>
        <v>0</v>
      </c>
      <c r="R168">
        <f t="shared" si="40"/>
        <v>0</v>
      </c>
      <c r="S168">
        <f t="shared" si="36"/>
        <v>0</v>
      </c>
      <c r="T168">
        <f t="shared" si="36"/>
        <v>0</v>
      </c>
      <c r="U168">
        <f t="shared" si="36"/>
        <v>0</v>
      </c>
      <c r="V168" s="108">
        <f t="shared" si="37"/>
        <v>104</v>
      </c>
      <c r="W168" s="26">
        <f t="shared" si="38"/>
        <v>1244</v>
      </c>
      <c r="X168">
        <f t="shared" si="39"/>
        <v>0</v>
      </c>
      <c r="Y168">
        <f t="shared" si="41"/>
        <v>10.366666666666667</v>
      </c>
      <c r="Z168">
        <f t="shared" si="42"/>
        <v>0</v>
      </c>
    </row>
    <row r="169" spans="11:26" x14ac:dyDescent="0.25">
      <c r="K169" s="105">
        <v>136</v>
      </c>
      <c r="L169">
        <f t="shared" si="43"/>
        <v>0</v>
      </c>
      <c r="M169">
        <f t="shared" si="43"/>
        <v>0</v>
      </c>
      <c r="N169">
        <f t="shared" si="43"/>
        <v>104</v>
      </c>
      <c r="O169">
        <f t="shared" si="43"/>
        <v>0</v>
      </c>
      <c r="P169">
        <f t="shared" si="43"/>
        <v>0</v>
      </c>
      <c r="Q169">
        <f t="shared" si="43"/>
        <v>0</v>
      </c>
      <c r="R169">
        <f t="shared" si="40"/>
        <v>0</v>
      </c>
      <c r="S169">
        <f t="shared" si="36"/>
        <v>0</v>
      </c>
      <c r="T169">
        <f t="shared" si="36"/>
        <v>0</v>
      </c>
      <c r="U169">
        <f t="shared" si="36"/>
        <v>0</v>
      </c>
      <c r="V169" s="108">
        <f t="shared" si="37"/>
        <v>104</v>
      </c>
      <c r="W169" s="26">
        <f t="shared" si="38"/>
        <v>1244</v>
      </c>
      <c r="X169">
        <f t="shared" si="39"/>
        <v>0</v>
      </c>
      <c r="Y169">
        <f t="shared" si="41"/>
        <v>10.366666666666667</v>
      </c>
      <c r="Z169">
        <f t="shared" si="42"/>
        <v>0</v>
      </c>
    </row>
    <row r="170" spans="11:26" x14ac:dyDescent="0.25">
      <c r="K170" s="105">
        <v>137</v>
      </c>
      <c r="L170">
        <f t="shared" si="43"/>
        <v>0</v>
      </c>
      <c r="M170">
        <f t="shared" si="43"/>
        <v>0</v>
      </c>
      <c r="N170">
        <f t="shared" si="43"/>
        <v>104</v>
      </c>
      <c r="O170">
        <f t="shared" si="43"/>
        <v>0</v>
      </c>
      <c r="P170">
        <f t="shared" si="43"/>
        <v>0</v>
      </c>
      <c r="Q170">
        <f t="shared" si="43"/>
        <v>0</v>
      </c>
      <c r="R170">
        <f t="shared" si="40"/>
        <v>0</v>
      </c>
      <c r="S170">
        <f t="shared" si="36"/>
        <v>0</v>
      </c>
      <c r="T170">
        <f t="shared" si="36"/>
        <v>0</v>
      </c>
      <c r="U170">
        <f t="shared" si="36"/>
        <v>0</v>
      </c>
      <c r="V170" s="108">
        <f t="shared" si="37"/>
        <v>104</v>
      </c>
      <c r="W170" s="26">
        <f t="shared" si="38"/>
        <v>1244</v>
      </c>
      <c r="X170">
        <f t="shared" si="39"/>
        <v>0</v>
      </c>
      <c r="Y170">
        <f t="shared" si="41"/>
        <v>10.366666666666667</v>
      </c>
      <c r="Z170">
        <f t="shared" si="42"/>
        <v>0</v>
      </c>
    </row>
    <row r="171" spans="11:26" x14ac:dyDescent="0.25">
      <c r="K171" s="105">
        <v>138</v>
      </c>
      <c r="L171">
        <f t="shared" si="43"/>
        <v>0</v>
      </c>
      <c r="M171">
        <f t="shared" si="43"/>
        <v>0</v>
      </c>
      <c r="N171">
        <f t="shared" si="43"/>
        <v>104</v>
      </c>
      <c r="O171">
        <f t="shared" si="43"/>
        <v>0</v>
      </c>
      <c r="P171">
        <f t="shared" si="43"/>
        <v>0</v>
      </c>
      <c r="Q171">
        <f t="shared" si="43"/>
        <v>0</v>
      </c>
      <c r="R171">
        <f t="shared" si="40"/>
        <v>0</v>
      </c>
      <c r="S171">
        <f t="shared" si="36"/>
        <v>0</v>
      </c>
      <c r="T171">
        <f t="shared" si="36"/>
        <v>0</v>
      </c>
      <c r="U171">
        <f t="shared" si="36"/>
        <v>0</v>
      </c>
      <c r="V171" s="108">
        <f t="shared" si="37"/>
        <v>104</v>
      </c>
      <c r="W171" s="26">
        <f t="shared" si="38"/>
        <v>1244</v>
      </c>
      <c r="X171">
        <f t="shared" si="39"/>
        <v>0</v>
      </c>
      <c r="Y171">
        <f t="shared" si="41"/>
        <v>10.366666666666667</v>
      </c>
      <c r="Z171">
        <f t="shared" si="42"/>
        <v>0</v>
      </c>
    </row>
    <row r="172" spans="11:26" x14ac:dyDescent="0.25">
      <c r="K172" s="105">
        <v>139</v>
      </c>
      <c r="L172">
        <f t="shared" si="43"/>
        <v>0</v>
      </c>
      <c r="M172">
        <f t="shared" si="43"/>
        <v>0</v>
      </c>
      <c r="N172">
        <f t="shared" si="43"/>
        <v>104</v>
      </c>
      <c r="O172">
        <f t="shared" si="43"/>
        <v>0</v>
      </c>
      <c r="P172">
        <f t="shared" si="43"/>
        <v>0</v>
      </c>
      <c r="Q172">
        <f t="shared" si="43"/>
        <v>0</v>
      </c>
      <c r="R172">
        <f t="shared" si="40"/>
        <v>0</v>
      </c>
      <c r="S172">
        <f t="shared" si="36"/>
        <v>0</v>
      </c>
      <c r="T172">
        <f t="shared" si="36"/>
        <v>0</v>
      </c>
      <c r="U172">
        <f t="shared" si="36"/>
        <v>0</v>
      </c>
      <c r="V172" s="108">
        <f t="shared" si="37"/>
        <v>104</v>
      </c>
      <c r="W172" s="26">
        <f t="shared" si="38"/>
        <v>1244</v>
      </c>
      <c r="X172">
        <f t="shared" si="39"/>
        <v>0</v>
      </c>
      <c r="Y172">
        <f t="shared" si="41"/>
        <v>10.366666666666667</v>
      </c>
      <c r="Z172">
        <f t="shared" si="42"/>
        <v>0</v>
      </c>
    </row>
    <row r="173" spans="11:26" x14ac:dyDescent="0.25">
      <c r="K173" s="105">
        <v>140</v>
      </c>
      <c r="L173">
        <f t="shared" si="43"/>
        <v>0</v>
      </c>
      <c r="M173">
        <f t="shared" si="43"/>
        <v>0</v>
      </c>
      <c r="N173">
        <f t="shared" si="43"/>
        <v>104</v>
      </c>
      <c r="O173">
        <f t="shared" si="43"/>
        <v>0</v>
      </c>
      <c r="P173">
        <f t="shared" si="43"/>
        <v>0</v>
      </c>
      <c r="Q173">
        <f t="shared" si="43"/>
        <v>0</v>
      </c>
      <c r="R173">
        <f t="shared" si="40"/>
        <v>0</v>
      </c>
      <c r="S173">
        <f t="shared" si="36"/>
        <v>0</v>
      </c>
      <c r="T173">
        <f t="shared" si="36"/>
        <v>0</v>
      </c>
      <c r="U173">
        <f t="shared" si="36"/>
        <v>0</v>
      </c>
      <c r="V173" s="108">
        <f t="shared" si="37"/>
        <v>104</v>
      </c>
      <c r="W173" s="26">
        <f t="shared" si="38"/>
        <v>1244</v>
      </c>
      <c r="X173">
        <f t="shared" si="39"/>
        <v>0</v>
      </c>
      <c r="Y173">
        <f t="shared" si="41"/>
        <v>10.366666666666667</v>
      </c>
      <c r="Z173">
        <f t="shared" si="42"/>
        <v>0</v>
      </c>
    </row>
    <row r="174" spans="11:26" x14ac:dyDescent="0.25">
      <c r="K174" s="105">
        <v>141</v>
      </c>
      <c r="L174">
        <f t="shared" ref="L174:Q183" si="44">IF(MID(DEC2BIN($K174,10),L$32,1)="1",L$33,0)</f>
        <v>0</v>
      </c>
      <c r="M174">
        <f t="shared" si="44"/>
        <v>0</v>
      </c>
      <c r="N174">
        <f t="shared" si="44"/>
        <v>104</v>
      </c>
      <c r="O174">
        <f t="shared" si="44"/>
        <v>0</v>
      </c>
      <c r="P174">
        <f t="shared" si="44"/>
        <v>0</v>
      </c>
      <c r="Q174">
        <f t="shared" si="44"/>
        <v>0</v>
      </c>
      <c r="R174">
        <f t="shared" si="40"/>
        <v>0</v>
      </c>
      <c r="S174">
        <f t="shared" ref="S174:U193" si="45">IF(MID(DEC2BIN($K174,10),S$32,1)="1",S$33,0)</f>
        <v>0</v>
      </c>
      <c r="T174">
        <f t="shared" si="45"/>
        <v>0</v>
      </c>
      <c r="U174">
        <f t="shared" si="45"/>
        <v>0</v>
      </c>
      <c r="V174" s="108">
        <f t="shared" si="37"/>
        <v>104</v>
      </c>
      <c r="W174" s="26">
        <f t="shared" si="38"/>
        <v>1244</v>
      </c>
      <c r="X174">
        <f t="shared" si="39"/>
        <v>0</v>
      </c>
      <c r="Y174">
        <f t="shared" si="41"/>
        <v>10.366666666666667</v>
      </c>
      <c r="Z174">
        <f t="shared" si="42"/>
        <v>0</v>
      </c>
    </row>
    <row r="175" spans="11:26" x14ac:dyDescent="0.25">
      <c r="K175" s="105">
        <v>142</v>
      </c>
      <c r="L175">
        <f t="shared" si="44"/>
        <v>0</v>
      </c>
      <c r="M175">
        <f t="shared" si="44"/>
        <v>0</v>
      </c>
      <c r="N175">
        <f t="shared" si="44"/>
        <v>104</v>
      </c>
      <c r="O175">
        <f t="shared" si="44"/>
        <v>0</v>
      </c>
      <c r="P175">
        <f t="shared" si="44"/>
        <v>0</v>
      </c>
      <c r="Q175">
        <f t="shared" si="44"/>
        <v>0</v>
      </c>
      <c r="R175">
        <f t="shared" si="40"/>
        <v>0</v>
      </c>
      <c r="S175">
        <f t="shared" si="45"/>
        <v>0</v>
      </c>
      <c r="T175">
        <f t="shared" si="45"/>
        <v>0</v>
      </c>
      <c r="U175">
        <f t="shared" si="45"/>
        <v>0</v>
      </c>
      <c r="V175" s="108">
        <f t="shared" si="37"/>
        <v>104</v>
      </c>
      <c r="W175" s="26">
        <f t="shared" si="38"/>
        <v>1244</v>
      </c>
      <c r="X175">
        <f t="shared" si="39"/>
        <v>0</v>
      </c>
      <c r="Y175">
        <f t="shared" si="41"/>
        <v>10.366666666666667</v>
      </c>
      <c r="Z175">
        <f t="shared" si="42"/>
        <v>0</v>
      </c>
    </row>
    <row r="176" spans="11:26" x14ac:dyDescent="0.25">
      <c r="K176" s="105">
        <v>143</v>
      </c>
      <c r="L176">
        <f t="shared" si="44"/>
        <v>0</v>
      </c>
      <c r="M176">
        <f t="shared" si="44"/>
        <v>0</v>
      </c>
      <c r="N176">
        <f t="shared" si="44"/>
        <v>104</v>
      </c>
      <c r="O176">
        <f t="shared" si="44"/>
        <v>0</v>
      </c>
      <c r="P176">
        <f t="shared" si="44"/>
        <v>0</v>
      </c>
      <c r="Q176">
        <f t="shared" si="44"/>
        <v>0</v>
      </c>
      <c r="R176">
        <f t="shared" si="40"/>
        <v>0</v>
      </c>
      <c r="S176">
        <f t="shared" si="45"/>
        <v>0</v>
      </c>
      <c r="T176">
        <f t="shared" si="45"/>
        <v>0</v>
      </c>
      <c r="U176">
        <f t="shared" si="45"/>
        <v>0</v>
      </c>
      <c r="V176" s="108">
        <f t="shared" si="37"/>
        <v>104</v>
      </c>
      <c r="W176" s="26">
        <f t="shared" si="38"/>
        <v>1244</v>
      </c>
      <c r="X176">
        <f t="shared" si="39"/>
        <v>0</v>
      </c>
      <c r="Y176">
        <f t="shared" si="41"/>
        <v>10.366666666666667</v>
      </c>
      <c r="Z176">
        <f t="shared" si="42"/>
        <v>0</v>
      </c>
    </row>
    <row r="177" spans="11:26" x14ac:dyDescent="0.25">
      <c r="K177" s="105">
        <v>144</v>
      </c>
      <c r="L177">
        <f t="shared" si="44"/>
        <v>0</v>
      </c>
      <c r="M177">
        <f t="shared" si="44"/>
        <v>0</v>
      </c>
      <c r="N177">
        <f t="shared" si="44"/>
        <v>104</v>
      </c>
      <c r="O177">
        <f t="shared" si="44"/>
        <v>0</v>
      </c>
      <c r="P177">
        <f t="shared" si="44"/>
        <v>0</v>
      </c>
      <c r="Q177">
        <f t="shared" si="44"/>
        <v>117</v>
      </c>
      <c r="R177">
        <f t="shared" si="40"/>
        <v>0</v>
      </c>
      <c r="S177">
        <f t="shared" si="45"/>
        <v>0</v>
      </c>
      <c r="T177">
        <f t="shared" si="45"/>
        <v>0</v>
      </c>
      <c r="U177">
        <f t="shared" si="45"/>
        <v>0</v>
      </c>
      <c r="V177" s="108">
        <f t="shared" si="37"/>
        <v>221</v>
      </c>
      <c r="W177" s="26">
        <f t="shared" si="38"/>
        <v>1127</v>
      </c>
      <c r="X177">
        <f t="shared" si="39"/>
        <v>0</v>
      </c>
      <c r="Y177">
        <f t="shared" si="41"/>
        <v>9.3916666666666675</v>
      </c>
      <c r="Z177">
        <f t="shared" si="42"/>
        <v>0</v>
      </c>
    </row>
    <row r="178" spans="11:26" x14ac:dyDescent="0.25">
      <c r="K178" s="105">
        <v>145</v>
      </c>
      <c r="L178">
        <f t="shared" si="44"/>
        <v>0</v>
      </c>
      <c r="M178">
        <f t="shared" si="44"/>
        <v>0</v>
      </c>
      <c r="N178">
        <f t="shared" si="44"/>
        <v>104</v>
      </c>
      <c r="O178">
        <f t="shared" si="44"/>
        <v>0</v>
      </c>
      <c r="P178">
        <f t="shared" si="44"/>
        <v>0</v>
      </c>
      <c r="Q178">
        <f t="shared" si="44"/>
        <v>117</v>
      </c>
      <c r="R178">
        <f t="shared" si="40"/>
        <v>0</v>
      </c>
      <c r="S178">
        <f t="shared" si="45"/>
        <v>0</v>
      </c>
      <c r="T178">
        <f t="shared" si="45"/>
        <v>0</v>
      </c>
      <c r="U178">
        <f t="shared" si="45"/>
        <v>0</v>
      </c>
      <c r="V178" s="108">
        <f t="shared" si="37"/>
        <v>221</v>
      </c>
      <c r="W178" s="26">
        <f t="shared" si="38"/>
        <v>1127</v>
      </c>
      <c r="X178">
        <f t="shared" si="39"/>
        <v>0</v>
      </c>
      <c r="Y178">
        <f t="shared" si="41"/>
        <v>9.3916666666666675</v>
      </c>
      <c r="Z178">
        <f t="shared" si="42"/>
        <v>0</v>
      </c>
    </row>
    <row r="179" spans="11:26" x14ac:dyDescent="0.25">
      <c r="K179" s="105">
        <v>146</v>
      </c>
      <c r="L179">
        <f t="shared" si="44"/>
        <v>0</v>
      </c>
      <c r="M179">
        <f t="shared" si="44"/>
        <v>0</v>
      </c>
      <c r="N179">
        <f t="shared" si="44"/>
        <v>104</v>
      </c>
      <c r="O179">
        <f t="shared" si="44"/>
        <v>0</v>
      </c>
      <c r="P179">
        <f t="shared" si="44"/>
        <v>0</v>
      </c>
      <c r="Q179">
        <f t="shared" si="44"/>
        <v>117</v>
      </c>
      <c r="R179">
        <f t="shared" si="40"/>
        <v>0</v>
      </c>
      <c r="S179">
        <f t="shared" si="45"/>
        <v>0</v>
      </c>
      <c r="T179">
        <f t="shared" si="45"/>
        <v>0</v>
      </c>
      <c r="U179">
        <f t="shared" si="45"/>
        <v>0</v>
      </c>
      <c r="V179" s="108">
        <f t="shared" si="37"/>
        <v>221</v>
      </c>
      <c r="W179" s="26">
        <f t="shared" si="38"/>
        <v>1127</v>
      </c>
      <c r="X179">
        <f t="shared" si="39"/>
        <v>0</v>
      </c>
      <c r="Y179">
        <f t="shared" si="41"/>
        <v>9.3916666666666675</v>
      </c>
      <c r="Z179">
        <f t="shared" si="42"/>
        <v>0</v>
      </c>
    </row>
    <row r="180" spans="11:26" x14ac:dyDescent="0.25">
      <c r="K180" s="105">
        <v>147</v>
      </c>
      <c r="L180">
        <f t="shared" si="44"/>
        <v>0</v>
      </c>
      <c r="M180">
        <f t="shared" si="44"/>
        <v>0</v>
      </c>
      <c r="N180">
        <f t="shared" si="44"/>
        <v>104</v>
      </c>
      <c r="O180">
        <f t="shared" si="44"/>
        <v>0</v>
      </c>
      <c r="P180">
        <f t="shared" si="44"/>
        <v>0</v>
      </c>
      <c r="Q180">
        <f t="shared" si="44"/>
        <v>117</v>
      </c>
      <c r="R180">
        <f t="shared" si="40"/>
        <v>0</v>
      </c>
      <c r="S180">
        <f t="shared" si="45"/>
        <v>0</v>
      </c>
      <c r="T180">
        <f t="shared" si="45"/>
        <v>0</v>
      </c>
      <c r="U180">
        <f t="shared" si="45"/>
        <v>0</v>
      </c>
      <c r="V180" s="108">
        <f t="shared" si="37"/>
        <v>221</v>
      </c>
      <c r="W180" s="26">
        <f t="shared" si="38"/>
        <v>1127</v>
      </c>
      <c r="X180">
        <f t="shared" si="39"/>
        <v>0</v>
      </c>
      <c r="Y180">
        <f t="shared" si="41"/>
        <v>9.3916666666666675</v>
      </c>
      <c r="Z180">
        <f t="shared" si="42"/>
        <v>0</v>
      </c>
    </row>
    <row r="181" spans="11:26" x14ac:dyDescent="0.25">
      <c r="K181" s="105">
        <v>148</v>
      </c>
      <c r="L181">
        <f t="shared" si="44"/>
        <v>0</v>
      </c>
      <c r="M181">
        <f t="shared" si="44"/>
        <v>0</v>
      </c>
      <c r="N181">
        <f t="shared" si="44"/>
        <v>104</v>
      </c>
      <c r="O181">
        <f t="shared" si="44"/>
        <v>0</v>
      </c>
      <c r="P181">
        <f t="shared" si="44"/>
        <v>0</v>
      </c>
      <c r="Q181">
        <f t="shared" si="44"/>
        <v>117</v>
      </c>
      <c r="R181">
        <f t="shared" si="40"/>
        <v>0</v>
      </c>
      <c r="S181">
        <f t="shared" si="45"/>
        <v>0</v>
      </c>
      <c r="T181">
        <f t="shared" si="45"/>
        <v>0</v>
      </c>
      <c r="U181">
        <f t="shared" si="45"/>
        <v>0</v>
      </c>
      <c r="V181" s="108">
        <f t="shared" si="37"/>
        <v>221</v>
      </c>
      <c r="W181" s="26">
        <f t="shared" si="38"/>
        <v>1127</v>
      </c>
      <c r="X181">
        <f t="shared" si="39"/>
        <v>0</v>
      </c>
      <c r="Y181">
        <f t="shared" si="41"/>
        <v>9.3916666666666675</v>
      </c>
      <c r="Z181">
        <f t="shared" si="42"/>
        <v>0</v>
      </c>
    </row>
    <row r="182" spans="11:26" x14ac:dyDescent="0.25">
      <c r="K182" s="105">
        <v>149</v>
      </c>
      <c r="L182">
        <f t="shared" si="44"/>
        <v>0</v>
      </c>
      <c r="M182">
        <f t="shared" si="44"/>
        <v>0</v>
      </c>
      <c r="N182">
        <f t="shared" si="44"/>
        <v>104</v>
      </c>
      <c r="O182">
        <f t="shared" si="44"/>
        <v>0</v>
      </c>
      <c r="P182">
        <f t="shared" si="44"/>
        <v>0</v>
      </c>
      <c r="Q182">
        <f t="shared" si="44"/>
        <v>117</v>
      </c>
      <c r="R182">
        <f t="shared" si="40"/>
        <v>0</v>
      </c>
      <c r="S182">
        <f t="shared" si="45"/>
        <v>0</v>
      </c>
      <c r="T182">
        <f t="shared" si="45"/>
        <v>0</v>
      </c>
      <c r="U182">
        <f t="shared" si="45"/>
        <v>0</v>
      </c>
      <c r="V182" s="108">
        <f t="shared" si="37"/>
        <v>221</v>
      </c>
      <c r="W182" s="26">
        <f t="shared" si="38"/>
        <v>1127</v>
      </c>
      <c r="X182">
        <f t="shared" si="39"/>
        <v>0</v>
      </c>
      <c r="Y182">
        <f t="shared" si="41"/>
        <v>9.3916666666666675</v>
      </c>
      <c r="Z182">
        <f t="shared" si="42"/>
        <v>0</v>
      </c>
    </row>
    <row r="183" spans="11:26" x14ac:dyDescent="0.25">
      <c r="K183" s="105">
        <v>150</v>
      </c>
      <c r="L183">
        <f t="shared" si="44"/>
        <v>0</v>
      </c>
      <c r="M183">
        <f t="shared" si="44"/>
        <v>0</v>
      </c>
      <c r="N183">
        <f t="shared" si="44"/>
        <v>104</v>
      </c>
      <c r="O183">
        <f t="shared" si="44"/>
        <v>0</v>
      </c>
      <c r="P183">
        <f t="shared" si="44"/>
        <v>0</v>
      </c>
      <c r="Q183">
        <f t="shared" si="44"/>
        <v>117</v>
      </c>
      <c r="R183">
        <f t="shared" si="40"/>
        <v>0</v>
      </c>
      <c r="S183">
        <f t="shared" si="45"/>
        <v>0</v>
      </c>
      <c r="T183">
        <f t="shared" si="45"/>
        <v>0</v>
      </c>
      <c r="U183">
        <f t="shared" si="45"/>
        <v>0</v>
      </c>
      <c r="V183" s="108">
        <f t="shared" si="37"/>
        <v>221</v>
      </c>
      <c r="W183" s="26">
        <f t="shared" si="38"/>
        <v>1127</v>
      </c>
      <c r="X183">
        <f t="shared" si="39"/>
        <v>0</v>
      </c>
      <c r="Y183">
        <f t="shared" si="41"/>
        <v>9.3916666666666675</v>
      </c>
      <c r="Z183">
        <f t="shared" si="42"/>
        <v>0</v>
      </c>
    </row>
    <row r="184" spans="11:26" x14ac:dyDescent="0.25">
      <c r="K184" s="105">
        <v>151</v>
      </c>
      <c r="L184">
        <f t="shared" ref="L184:Q193" si="46">IF(MID(DEC2BIN($K184,10),L$32,1)="1",L$33,0)</f>
        <v>0</v>
      </c>
      <c r="M184">
        <f t="shared" si="46"/>
        <v>0</v>
      </c>
      <c r="N184">
        <f t="shared" si="46"/>
        <v>104</v>
      </c>
      <c r="O184">
        <f t="shared" si="46"/>
        <v>0</v>
      </c>
      <c r="P184">
        <f t="shared" si="46"/>
        <v>0</v>
      </c>
      <c r="Q184">
        <f t="shared" si="46"/>
        <v>117</v>
      </c>
      <c r="R184">
        <f t="shared" si="40"/>
        <v>0</v>
      </c>
      <c r="S184">
        <f t="shared" si="45"/>
        <v>0</v>
      </c>
      <c r="T184">
        <f t="shared" si="45"/>
        <v>0</v>
      </c>
      <c r="U184">
        <f t="shared" si="45"/>
        <v>0</v>
      </c>
      <c r="V184" s="108">
        <f t="shared" si="37"/>
        <v>221</v>
      </c>
      <c r="W184" s="26">
        <f t="shared" si="38"/>
        <v>1127</v>
      </c>
      <c r="X184">
        <f t="shared" si="39"/>
        <v>0</v>
      </c>
      <c r="Y184">
        <f t="shared" si="41"/>
        <v>9.3916666666666675</v>
      </c>
      <c r="Z184">
        <f t="shared" si="42"/>
        <v>0</v>
      </c>
    </row>
    <row r="185" spans="11:26" x14ac:dyDescent="0.25">
      <c r="K185" s="105">
        <v>152</v>
      </c>
      <c r="L185">
        <f t="shared" si="46"/>
        <v>0</v>
      </c>
      <c r="M185">
        <f t="shared" si="46"/>
        <v>0</v>
      </c>
      <c r="N185">
        <f t="shared" si="46"/>
        <v>104</v>
      </c>
      <c r="O185">
        <f t="shared" si="46"/>
        <v>0</v>
      </c>
      <c r="P185">
        <f t="shared" si="46"/>
        <v>0</v>
      </c>
      <c r="Q185">
        <f t="shared" si="46"/>
        <v>117</v>
      </c>
      <c r="R185">
        <f t="shared" si="40"/>
        <v>0</v>
      </c>
      <c r="S185">
        <f t="shared" si="45"/>
        <v>0</v>
      </c>
      <c r="T185">
        <f t="shared" si="45"/>
        <v>0</v>
      </c>
      <c r="U185">
        <f t="shared" si="45"/>
        <v>0</v>
      </c>
      <c r="V185" s="108">
        <f t="shared" si="37"/>
        <v>221</v>
      </c>
      <c r="W185" s="26">
        <f t="shared" si="38"/>
        <v>1127</v>
      </c>
      <c r="X185">
        <f t="shared" si="39"/>
        <v>0</v>
      </c>
      <c r="Y185">
        <f t="shared" si="41"/>
        <v>9.3916666666666675</v>
      </c>
      <c r="Z185">
        <f t="shared" si="42"/>
        <v>0</v>
      </c>
    </row>
    <row r="186" spans="11:26" x14ac:dyDescent="0.25">
      <c r="K186" s="105">
        <v>153</v>
      </c>
      <c r="L186">
        <f t="shared" si="46"/>
        <v>0</v>
      </c>
      <c r="M186">
        <f t="shared" si="46"/>
        <v>0</v>
      </c>
      <c r="N186">
        <f t="shared" si="46"/>
        <v>104</v>
      </c>
      <c r="O186">
        <f t="shared" si="46"/>
        <v>0</v>
      </c>
      <c r="P186">
        <f t="shared" si="46"/>
        <v>0</v>
      </c>
      <c r="Q186">
        <f t="shared" si="46"/>
        <v>117</v>
      </c>
      <c r="R186">
        <f t="shared" si="40"/>
        <v>0</v>
      </c>
      <c r="S186">
        <f t="shared" si="45"/>
        <v>0</v>
      </c>
      <c r="T186">
        <f t="shared" si="45"/>
        <v>0</v>
      </c>
      <c r="U186">
        <f t="shared" si="45"/>
        <v>0</v>
      </c>
      <c r="V186" s="108">
        <f t="shared" si="37"/>
        <v>221</v>
      </c>
      <c r="W186" s="26">
        <f t="shared" si="38"/>
        <v>1127</v>
      </c>
      <c r="X186">
        <f t="shared" si="39"/>
        <v>0</v>
      </c>
      <c r="Y186">
        <f t="shared" si="41"/>
        <v>9.3916666666666675</v>
      </c>
      <c r="Z186">
        <f t="shared" si="42"/>
        <v>0</v>
      </c>
    </row>
    <row r="187" spans="11:26" x14ac:dyDescent="0.25">
      <c r="K187" s="105">
        <v>154</v>
      </c>
      <c r="L187">
        <f t="shared" si="46"/>
        <v>0</v>
      </c>
      <c r="M187">
        <f t="shared" si="46"/>
        <v>0</v>
      </c>
      <c r="N187">
        <f t="shared" si="46"/>
        <v>104</v>
      </c>
      <c r="O187">
        <f t="shared" si="46"/>
        <v>0</v>
      </c>
      <c r="P187">
        <f t="shared" si="46"/>
        <v>0</v>
      </c>
      <c r="Q187">
        <f t="shared" si="46"/>
        <v>117</v>
      </c>
      <c r="R187">
        <f t="shared" si="40"/>
        <v>0</v>
      </c>
      <c r="S187">
        <f t="shared" si="45"/>
        <v>0</v>
      </c>
      <c r="T187">
        <f t="shared" si="45"/>
        <v>0</v>
      </c>
      <c r="U187">
        <f t="shared" si="45"/>
        <v>0</v>
      </c>
      <c r="V187" s="108">
        <f t="shared" si="37"/>
        <v>221</v>
      </c>
      <c r="W187" s="26">
        <f t="shared" si="38"/>
        <v>1127</v>
      </c>
      <c r="X187">
        <f t="shared" si="39"/>
        <v>0</v>
      </c>
      <c r="Y187">
        <f t="shared" si="41"/>
        <v>9.3916666666666675</v>
      </c>
      <c r="Z187">
        <f t="shared" si="42"/>
        <v>0</v>
      </c>
    </row>
    <row r="188" spans="11:26" x14ac:dyDescent="0.25">
      <c r="K188" s="105">
        <v>155</v>
      </c>
      <c r="L188">
        <f t="shared" si="46"/>
        <v>0</v>
      </c>
      <c r="M188">
        <f t="shared" si="46"/>
        <v>0</v>
      </c>
      <c r="N188">
        <f t="shared" si="46"/>
        <v>104</v>
      </c>
      <c r="O188">
        <f t="shared" si="46"/>
        <v>0</v>
      </c>
      <c r="P188">
        <f t="shared" si="46"/>
        <v>0</v>
      </c>
      <c r="Q188">
        <f t="shared" si="46"/>
        <v>117</v>
      </c>
      <c r="R188">
        <f t="shared" si="40"/>
        <v>0</v>
      </c>
      <c r="S188">
        <f t="shared" si="45"/>
        <v>0</v>
      </c>
      <c r="T188">
        <f t="shared" si="45"/>
        <v>0</v>
      </c>
      <c r="U188">
        <f t="shared" si="45"/>
        <v>0</v>
      </c>
      <c r="V188" s="108">
        <f t="shared" si="37"/>
        <v>221</v>
      </c>
      <c r="W188" s="26">
        <f t="shared" si="38"/>
        <v>1127</v>
      </c>
      <c r="X188">
        <f t="shared" si="39"/>
        <v>0</v>
      </c>
      <c r="Y188">
        <f t="shared" si="41"/>
        <v>9.3916666666666675</v>
      </c>
      <c r="Z188">
        <f t="shared" si="42"/>
        <v>0</v>
      </c>
    </row>
    <row r="189" spans="11:26" x14ac:dyDescent="0.25">
      <c r="K189" s="105">
        <v>156</v>
      </c>
      <c r="L189">
        <f t="shared" si="46"/>
        <v>0</v>
      </c>
      <c r="M189">
        <f t="shared" si="46"/>
        <v>0</v>
      </c>
      <c r="N189">
        <f t="shared" si="46"/>
        <v>104</v>
      </c>
      <c r="O189">
        <f t="shared" si="46"/>
        <v>0</v>
      </c>
      <c r="P189">
        <f t="shared" si="46"/>
        <v>0</v>
      </c>
      <c r="Q189">
        <f t="shared" si="46"/>
        <v>117</v>
      </c>
      <c r="R189">
        <f t="shared" si="40"/>
        <v>0</v>
      </c>
      <c r="S189">
        <f t="shared" si="45"/>
        <v>0</v>
      </c>
      <c r="T189">
        <f t="shared" si="45"/>
        <v>0</v>
      </c>
      <c r="U189">
        <f t="shared" si="45"/>
        <v>0</v>
      </c>
      <c r="V189" s="108">
        <f t="shared" si="37"/>
        <v>221</v>
      </c>
      <c r="W189" s="26">
        <f t="shared" si="38"/>
        <v>1127</v>
      </c>
      <c r="X189">
        <f t="shared" si="39"/>
        <v>0</v>
      </c>
      <c r="Y189">
        <f t="shared" si="41"/>
        <v>9.3916666666666675</v>
      </c>
      <c r="Z189">
        <f t="shared" si="42"/>
        <v>0</v>
      </c>
    </row>
    <row r="190" spans="11:26" x14ac:dyDescent="0.25">
      <c r="K190" s="105">
        <v>157</v>
      </c>
      <c r="L190">
        <f t="shared" si="46"/>
        <v>0</v>
      </c>
      <c r="M190">
        <f t="shared" si="46"/>
        <v>0</v>
      </c>
      <c r="N190">
        <f t="shared" si="46"/>
        <v>104</v>
      </c>
      <c r="O190">
        <f t="shared" si="46"/>
        <v>0</v>
      </c>
      <c r="P190">
        <f t="shared" si="46"/>
        <v>0</v>
      </c>
      <c r="Q190">
        <f t="shared" si="46"/>
        <v>117</v>
      </c>
      <c r="R190">
        <f t="shared" si="40"/>
        <v>0</v>
      </c>
      <c r="S190">
        <f t="shared" si="45"/>
        <v>0</v>
      </c>
      <c r="T190">
        <f t="shared" si="45"/>
        <v>0</v>
      </c>
      <c r="U190">
        <f t="shared" si="45"/>
        <v>0</v>
      </c>
      <c r="V190" s="108">
        <f t="shared" si="37"/>
        <v>221</v>
      </c>
      <c r="W190" s="26">
        <f t="shared" si="38"/>
        <v>1127</v>
      </c>
      <c r="X190">
        <f t="shared" si="39"/>
        <v>0</v>
      </c>
      <c r="Y190">
        <f t="shared" si="41"/>
        <v>9.3916666666666675</v>
      </c>
      <c r="Z190">
        <f t="shared" si="42"/>
        <v>0</v>
      </c>
    </row>
    <row r="191" spans="11:26" x14ac:dyDescent="0.25">
      <c r="K191" s="105">
        <v>158</v>
      </c>
      <c r="L191">
        <f t="shared" si="46"/>
        <v>0</v>
      </c>
      <c r="M191">
        <f t="shared" si="46"/>
        <v>0</v>
      </c>
      <c r="N191">
        <f t="shared" si="46"/>
        <v>104</v>
      </c>
      <c r="O191">
        <f t="shared" si="46"/>
        <v>0</v>
      </c>
      <c r="P191">
        <f t="shared" si="46"/>
        <v>0</v>
      </c>
      <c r="Q191">
        <f t="shared" si="46"/>
        <v>117</v>
      </c>
      <c r="R191">
        <f t="shared" si="40"/>
        <v>0</v>
      </c>
      <c r="S191">
        <f t="shared" si="45"/>
        <v>0</v>
      </c>
      <c r="T191">
        <f t="shared" si="45"/>
        <v>0</v>
      </c>
      <c r="U191">
        <f t="shared" si="45"/>
        <v>0</v>
      </c>
      <c r="V191" s="108">
        <f t="shared" si="37"/>
        <v>221</v>
      </c>
      <c r="W191" s="26">
        <f t="shared" si="38"/>
        <v>1127</v>
      </c>
      <c r="X191">
        <f t="shared" si="39"/>
        <v>0</v>
      </c>
      <c r="Y191">
        <f t="shared" si="41"/>
        <v>9.3916666666666675</v>
      </c>
      <c r="Z191">
        <f t="shared" si="42"/>
        <v>0</v>
      </c>
    </row>
    <row r="192" spans="11:26" x14ac:dyDescent="0.25">
      <c r="K192" s="105">
        <v>159</v>
      </c>
      <c r="L192">
        <f t="shared" si="46"/>
        <v>0</v>
      </c>
      <c r="M192">
        <f t="shared" si="46"/>
        <v>0</v>
      </c>
      <c r="N192">
        <f t="shared" si="46"/>
        <v>104</v>
      </c>
      <c r="O192">
        <f t="shared" si="46"/>
        <v>0</v>
      </c>
      <c r="P192">
        <f t="shared" si="46"/>
        <v>0</v>
      </c>
      <c r="Q192">
        <f t="shared" si="46"/>
        <v>117</v>
      </c>
      <c r="R192">
        <f t="shared" si="40"/>
        <v>0</v>
      </c>
      <c r="S192">
        <f t="shared" si="45"/>
        <v>0</v>
      </c>
      <c r="T192">
        <f t="shared" si="45"/>
        <v>0</v>
      </c>
      <c r="U192">
        <f t="shared" si="45"/>
        <v>0</v>
      </c>
      <c r="V192" s="108">
        <f t="shared" si="37"/>
        <v>221</v>
      </c>
      <c r="W192" s="26">
        <f t="shared" si="38"/>
        <v>1127</v>
      </c>
      <c r="X192">
        <f t="shared" si="39"/>
        <v>0</v>
      </c>
      <c r="Y192">
        <f t="shared" si="41"/>
        <v>9.3916666666666675</v>
      </c>
      <c r="Z192">
        <f t="shared" si="42"/>
        <v>0</v>
      </c>
    </row>
    <row r="193" spans="11:26" x14ac:dyDescent="0.25">
      <c r="K193" s="105">
        <v>160</v>
      </c>
      <c r="L193">
        <f t="shared" si="46"/>
        <v>0</v>
      </c>
      <c r="M193">
        <f t="shared" si="46"/>
        <v>0</v>
      </c>
      <c r="N193">
        <f t="shared" si="46"/>
        <v>104</v>
      </c>
      <c r="O193">
        <f t="shared" si="46"/>
        <v>0</v>
      </c>
      <c r="P193">
        <f t="shared" si="46"/>
        <v>89</v>
      </c>
      <c r="Q193">
        <f t="shared" si="46"/>
        <v>0</v>
      </c>
      <c r="R193">
        <f t="shared" si="40"/>
        <v>0</v>
      </c>
      <c r="S193">
        <f t="shared" si="45"/>
        <v>0</v>
      </c>
      <c r="T193">
        <f t="shared" si="45"/>
        <v>0</v>
      </c>
      <c r="U193">
        <f t="shared" si="45"/>
        <v>0</v>
      </c>
      <c r="V193" s="108">
        <f t="shared" si="37"/>
        <v>193</v>
      </c>
      <c r="W193" s="26">
        <f t="shared" si="38"/>
        <v>1155</v>
      </c>
      <c r="X193">
        <f t="shared" si="39"/>
        <v>0</v>
      </c>
      <c r="Y193">
        <f t="shared" si="41"/>
        <v>9.625</v>
      </c>
      <c r="Z193">
        <f t="shared" si="42"/>
        <v>0</v>
      </c>
    </row>
    <row r="194" spans="11:26" x14ac:dyDescent="0.25">
      <c r="K194" s="105">
        <v>161</v>
      </c>
      <c r="L194">
        <f t="shared" ref="L194:Q203" si="47">IF(MID(DEC2BIN($K194,10),L$32,1)="1",L$33,0)</f>
        <v>0</v>
      </c>
      <c r="M194">
        <f t="shared" si="47"/>
        <v>0</v>
      </c>
      <c r="N194">
        <f t="shared" si="47"/>
        <v>104</v>
      </c>
      <c r="O194">
        <f t="shared" si="47"/>
        <v>0</v>
      </c>
      <c r="P194">
        <f t="shared" si="47"/>
        <v>89</v>
      </c>
      <c r="Q194">
        <f t="shared" si="47"/>
        <v>0</v>
      </c>
      <c r="R194">
        <f t="shared" si="40"/>
        <v>0</v>
      </c>
      <c r="S194">
        <f t="shared" ref="S194:U213" si="48">IF(MID(DEC2BIN($K194,10),S$32,1)="1",S$33,0)</f>
        <v>0</v>
      </c>
      <c r="T194">
        <f t="shared" si="48"/>
        <v>0</v>
      </c>
      <c r="U194">
        <f t="shared" si="48"/>
        <v>0</v>
      </c>
      <c r="V194" s="108">
        <f t="shared" si="37"/>
        <v>193</v>
      </c>
      <c r="W194" s="26">
        <f t="shared" si="38"/>
        <v>1155</v>
      </c>
      <c r="X194">
        <f t="shared" si="39"/>
        <v>0</v>
      </c>
      <c r="Y194">
        <f t="shared" si="41"/>
        <v>9.625</v>
      </c>
      <c r="Z194">
        <f t="shared" si="42"/>
        <v>0</v>
      </c>
    </row>
    <row r="195" spans="11:26" x14ac:dyDescent="0.25">
      <c r="K195" s="105">
        <v>162</v>
      </c>
      <c r="L195">
        <f t="shared" si="47"/>
        <v>0</v>
      </c>
      <c r="M195">
        <f t="shared" si="47"/>
        <v>0</v>
      </c>
      <c r="N195">
        <f t="shared" si="47"/>
        <v>104</v>
      </c>
      <c r="O195">
        <f t="shared" si="47"/>
        <v>0</v>
      </c>
      <c r="P195">
        <f t="shared" si="47"/>
        <v>89</v>
      </c>
      <c r="Q195">
        <f t="shared" si="47"/>
        <v>0</v>
      </c>
      <c r="R195">
        <f t="shared" si="40"/>
        <v>0</v>
      </c>
      <c r="S195">
        <f t="shared" si="48"/>
        <v>0</v>
      </c>
      <c r="T195">
        <f t="shared" si="48"/>
        <v>0</v>
      </c>
      <c r="U195">
        <f t="shared" si="48"/>
        <v>0</v>
      </c>
      <c r="V195" s="108">
        <f t="shared" si="37"/>
        <v>193</v>
      </c>
      <c r="W195" s="26">
        <f t="shared" si="38"/>
        <v>1155</v>
      </c>
      <c r="X195">
        <f t="shared" si="39"/>
        <v>0</v>
      </c>
      <c r="Y195">
        <f t="shared" si="41"/>
        <v>9.625</v>
      </c>
      <c r="Z195">
        <f t="shared" si="42"/>
        <v>0</v>
      </c>
    </row>
    <row r="196" spans="11:26" x14ac:dyDescent="0.25">
      <c r="K196" s="105">
        <v>163</v>
      </c>
      <c r="L196">
        <f t="shared" si="47"/>
        <v>0</v>
      </c>
      <c r="M196">
        <f t="shared" si="47"/>
        <v>0</v>
      </c>
      <c r="N196">
        <f t="shared" si="47"/>
        <v>104</v>
      </c>
      <c r="O196">
        <f t="shared" si="47"/>
        <v>0</v>
      </c>
      <c r="P196">
        <f t="shared" si="47"/>
        <v>89</v>
      </c>
      <c r="Q196">
        <f t="shared" si="47"/>
        <v>0</v>
      </c>
      <c r="R196">
        <f t="shared" si="40"/>
        <v>0</v>
      </c>
      <c r="S196">
        <f t="shared" si="48"/>
        <v>0</v>
      </c>
      <c r="T196">
        <f t="shared" si="48"/>
        <v>0</v>
      </c>
      <c r="U196">
        <f t="shared" si="48"/>
        <v>0</v>
      </c>
      <c r="V196" s="108">
        <f t="shared" si="37"/>
        <v>193</v>
      </c>
      <c r="W196" s="26">
        <f t="shared" si="38"/>
        <v>1155</v>
      </c>
      <c r="X196">
        <f t="shared" si="39"/>
        <v>0</v>
      </c>
      <c r="Y196">
        <f t="shared" si="41"/>
        <v>9.625</v>
      </c>
      <c r="Z196">
        <f t="shared" si="42"/>
        <v>0</v>
      </c>
    </row>
    <row r="197" spans="11:26" x14ac:dyDescent="0.25">
      <c r="K197" s="105">
        <v>164</v>
      </c>
      <c r="L197">
        <f t="shared" si="47"/>
        <v>0</v>
      </c>
      <c r="M197">
        <f t="shared" si="47"/>
        <v>0</v>
      </c>
      <c r="N197">
        <f t="shared" si="47"/>
        <v>104</v>
      </c>
      <c r="O197">
        <f t="shared" si="47"/>
        <v>0</v>
      </c>
      <c r="P197">
        <f t="shared" si="47"/>
        <v>89</v>
      </c>
      <c r="Q197">
        <f t="shared" si="47"/>
        <v>0</v>
      </c>
      <c r="R197">
        <f t="shared" si="40"/>
        <v>0</v>
      </c>
      <c r="S197">
        <f t="shared" si="48"/>
        <v>0</v>
      </c>
      <c r="T197">
        <f t="shared" si="48"/>
        <v>0</v>
      </c>
      <c r="U197">
        <f t="shared" si="48"/>
        <v>0</v>
      </c>
      <c r="V197" s="108">
        <f t="shared" si="37"/>
        <v>193</v>
      </c>
      <c r="W197" s="26">
        <f t="shared" si="38"/>
        <v>1155</v>
      </c>
      <c r="X197">
        <f t="shared" si="39"/>
        <v>0</v>
      </c>
      <c r="Y197">
        <f t="shared" si="41"/>
        <v>9.625</v>
      </c>
      <c r="Z197">
        <f t="shared" si="42"/>
        <v>0</v>
      </c>
    </row>
    <row r="198" spans="11:26" x14ac:dyDescent="0.25">
      <c r="K198" s="105">
        <v>165</v>
      </c>
      <c r="L198">
        <f t="shared" si="47"/>
        <v>0</v>
      </c>
      <c r="M198">
        <f t="shared" si="47"/>
        <v>0</v>
      </c>
      <c r="N198">
        <f t="shared" si="47"/>
        <v>104</v>
      </c>
      <c r="O198">
        <f t="shared" si="47"/>
        <v>0</v>
      </c>
      <c r="P198">
        <f t="shared" si="47"/>
        <v>89</v>
      </c>
      <c r="Q198">
        <f t="shared" si="47"/>
        <v>0</v>
      </c>
      <c r="R198">
        <f t="shared" si="40"/>
        <v>0</v>
      </c>
      <c r="S198">
        <f t="shared" si="48"/>
        <v>0</v>
      </c>
      <c r="T198">
        <f t="shared" si="48"/>
        <v>0</v>
      </c>
      <c r="U198">
        <f t="shared" si="48"/>
        <v>0</v>
      </c>
      <c r="V198" s="108">
        <f t="shared" si="37"/>
        <v>193</v>
      </c>
      <c r="W198" s="26">
        <f t="shared" si="38"/>
        <v>1155</v>
      </c>
      <c r="X198">
        <f t="shared" si="39"/>
        <v>0</v>
      </c>
      <c r="Y198">
        <f t="shared" si="41"/>
        <v>9.625</v>
      </c>
      <c r="Z198">
        <f t="shared" si="42"/>
        <v>0</v>
      </c>
    </row>
    <row r="199" spans="11:26" x14ac:dyDescent="0.25">
      <c r="K199" s="105">
        <v>166</v>
      </c>
      <c r="L199">
        <f t="shared" si="47"/>
        <v>0</v>
      </c>
      <c r="M199">
        <f t="shared" si="47"/>
        <v>0</v>
      </c>
      <c r="N199">
        <f t="shared" si="47"/>
        <v>104</v>
      </c>
      <c r="O199">
        <f t="shared" si="47"/>
        <v>0</v>
      </c>
      <c r="P199">
        <f t="shared" si="47"/>
        <v>89</v>
      </c>
      <c r="Q199">
        <f t="shared" si="47"/>
        <v>0</v>
      </c>
      <c r="R199">
        <f t="shared" si="40"/>
        <v>0</v>
      </c>
      <c r="S199">
        <f t="shared" si="48"/>
        <v>0</v>
      </c>
      <c r="T199">
        <f t="shared" si="48"/>
        <v>0</v>
      </c>
      <c r="U199">
        <f t="shared" si="48"/>
        <v>0</v>
      </c>
      <c r="V199" s="108">
        <f t="shared" si="37"/>
        <v>193</v>
      </c>
      <c r="W199" s="26">
        <f t="shared" si="38"/>
        <v>1155</v>
      </c>
      <c r="X199">
        <f t="shared" si="39"/>
        <v>0</v>
      </c>
      <c r="Y199">
        <f t="shared" si="41"/>
        <v>9.625</v>
      </c>
      <c r="Z199">
        <f t="shared" si="42"/>
        <v>0</v>
      </c>
    </row>
    <row r="200" spans="11:26" x14ac:dyDescent="0.25">
      <c r="K200" s="105">
        <v>167</v>
      </c>
      <c r="L200">
        <f t="shared" si="47"/>
        <v>0</v>
      </c>
      <c r="M200">
        <f t="shared" si="47"/>
        <v>0</v>
      </c>
      <c r="N200">
        <f t="shared" si="47"/>
        <v>104</v>
      </c>
      <c r="O200">
        <f t="shared" si="47"/>
        <v>0</v>
      </c>
      <c r="P200">
        <f t="shared" si="47"/>
        <v>89</v>
      </c>
      <c r="Q200">
        <f t="shared" si="47"/>
        <v>0</v>
      </c>
      <c r="R200">
        <f t="shared" si="40"/>
        <v>0</v>
      </c>
      <c r="S200">
        <f t="shared" si="48"/>
        <v>0</v>
      </c>
      <c r="T200">
        <f t="shared" si="48"/>
        <v>0</v>
      </c>
      <c r="U200">
        <f t="shared" si="48"/>
        <v>0</v>
      </c>
      <c r="V200" s="108">
        <f t="shared" si="37"/>
        <v>193</v>
      </c>
      <c r="W200" s="26">
        <f t="shared" si="38"/>
        <v>1155</v>
      </c>
      <c r="X200">
        <f t="shared" si="39"/>
        <v>0</v>
      </c>
      <c r="Y200">
        <f t="shared" si="41"/>
        <v>9.625</v>
      </c>
      <c r="Z200">
        <f t="shared" si="42"/>
        <v>0</v>
      </c>
    </row>
    <row r="201" spans="11:26" x14ac:dyDescent="0.25">
      <c r="K201" s="105">
        <v>168</v>
      </c>
      <c r="L201">
        <f t="shared" si="47"/>
        <v>0</v>
      </c>
      <c r="M201">
        <f t="shared" si="47"/>
        <v>0</v>
      </c>
      <c r="N201">
        <f t="shared" si="47"/>
        <v>104</v>
      </c>
      <c r="O201">
        <f t="shared" si="47"/>
        <v>0</v>
      </c>
      <c r="P201">
        <f t="shared" si="47"/>
        <v>89</v>
      </c>
      <c r="Q201">
        <f t="shared" si="47"/>
        <v>0</v>
      </c>
      <c r="R201">
        <f t="shared" si="40"/>
        <v>0</v>
      </c>
      <c r="S201">
        <f t="shared" si="48"/>
        <v>0</v>
      </c>
      <c r="T201">
        <f t="shared" si="48"/>
        <v>0</v>
      </c>
      <c r="U201">
        <f t="shared" si="48"/>
        <v>0</v>
      </c>
      <c r="V201" s="108">
        <f t="shared" si="37"/>
        <v>193</v>
      </c>
      <c r="W201" s="26">
        <f t="shared" si="38"/>
        <v>1155</v>
      </c>
      <c r="X201">
        <f t="shared" si="39"/>
        <v>0</v>
      </c>
      <c r="Y201">
        <f t="shared" si="41"/>
        <v>9.625</v>
      </c>
      <c r="Z201">
        <f t="shared" si="42"/>
        <v>0</v>
      </c>
    </row>
    <row r="202" spans="11:26" x14ac:dyDescent="0.25">
      <c r="K202" s="105">
        <v>169</v>
      </c>
      <c r="L202">
        <f t="shared" si="47"/>
        <v>0</v>
      </c>
      <c r="M202">
        <f t="shared" si="47"/>
        <v>0</v>
      </c>
      <c r="N202">
        <f t="shared" si="47"/>
        <v>104</v>
      </c>
      <c r="O202">
        <f t="shared" si="47"/>
        <v>0</v>
      </c>
      <c r="P202">
        <f t="shared" si="47"/>
        <v>89</v>
      </c>
      <c r="Q202">
        <f t="shared" si="47"/>
        <v>0</v>
      </c>
      <c r="R202">
        <f t="shared" si="40"/>
        <v>0</v>
      </c>
      <c r="S202">
        <f t="shared" si="48"/>
        <v>0</v>
      </c>
      <c r="T202">
        <f t="shared" si="48"/>
        <v>0</v>
      </c>
      <c r="U202">
        <f t="shared" si="48"/>
        <v>0</v>
      </c>
      <c r="V202" s="108">
        <f t="shared" si="37"/>
        <v>193</v>
      </c>
      <c r="W202" s="26">
        <f t="shared" si="38"/>
        <v>1155</v>
      </c>
      <c r="X202">
        <f t="shared" si="39"/>
        <v>0</v>
      </c>
      <c r="Y202">
        <f t="shared" si="41"/>
        <v>9.625</v>
      </c>
      <c r="Z202">
        <f t="shared" si="42"/>
        <v>0</v>
      </c>
    </row>
    <row r="203" spans="11:26" x14ac:dyDescent="0.25">
      <c r="K203" s="105">
        <v>170</v>
      </c>
      <c r="L203">
        <f t="shared" si="47"/>
        <v>0</v>
      </c>
      <c r="M203">
        <f t="shared" si="47"/>
        <v>0</v>
      </c>
      <c r="N203">
        <f t="shared" si="47"/>
        <v>104</v>
      </c>
      <c r="O203">
        <f t="shared" si="47"/>
        <v>0</v>
      </c>
      <c r="P203">
        <f t="shared" si="47"/>
        <v>89</v>
      </c>
      <c r="Q203">
        <f t="shared" si="47"/>
        <v>0</v>
      </c>
      <c r="R203">
        <f t="shared" si="40"/>
        <v>0</v>
      </c>
      <c r="S203">
        <f t="shared" si="48"/>
        <v>0</v>
      </c>
      <c r="T203">
        <f t="shared" si="48"/>
        <v>0</v>
      </c>
      <c r="U203">
        <f t="shared" si="48"/>
        <v>0</v>
      </c>
      <c r="V203" s="108">
        <f t="shared" si="37"/>
        <v>193</v>
      </c>
      <c r="W203" s="26">
        <f t="shared" si="38"/>
        <v>1155</v>
      </c>
      <c r="X203">
        <f t="shared" si="39"/>
        <v>0</v>
      </c>
      <c r="Y203">
        <f t="shared" si="41"/>
        <v>9.625</v>
      </c>
      <c r="Z203">
        <f t="shared" si="42"/>
        <v>0</v>
      </c>
    </row>
    <row r="204" spans="11:26" x14ac:dyDescent="0.25">
      <c r="K204" s="105">
        <v>171</v>
      </c>
      <c r="L204">
        <f t="shared" ref="L204:Q213" si="49">IF(MID(DEC2BIN($K204,10),L$32,1)="1",L$33,0)</f>
        <v>0</v>
      </c>
      <c r="M204">
        <f t="shared" si="49"/>
        <v>0</v>
      </c>
      <c r="N204">
        <f t="shared" si="49"/>
        <v>104</v>
      </c>
      <c r="O204">
        <f t="shared" si="49"/>
        <v>0</v>
      </c>
      <c r="P204">
        <f t="shared" si="49"/>
        <v>89</v>
      </c>
      <c r="Q204">
        <f t="shared" si="49"/>
        <v>0</v>
      </c>
      <c r="R204">
        <f t="shared" si="40"/>
        <v>0</v>
      </c>
      <c r="S204">
        <f t="shared" si="48"/>
        <v>0</v>
      </c>
      <c r="T204">
        <f t="shared" si="48"/>
        <v>0</v>
      </c>
      <c r="U204">
        <f t="shared" si="48"/>
        <v>0</v>
      </c>
      <c r="V204" s="108">
        <f t="shared" si="37"/>
        <v>193</v>
      </c>
      <c r="W204" s="26">
        <f t="shared" si="38"/>
        <v>1155</v>
      </c>
      <c r="X204">
        <f t="shared" si="39"/>
        <v>0</v>
      </c>
      <c r="Y204">
        <f t="shared" si="41"/>
        <v>9.625</v>
      </c>
      <c r="Z204">
        <f t="shared" si="42"/>
        <v>0</v>
      </c>
    </row>
    <row r="205" spans="11:26" x14ac:dyDescent="0.25">
      <c r="K205" s="105">
        <v>172</v>
      </c>
      <c r="L205">
        <f t="shared" si="49"/>
        <v>0</v>
      </c>
      <c r="M205">
        <f t="shared" si="49"/>
        <v>0</v>
      </c>
      <c r="N205">
        <f t="shared" si="49"/>
        <v>104</v>
      </c>
      <c r="O205">
        <f t="shared" si="49"/>
        <v>0</v>
      </c>
      <c r="P205">
        <f t="shared" si="49"/>
        <v>89</v>
      </c>
      <c r="Q205">
        <f t="shared" si="49"/>
        <v>0</v>
      </c>
      <c r="R205">
        <f t="shared" si="40"/>
        <v>0</v>
      </c>
      <c r="S205">
        <f t="shared" si="48"/>
        <v>0</v>
      </c>
      <c r="T205">
        <f t="shared" si="48"/>
        <v>0</v>
      </c>
      <c r="U205">
        <f t="shared" si="48"/>
        <v>0</v>
      </c>
      <c r="V205" s="108">
        <f t="shared" si="37"/>
        <v>193</v>
      </c>
      <c r="W205" s="26">
        <f t="shared" si="38"/>
        <v>1155</v>
      </c>
      <c r="X205">
        <f t="shared" si="39"/>
        <v>0</v>
      </c>
      <c r="Y205">
        <f t="shared" si="41"/>
        <v>9.625</v>
      </c>
      <c r="Z205">
        <f t="shared" si="42"/>
        <v>0</v>
      </c>
    </row>
    <row r="206" spans="11:26" x14ac:dyDescent="0.25">
      <c r="K206" s="105">
        <v>173</v>
      </c>
      <c r="L206">
        <f t="shared" si="49"/>
        <v>0</v>
      </c>
      <c r="M206">
        <f t="shared" si="49"/>
        <v>0</v>
      </c>
      <c r="N206">
        <f t="shared" si="49"/>
        <v>104</v>
      </c>
      <c r="O206">
        <f t="shared" si="49"/>
        <v>0</v>
      </c>
      <c r="P206">
        <f t="shared" si="49"/>
        <v>89</v>
      </c>
      <c r="Q206">
        <f t="shared" si="49"/>
        <v>0</v>
      </c>
      <c r="R206">
        <f t="shared" si="40"/>
        <v>0</v>
      </c>
      <c r="S206">
        <f t="shared" si="48"/>
        <v>0</v>
      </c>
      <c r="T206">
        <f t="shared" si="48"/>
        <v>0</v>
      </c>
      <c r="U206">
        <f t="shared" si="48"/>
        <v>0</v>
      </c>
      <c r="V206" s="108">
        <f t="shared" si="37"/>
        <v>193</v>
      </c>
      <c r="W206" s="26">
        <f t="shared" si="38"/>
        <v>1155</v>
      </c>
      <c r="X206">
        <f t="shared" si="39"/>
        <v>0</v>
      </c>
      <c r="Y206">
        <f t="shared" si="41"/>
        <v>9.625</v>
      </c>
      <c r="Z206">
        <f t="shared" si="42"/>
        <v>0</v>
      </c>
    </row>
    <row r="207" spans="11:26" x14ac:dyDescent="0.25">
      <c r="K207" s="105">
        <v>174</v>
      </c>
      <c r="L207">
        <f t="shared" si="49"/>
        <v>0</v>
      </c>
      <c r="M207">
        <f t="shared" si="49"/>
        <v>0</v>
      </c>
      <c r="N207">
        <f t="shared" si="49"/>
        <v>104</v>
      </c>
      <c r="O207">
        <f t="shared" si="49"/>
        <v>0</v>
      </c>
      <c r="P207">
        <f t="shared" si="49"/>
        <v>89</v>
      </c>
      <c r="Q207">
        <f t="shared" si="49"/>
        <v>0</v>
      </c>
      <c r="R207">
        <f t="shared" si="40"/>
        <v>0</v>
      </c>
      <c r="S207">
        <f t="shared" si="48"/>
        <v>0</v>
      </c>
      <c r="T207">
        <f t="shared" si="48"/>
        <v>0</v>
      </c>
      <c r="U207">
        <f t="shared" si="48"/>
        <v>0</v>
      </c>
      <c r="V207" s="108">
        <f t="shared" si="37"/>
        <v>193</v>
      </c>
      <c r="W207" s="26">
        <f t="shared" si="38"/>
        <v>1155</v>
      </c>
      <c r="X207">
        <f t="shared" si="39"/>
        <v>0</v>
      </c>
      <c r="Y207">
        <f t="shared" si="41"/>
        <v>9.625</v>
      </c>
      <c r="Z207">
        <f t="shared" si="42"/>
        <v>0</v>
      </c>
    </row>
    <row r="208" spans="11:26" x14ac:dyDescent="0.25">
      <c r="K208" s="105">
        <v>175</v>
      </c>
      <c r="L208">
        <f t="shared" si="49"/>
        <v>0</v>
      </c>
      <c r="M208">
        <f t="shared" si="49"/>
        <v>0</v>
      </c>
      <c r="N208">
        <f t="shared" si="49"/>
        <v>104</v>
      </c>
      <c r="O208">
        <f t="shared" si="49"/>
        <v>0</v>
      </c>
      <c r="P208">
        <f t="shared" si="49"/>
        <v>89</v>
      </c>
      <c r="Q208">
        <f t="shared" si="49"/>
        <v>0</v>
      </c>
      <c r="R208">
        <f t="shared" si="40"/>
        <v>0</v>
      </c>
      <c r="S208">
        <f t="shared" si="48"/>
        <v>0</v>
      </c>
      <c r="T208">
        <f t="shared" si="48"/>
        <v>0</v>
      </c>
      <c r="U208">
        <f t="shared" si="48"/>
        <v>0</v>
      </c>
      <c r="V208" s="108">
        <f t="shared" si="37"/>
        <v>193</v>
      </c>
      <c r="W208" s="26">
        <f t="shared" si="38"/>
        <v>1155</v>
      </c>
      <c r="X208">
        <f t="shared" si="39"/>
        <v>0</v>
      </c>
      <c r="Y208">
        <f t="shared" si="41"/>
        <v>9.625</v>
      </c>
      <c r="Z208">
        <f t="shared" si="42"/>
        <v>0</v>
      </c>
    </row>
    <row r="209" spans="11:26" x14ac:dyDescent="0.25">
      <c r="K209" s="105">
        <v>176</v>
      </c>
      <c r="L209">
        <f t="shared" si="49"/>
        <v>0</v>
      </c>
      <c r="M209">
        <f t="shared" si="49"/>
        <v>0</v>
      </c>
      <c r="N209">
        <f t="shared" si="49"/>
        <v>104</v>
      </c>
      <c r="O209">
        <f t="shared" si="49"/>
        <v>0</v>
      </c>
      <c r="P209">
        <f t="shared" si="49"/>
        <v>89</v>
      </c>
      <c r="Q209">
        <f t="shared" si="49"/>
        <v>117</v>
      </c>
      <c r="R209">
        <f t="shared" si="40"/>
        <v>0</v>
      </c>
      <c r="S209">
        <f t="shared" si="48"/>
        <v>0</v>
      </c>
      <c r="T209">
        <f t="shared" si="48"/>
        <v>0</v>
      </c>
      <c r="U209">
        <f t="shared" si="48"/>
        <v>0</v>
      </c>
      <c r="V209" s="108">
        <f t="shared" si="37"/>
        <v>310</v>
      </c>
      <c r="W209" s="26">
        <f t="shared" si="38"/>
        <v>1038</v>
      </c>
      <c r="X209">
        <f t="shared" si="39"/>
        <v>0</v>
      </c>
      <c r="Y209">
        <f t="shared" si="41"/>
        <v>8.65</v>
      </c>
      <c r="Z209">
        <f t="shared" si="42"/>
        <v>0</v>
      </c>
    </row>
    <row r="210" spans="11:26" x14ac:dyDescent="0.25">
      <c r="K210" s="105">
        <v>177</v>
      </c>
      <c r="L210">
        <f t="shared" si="49"/>
        <v>0</v>
      </c>
      <c r="M210">
        <f t="shared" si="49"/>
        <v>0</v>
      </c>
      <c r="N210">
        <f t="shared" si="49"/>
        <v>104</v>
      </c>
      <c r="O210">
        <f t="shared" si="49"/>
        <v>0</v>
      </c>
      <c r="P210">
        <f t="shared" si="49"/>
        <v>89</v>
      </c>
      <c r="Q210">
        <f t="shared" si="49"/>
        <v>117</v>
      </c>
      <c r="R210">
        <f t="shared" si="40"/>
        <v>0</v>
      </c>
      <c r="S210">
        <f t="shared" si="48"/>
        <v>0</v>
      </c>
      <c r="T210">
        <f t="shared" si="48"/>
        <v>0</v>
      </c>
      <c r="U210">
        <f t="shared" si="48"/>
        <v>0</v>
      </c>
      <c r="V210" s="108">
        <f t="shared" si="37"/>
        <v>310</v>
      </c>
      <c r="W210" s="26">
        <f t="shared" si="38"/>
        <v>1038</v>
      </c>
      <c r="X210">
        <f t="shared" si="39"/>
        <v>0</v>
      </c>
      <c r="Y210">
        <f t="shared" si="41"/>
        <v>8.65</v>
      </c>
      <c r="Z210">
        <f t="shared" si="42"/>
        <v>0</v>
      </c>
    </row>
    <row r="211" spans="11:26" x14ac:dyDescent="0.25">
      <c r="K211" s="105">
        <v>178</v>
      </c>
      <c r="L211">
        <f t="shared" si="49"/>
        <v>0</v>
      </c>
      <c r="M211">
        <f t="shared" si="49"/>
        <v>0</v>
      </c>
      <c r="N211">
        <f t="shared" si="49"/>
        <v>104</v>
      </c>
      <c r="O211">
        <f t="shared" si="49"/>
        <v>0</v>
      </c>
      <c r="P211">
        <f t="shared" si="49"/>
        <v>89</v>
      </c>
      <c r="Q211">
        <f t="shared" si="49"/>
        <v>117</v>
      </c>
      <c r="R211">
        <f t="shared" si="40"/>
        <v>0</v>
      </c>
      <c r="S211">
        <f t="shared" si="48"/>
        <v>0</v>
      </c>
      <c r="T211">
        <f t="shared" si="48"/>
        <v>0</v>
      </c>
      <c r="U211">
        <f t="shared" si="48"/>
        <v>0</v>
      </c>
      <c r="V211" s="108">
        <f t="shared" si="37"/>
        <v>310</v>
      </c>
      <c r="W211" s="26">
        <f t="shared" si="38"/>
        <v>1038</v>
      </c>
      <c r="X211">
        <f t="shared" si="39"/>
        <v>0</v>
      </c>
      <c r="Y211">
        <f t="shared" si="41"/>
        <v>8.65</v>
      </c>
      <c r="Z211">
        <f t="shared" si="42"/>
        <v>0</v>
      </c>
    </row>
    <row r="212" spans="11:26" x14ac:dyDescent="0.25">
      <c r="K212" s="105">
        <v>179</v>
      </c>
      <c r="L212">
        <f t="shared" si="49"/>
        <v>0</v>
      </c>
      <c r="M212">
        <f t="shared" si="49"/>
        <v>0</v>
      </c>
      <c r="N212">
        <f t="shared" si="49"/>
        <v>104</v>
      </c>
      <c r="O212">
        <f t="shared" si="49"/>
        <v>0</v>
      </c>
      <c r="P212">
        <f t="shared" si="49"/>
        <v>89</v>
      </c>
      <c r="Q212">
        <f t="shared" si="49"/>
        <v>117</v>
      </c>
      <c r="R212">
        <f t="shared" si="40"/>
        <v>0</v>
      </c>
      <c r="S212">
        <f t="shared" si="48"/>
        <v>0</v>
      </c>
      <c r="T212">
        <f t="shared" si="48"/>
        <v>0</v>
      </c>
      <c r="U212">
        <f t="shared" si="48"/>
        <v>0</v>
      </c>
      <c r="V212" s="108">
        <f t="shared" si="37"/>
        <v>310</v>
      </c>
      <c r="W212" s="26">
        <f t="shared" si="38"/>
        <v>1038</v>
      </c>
      <c r="X212">
        <f t="shared" si="39"/>
        <v>0</v>
      </c>
      <c r="Y212">
        <f t="shared" si="41"/>
        <v>8.65</v>
      </c>
      <c r="Z212">
        <f t="shared" si="42"/>
        <v>0</v>
      </c>
    </row>
    <row r="213" spans="11:26" x14ac:dyDescent="0.25">
      <c r="K213" s="105">
        <v>180</v>
      </c>
      <c r="L213">
        <f t="shared" si="49"/>
        <v>0</v>
      </c>
      <c r="M213">
        <f t="shared" si="49"/>
        <v>0</v>
      </c>
      <c r="N213">
        <f t="shared" si="49"/>
        <v>104</v>
      </c>
      <c r="O213">
        <f t="shared" si="49"/>
        <v>0</v>
      </c>
      <c r="P213">
        <f t="shared" si="49"/>
        <v>89</v>
      </c>
      <c r="Q213">
        <f t="shared" si="49"/>
        <v>117</v>
      </c>
      <c r="R213">
        <f t="shared" si="40"/>
        <v>0</v>
      </c>
      <c r="S213">
        <f t="shared" si="48"/>
        <v>0</v>
      </c>
      <c r="T213">
        <f t="shared" si="48"/>
        <v>0</v>
      </c>
      <c r="U213">
        <f t="shared" si="48"/>
        <v>0</v>
      </c>
      <c r="V213" s="108">
        <f t="shared" si="37"/>
        <v>310</v>
      </c>
      <c r="W213" s="26">
        <f t="shared" si="38"/>
        <v>1038</v>
      </c>
      <c r="X213">
        <f t="shared" si="39"/>
        <v>0</v>
      </c>
      <c r="Y213">
        <f t="shared" si="41"/>
        <v>8.65</v>
      </c>
      <c r="Z213">
        <f t="shared" si="42"/>
        <v>0</v>
      </c>
    </row>
    <row r="214" spans="11:26" x14ac:dyDescent="0.25">
      <c r="K214" s="105">
        <v>181</v>
      </c>
      <c r="L214">
        <f t="shared" ref="L214:Q223" si="50">IF(MID(DEC2BIN($K214,10),L$32,1)="1",L$33,0)</f>
        <v>0</v>
      </c>
      <c r="M214">
        <f t="shared" si="50"/>
        <v>0</v>
      </c>
      <c r="N214">
        <f t="shared" si="50"/>
        <v>104</v>
      </c>
      <c r="O214">
        <f t="shared" si="50"/>
        <v>0</v>
      </c>
      <c r="P214">
        <f t="shared" si="50"/>
        <v>89</v>
      </c>
      <c r="Q214">
        <f t="shared" si="50"/>
        <v>117</v>
      </c>
      <c r="R214">
        <f t="shared" si="40"/>
        <v>0</v>
      </c>
      <c r="S214">
        <f t="shared" ref="S214:U233" si="51">IF(MID(DEC2BIN($K214,10),S$32,1)="1",S$33,0)</f>
        <v>0</v>
      </c>
      <c r="T214">
        <f t="shared" si="51"/>
        <v>0</v>
      </c>
      <c r="U214">
        <f t="shared" si="51"/>
        <v>0</v>
      </c>
      <c r="V214" s="108">
        <f t="shared" si="37"/>
        <v>310</v>
      </c>
      <c r="W214" s="26">
        <f t="shared" si="38"/>
        <v>1038</v>
      </c>
      <c r="X214">
        <f t="shared" si="39"/>
        <v>0</v>
      </c>
      <c r="Y214">
        <f t="shared" si="41"/>
        <v>8.65</v>
      </c>
      <c r="Z214">
        <f t="shared" si="42"/>
        <v>0</v>
      </c>
    </row>
    <row r="215" spans="11:26" x14ac:dyDescent="0.25">
      <c r="K215" s="105">
        <v>182</v>
      </c>
      <c r="L215">
        <f t="shared" si="50"/>
        <v>0</v>
      </c>
      <c r="M215">
        <f t="shared" si="50"/>
        <v>0</v>
      </c>
      <c r="N215">
        <f t="shared" si="50"/>
        <v>104</v>
      </c>
      <c r="O215">
        <f t="shared" si="50"/>
        <v>0</v>
      </c>
      <c r="P215">
        <f t="shared" si="50"/>
        <v>89</v>
      </c>
      <c r="Q215">
        <f t="shared" si="50"/>
        <v>117</v>
      </c>
      <c r="R215">
        <f t="shared" si="40"/>
        <v>0</v>
      </c>
      <c r="S215">
        <f t="shared" si="51"/>
        <v>0</v>
      </c>
      <c r="T215">
        <f t="shared" si="51"/>
        <v>0</v>
      </c>
      <c r="U215">
        <f t="shared" si="51"/>
        <v>0</v>
      </c>
      <c r="V215" s="108">
        <f t="shared" si="37"/>
        <v>310</v>
      </c>
      <c r="W215" s="26">
        <f t="shared" si="38"/>
        <v>1038</v>
      </c>
      <c r="X215">
        <f t="shared" si="39"/>
        <v>0</v>
      </c>
      <c r="Y215">
        <f t="shared" si="41"/>
        <v>8.65</v>
      </c>
      <c r="Z215">
        <f t="shared" si="42"/>
        <v>0</v>
      </c>
    </row>
    <row r="216" spans="11:26" x14ac:dyDescent="0.25">
      <c r="K216" s="105">
        <v>183</v>
      </c>
      <c r="L216">
        <f t="shared" si="50"/>
        <v>0</v>
      </c>
      <c r="M216">
        <f t="shared" si="50"/>
        <v>0</v>
      </c>
      <c r="N216">
        <f t="shared" si="50"/>
        <v>104</v>
      </c>
      <c r="O216">
        <f t="shared" si="50"/>
        <v>0</v>
      </c>
      <c r="P216">
        <f t="shared" si="50"/>
        <v>89</v>
      </c>
      <c r="Q216">
        <f t="shared" si="50"/>
        <v>117</v>
      </c>
      <c r="R216">
        <f t="shared" si="40"/>
        <v>0</v>
      </c>
      <c r="S216">
        <f t="shared" si="51"/>
        <v>0</v>
      </c>
      <c r="T216">
        <f t="shared" si="51"/>
        <v>0</v>
      </c>
      <c r="U216">
        <f t="shared" si="51"/>
        <v>0</v>
      </c>
      <c r="V216" s="108">
        <f t="shared" si="37"/>
        <v>310</v>
      </c>
      <c r="W216" s="26">
        <f t="shared" si="38"/>
        <v>1038</v>
      </c>
      <c r="X216">
        <f t="shared" si="39"/>
        <v>0</v>
      </c>
      <c r="Y216">
        <f t="shared" si="41"/>
        <v>8.65</v>
      </c>
      <c r="Z216">
        <f t="shared" si="42"/>
        <v>0</v>
      </c>
    </row>
    <row r="217" spans="11:26" x14ac:dyDescent="0.25">
      <c r="K217" s="105">
        <v>184</v>
      </c>
      <c r="L217">
        <f t="shared" si="50"/>
        <v>0</v>
      </c>
      <c r="M217">
        <f t="shared" si="50"/>
        <v>0</v>
      </c>
      <c r="N217">
        <f t="shared" si="50"/>
        <v>104</v>
      </c>
      <c r="O217">
        <f t="shared" si="50"/>
        <v>0</v>
      </c>
      <c r="P217">
        <f t="shared" si="50"/>
        <v>89</v>
      </c>
      <c r="Q217">
        <f t="shared" si="50"/>
        <v>117</v>
      </c>
      <c r="R217">
        <f t="shared" si="40"/>
        <v>0</v>
      </c>
      <c r="S217">
        <f t="shared" si="51"/>
        <v>0</v>
      </c>
      <c r="T217">
        <f t="shared" si="51"/>
        <v>0</v>
      </c>
      <c r="U217">
        <f t="shared" si="51"/>
        <v>0</v>
      </c>
      <c r="V217" s="108">
        <f t="shared" si="37"/>
        <v>310</v>
      </c>
      <c r="W217" s="26">
        <f t="shared" si="38"/>
        <v>1038</v>
      </c>
      <c r="X217">
        <f t="shared" si="39"/>
        <v>0</v>
      </c>
      <c r="Y217">
        <f t="shared" si="41"/>
        <v>8.65</v>
      </c>
      <c r="Z217">
        <f t="shared" si="42"/>
        <v>0</v>
      </c>
    </row>
    <row r="218" spans="11:26" x14ac:dyDescent="0.25">
      <c r="K218" s="105">
        <v>185</v>
      </c>
      <c r="L218">
        <f t="shared" si="50"/>
        <v>0</v>
      </c>
      <c r="M218">
        <f t="shared" si="50"/>
        <v>0</v>
      </c>
      <c r="N218">
        <f t="shared" si="50"/>
        <v>104</v>
      </c>
      <c r="O218">
        <f t="shared" si="50"/>
        <v>0</v>
      </c>
      <c r="P218">
        <f t="shared" si="50"/>
        <v>89</v>
      </c>
      <c r="Q218">
        <f t="shared" si="50"/>
        <v>117</v>
      </c>
      <c r="R218">
        <f t="shared" si="40"/>
        <v>0</v>
      </c>
      <c r="S218">
        <f t="shared" si="51"/>
        <v>0</v>
      </c>
      <c r="T218">
        <f t="shared" si="51"/>
        <v>0</v>
      </c>
      <c r="U218">
        <f t="shared" si="51"/>
        <v>0</v>
      </c>
      <c r="V218" s="108">
        <f t="shared" si="37"/>
        <v>310</v>
      </c>
      <c r="W218" s="26">
        <f t="shared" si="38"/>
        <v>1038</v>
      </c>
      <c r="X218">
        <f t="shared" si="39"/>
        <v>0</v>
      </c>
      <c r="Y218">
        <f t="shared" si="41"/>
        <v>8.65</v>
      </c>
      <c r="Z218">
        <f t="shared" si="42"/>
        <v>0</v>
      </c>
    </row>
    <row r="219" spans="11:26" x14ac:dyDescent="0.25">
      <c r="K219" s="105">
        <v>186</v>
      </c>
      <c r="L219">
        <f t="shared" si="50"/>
        <v>0</v>
      </c>
      <c r="M219">
        <f t="shared" si="50"/>
        <v>0</v>
      </c>
      <c r="N219">
        <f t="shared" si="50"/>
        <v>104</v>
      </c>
      <c r="O219">
        <f t="shared" si="50"/>
        <v>0</v>
      </c>
      <c r="P219">
        <f t="shared" si="50"/>
        <v>89</v>
      </c>
      <c r="Q219">
        <f t="shared" si="50"/>
        <v>117</v>
      </c>
      <c r="R219">
        <f t="shared" si="40"/>
        <v>0</v>
      </c>
      <c r="S219">
        <f t="shared" si="51"/>
        <v>0</v>
      </c>
      <c r="T219">
        <f t="shared" si="51"/>
        <v>0</v>
      </c>
      <c r="U219">
        <f t="shared" si="51"/>
        <v>0</v>
      </c>
      <c r="V219" s="108">
        <f t="shared" si="37"/>
        <v>310</v>
      </c>
      <c r="W219" s="26">
        <f t="shared" si="38"/>
        <v>1038</v>
      </c>
      <c r="X219">
        <f t="shared" si="39"/>
        <v>0</v>
      </c>
      <c r="Y219">
        <f t="shared" si="41"/>
        <v>8.65</v>
      </c>
      <c r="Z219">
        <f t="shared" si="42"/>
        <v>0</v>
      </c>
    </row>
    <row r="220" spans="11:26" x14ac:dyDescent="0.25">
      <c r="K220" s="105">
        <v>187</v>
      </c>
      <c r="L220">
        <f t="shared" si="50"/>
        <v>0</v>
      </c>
      <c r="M220">
        <f t="shared" si="50"/>
        <v>0</v>
      </c>
      <c r="N220">
        <f t="shared" si="50"/>
        <v>104</v>
      </c>
      <c r="O220">
        <f t="shared" si="50"/>
        <v>0</v>
      </c>
      <c r="P220">
        <f t="shared" si="50"/>
        <v>89</v>
      </c>
      <c r="Q220">
        <f t="shared" si="50"/>
        <v>117</v>
      </c>
      <c r="R220">
        <f t="shared" si="40"/>
        <v>0</v>
      </c>
      <c r="S220">
        <f t="shared" si="51"/>
        <v>0</v>
      </c>
      <c r="T220">
        <f t="shared" si="51"/>
        <v>0</v>
      </c>
      <c r="U220">
        <f t="shared" si="51"/>
        <v>0</v>
      </c>
      <c r="V220" s="108">
        <f t="shared" si="37"/>
        <v>310</v>
      </c>
      <c r="W220" s="26">
        <f t="shared" si="38"/>
        <v>1038</v>
      </c>
      <c r="X220">
        <f t="shared" si="39"/>
        <v>0</v>
      </c>
      <c r="Y220">
        <f t="shared" si="41"/>
        <v>8.65</v>
      </c>
      <c r="Z220">
        <f t="shared" si="42"/>
        <v>0</v>
      </c>
    </row>
    <row r="221" spans="11:26" x14ac:dyDescent="0.25">
      <c r="K221" s="105">
        <v>188</v>
      </c>
      <c r="L221">
        <f t="shared" si="50"/>
        <v>0</v>
      </c>
      <c r="M221">
        <f t="shared" si="50"/>
        <v>0</v>
      </c>
      <c r="N221">
        <f t="shared" si="50"/>
        <v>104</v>
      </c>
      <c r="O221">
        <f t="shared" si="50"/>
        <v>0</v>
      </c>
      <c r="P221">
        <f t="shared" si="50"/>
        <v>89</v>
      </c>
      <c r="Q221">
        <f t="shared" si="50"/>
        <v>117</v>
      </c>
      <c r="R221">
        <f t="shared" si="40"/>
        <v>0</v>
      </c>
      <c r="S221">
        <f t="shared" si="51"/>
        <v>0</v>
      </c>
      <c r="T221">
        <f t="shared" si="51"/>
        <v>0</v>
      </c>
      <c r="U221">
        <f t="shared" si="51"/>
        <v>0</v>
      </c>
      <c r="V221" s="108">
        <f t="shared" si="37"/>
        <v>310</v>
      </c>
      <c r="W221" s="26">
        <f t="shared" si="38"/>
        <v>1038</v>
      </c>
      <c r="X221">
        <f t="shared" si="39"/>
        <v>0</v>
      </c>
      <c r="Y221">
        <f t="shared" si="41"/>
        <v>8.65</v>
      </c>
      <c r="Z221">
        <f t="shared" si="42"/>
        <v>0</v>
      </c>
    </row>
    <row r="222" spans="11:26" x14ac:dyDescent="0.25">
      <c r="K222" s="105">
        <v>189</v>
      </c>
      <c r="L222">
        <f t="shared" si="50"/>
        <v>0</v>
      </c>
      <c r="M222">
        <f t="shared" si="50"/>
        <v>0</v>
      </c>
      <c r="N222">
        <f t="shared" si="50"/>
        <v>104</v>
      </c>
      <c r="O222">
        <f t="shared" si="50"/>
        <v>0</v>
      </c>
      <c r="P222">
        <f t="shared" si="50"/>
        <v>89</v>
      </c>
      <c r="Q222">
        <f t="shared" si="50"/>
        <v>117</v>
      </c>
      <c r="R222">
        <f t="shared" si="40"/>
        <v>0</v>
      </c>
      <c r="S222">
        <f t="shared" si="51"/>
        <v>0</v>
      </c>
      <c r="T222">
        <f t="shared" si="51"/>
        <v>0</v>
      </c>
      <c r="U222">
        <f t="shared" si="51"/>
        <v>0</v>
      </c>
      <c r="V222" s="108">
        <f t="shared" si="37"/>
        <v>310</v>
      </c>
      <c r="W222" s="26">
        <f t="shared" si="38"/>
        <v>1038</v>
      </c>
      <c r="X222">
        <f t="shared" si="39"/>
        <v>0</v>
      </c>
      <c r="Y222">
        <f t="shared" si="41"/>
        <v>8.65</v>
      </c>
      <c r="Z222">
        <f t="shared" si="42"/>
        <v>0</v>
      </c>
    </row>
    <row r="223" spans="11:26" x14ac:dyDescent="0.25">
      <c r="K223" s="105">
        <v>190</v>
      </c>
      <c r="L223">
        <f t="shared" si="50"/>
        <v>0</v>
      </c>
      <c r="M223">
        <f t="shared" si="50"/>
        <v>0</v>
      </c>
      <c r="N223">
        <f t="shared" si="50"/>
        <v>104</v>
      </c>
      <c r="O223">
        <f t="shared" si="50"/>
        <v>0</v>
      </c>
      <c r="P223">
        <f t="shared" si="50"/>
        <v>89</v>
      </c>
      <c r="Q223">
        <f t="shared" si="50"/>
        <v>117</v>
      </c>
      <c r="R223">
        <f t="shared" si="40"/>
        <v>0</v>
      </c>
      <c r="S223">
        <f t="shared" si="51"/>
        <v>0</v>
      </c>
      <c r="T223">
        <f t="shared" si="51"/>
        <v>0</v>
      </c>
      <c r="U223">
        <f t="shared" si="51"/>
        <v>0</v>
      </c>
      <c r="V223" s="108">
        <f t="shared" si="37"/>
        <v>310</v>
      </c>
      <c r="W223" s="26">
        <f t="shared" si="38"/>
        <v>1038</v>
      </c>
      <c r="X223">
        <f t="shared" si="39"/>
        <v>0</v>
      </c>
      <c r="Y223">
        <f t="shared" si="41"/>
        <v>8.65</v>
      </c>
      <c r="Z223">
        <f t="shared" si="42"/>
        <v>0</v>
      </c>
    </row>
    <row r="224" spans="11:26" x14ac:dyDescent="0.25">
      <c r="K224" s="105">
        <v>191</v>
      </c>
      <c r="L224">
        <f t="shared" ref="L224:Q233" si="52">IF(MID(DEC2BIN($K224,10),L$32,1)="1",L$33,0)</f>
        <v>0</v>
      </c>
      <c r="M224">
        <f t="shared" si="52"/>
        <v>0</v>
      </c>
      <c r="N224">
        <f t="shared" si="52"/>
        <v>104</v>
      </c>
      <c r="O224">
        <f t="shared" si="52"/>
        <v>0</v>
      </c>
      <c r="P224">
        <f t="shared" si="52"/>
        <v>89</v>
      </c>
      <c r="Q224">
        <f t="shared" si="52"/>
        <v>117</v>
      </c>
      <c r="R224">
        <f t="shared" si="40"/>
        <v>0</v>
      </c>
      <c r="S224">
        <f t="shared" si="51"/>
        <v>0</v>
      </c>
      <c r="T224">
        <f t="shared" si="51"/>
        <v>0</v>
      </c>
      <c r="U224">
        <f t="shared" si="51"/>
        <v>0</v>
      </c>
      <c r="V224" s="108">
        <f t="shared" si="37"/>
        <v>310</v>
      </c>
      <c r="W224" s="26">
        <f t="shared" si="38"/>
        <v>1038</v>
      </c>
      <c r="X224">
        <f t="shared" si="39"/>
        <v>0</v>
      </c>
      <c r="Y224">
        <f t="shared" si="41"/>
        <v>8.65</v>
      </c>
      <c r="Z224">
        <f t="shared" si="42"/>
        <v>0</v>
      </c>
    </row>
    <row r="225" spans="11:26" x14ac:dyDescent="0.25">
      <c r="K225" s="105">
        <v>192</v>
      </c>
      <c r="L225">
        <f t="shared" si="52"/>
        <v>0</v>
      </c>
      <c r="M225">
        <f t="shared" si="52"/>
        <v>0</v>
      </c>
      <c r="N225">
        <f t="shared" si="52"/>
        <v>104</v>
      </c>
      <c r="O225">
        <f t="shared" si="52"/>
        <v>78</v>
      </c>
      <c r="P225">
        <f t="shared" si="52"/>
        <v>0</v>
      </c>
      <c r="Q225">
        <f t="shared" si="52"/>
        <v>0</v>
      </c>
      <c r="R225">
        <f t="shared" si="40"/>
        <v>0</v>
      </c>
      <c r="S225">
        <f t="shared" si="51"/>
        <v>0</v>
      </c>
      <c r="T225">
        <f t="shared" si="51"/>
        <v>0</v>
      </c>
      <c r="U225">
        <f t="shared" si="51"/>
        <v>0</v>
      </c>
      <c r="V225" s="108">
        <f t="shared" si="37"/>
        <v>182</v>
      </c>
      <c r="W225" s="26">
        <f t="shared" si="38"/>
        <v>1166</v>
      </c>
      <c r="X225">
        <f t="shared" si="39"/>
        <v>0</v>
      </c>
      <c r="Y225">
        <f t="shared" si="41"/>
        <v>9.7166666666666668</v>
      </c>
      <c r="Z225">
        <f t="shared" si="42"/>
        <v>0</v>
      </c>
    </row>
    <row r="226" spans="11:26" x14ac:dyDescent="0.25">
      <c r="K226" s="105">
        <v>193</v>
      </c>
      <c r="L226">
        <f t="shared" si="52"/>
        <v>0</v>
      </c>
      <c r="M226">
        <f t="shared" si="52"/>
        <v>0</v>
      </c>
      <c r="N226">
        <f t="shared" si="52"/>
        <v>104</v>
      </c>
      <c r="O226">
        <f t="shared" si="52"/>
        <v>78</v>
      </c>
      <c r="P226">
        <f t="shared" si="52"/>
        <v>0</v>
      </c>
      <c r="Q226">
        <f t="shared" si="52"/>
        <v>0</v>
      </c>
      <c r="R226">
        <f t="shared" si="40"/>
        <v>0</v>
      </c>
      <c r="S226">
        <f t="shared" si="51"/>
        <v>0</v>
      </c>
      <c r="T226">
        <f t="shared" si="51"/>
        <v>0</v>
      </c>
      <c r="U226">
        <f t="shared" si="51"/>
        <v>0</v>
      </c>
      <c r="V226" s="108">
        <f t="shared" ref="V226:V289" si="53">SUM(L226:U226)</f>
        <v>182</v>
      </c>
      <c r="W226" s="26">
        <f t="shared" ref="W226:W289" si="54">$M$31-V226</f>
        <v>1166</v>
      </c>
      <c r="X226">
        <f t="shared" ref="X226:X289" si="55">IF(W226=0,1,0)</f>
        <v>0</v>
      </c>
      <c r="Y226">
        <f t="shared" si="41"/>
        <v>9.7166666666666668</v>
      </c>
      <c r="Z226">
        <f t="shared" si="42"/>
        <v>0</v>
      </c>
    </row>
    <row r="227" spans="11:26" x14ac:dyDescent="0.25">
      <c r="K227" s="105">
        <v>194</v>
      </c>
      <c r="L227">
        <f t="shared" si="52"/>
        <v>0</v>
      </c>
      <c r="M227">
        <f t="shared" si="52"/>
        <v>0</v>
      </c>
      <c r="N227">
        <f t="shared" si="52"/>
        <v>104</v>
      </c>
      <c r="O227">
        <f t="shared" si="52"/>
        <v>78</v>
      </c>
      <c r="P227">
        <f t="shared" si="52"/>
        <v>0</v>
      </c>
      <c r="Q227">
        <f t="shared" si="52"/>
        <v>0</v>
      </c>
      <c r="R227">
        <f t="shared" ref="R227:R290" si="56">IF(MID(DEC2BIN($K227,10),R$32,1)="1",R$33,0)</f>
        <v>0</v>
      </c>
      <c r="S227">
        <f t="shared" si="51"/>
        <v>0</v>
      </c>
      <c r="T227">
        <f t="shared" si="51"/>
        <v>0</v>
      </c>
      <c r="U227">
        <f t="shared" si="51"/>
        <v>0</v>
      </c>
      <c r="V227" s="108">
        <f t="shared" si="53"/>
        <v>182</v>
      </c>
      <c r="W227" s="26">
        <f t="shared" si="54"/>
        <v>1166</v>
      </c>
      <c r="X227">
        <f t="shared" si="55"/>
        <v>0</v>
      </c>
      <c r="Y227">
        <f t="shared" ref="Y227:Y290" si="57">W227/$Y$32</f>
        <v>9.7166666666666668</v>
      </c>
      <c r="Z227">
        <f t="shared" ref="Z227:Z290" si="58">IF(INT(Y227)=Y227,1,0)</f>
        <v>0</v>
      </c>
    </row>
    <row r="228" spans="11:26" x14ac:dyDescent="0.25">
      <c r="K228" s="105">
        <v>195</v>
      </c>
      <c r="L228">
        <f t="shared" si="52"/>
        <v>0</v>
      </c>
      <c r="M228">
        <f t="shared" si="52"/>
        <v>0</v>
      </c>
      <c r="N228">
        <f t="shared" si="52"/>
        <v>104</v>
      </c>
      <c r="O228">
        <f t="shared" si="52"/>
        <v>78</v>
      </c>
      <c r="P228">
        <f t="shared" si="52"/>
        <v>0</v>
      </c>
      <c r="Q228">
        <f t="shared" si="52"/>
        <v>0</v>
      </c>
      <c r="R228">
        <f t="shared" si="56"/>
        <v>0</v>
      </c>
      <c r="S228">
        <f t="shared" si="51"/>
        <v>0</v>
      </c>
      <c r="T228">
        <f t="shared" si="51"/>
        <v>0</v>
      </c>
      <c r="U228">
        <f t="shared" si="51"/>
        <v>0</v>
      </c>
      <c r="V228" s="108">
        <f t="shared" si="53"/>
        <v>182</v>
      </c>
      <c r="W228" s="26">
        <f t="shared" si="54"/>
        <v>1166</v>
      </c>
      <c r="X228">
        <f t="shared" si="55"/>
        <v>0</v>
      </c>
      <c r="Y228">
        <f t="shared" si="57"/>
        <v>9.7166666666666668</v>
      </c>
      <c r="Z228">
        <f t="shared" si="58"/>
        <v>0</v>
      </c>
    </row>
    <row r="229" spans="11:26" x14ac:dyDescent="0.25">
      <c r="K229" s="105">
        <v>196</v>
      </c>
      <c r="L229">
        <f t="shared" si="52"/>
        <v>0</v>
      </c>
      <c r="M229">
        <f t="shared" si="52"/>
        <v>0</v>
      </c>
      <c r="N229">
        <f t="shared" si="52"/>
        <v>104</v>
      </c>
      <c r="O229">
        <f t="shared" si="52"/>
        <v>78</v>
      </c>
      <c r="P229">
        <f t="shared" si="52"/>
        <v>0</v>
      </c>
      <c r="Q229">
        <f t="shared" si="52"/>
        <v>0</v>
      </c>
      <c r="R229">
        <f t="shared" si="56"/>
        <v>0</v>
      </c>
      <c r="S229">
        <f t="shared" si="51"/>
        <v>0</v>
      </c>
      <c r="T229">
        <f t="shared" si="51"/>
        <v>0</v>
      </c>
      <c r="U229">
        <f t="shared" si="51"/>
        <v>0</v>
      </c>
      <c r="V229" s="108">
        <f t="shared" si="53"/>
        <v>182</v>
      </c>
      <c r="W229" s="26">
        <f t="shared" si="54"/>
        <v>1166</v>
      </c>
      <c r="X229">
        <f t="shared" si="55"/>
        <v>0</v>
      </c>
      <c r="Y229">
        <f t="shared" si="57"/>
        <v>9.7166666666666668</v>
      </c>
      <c r="Z229">
        <f t="shared" si="58"/>
        <v>0</v>
      </c>
    </row>
    <row r="230" spans="11:26" x14ac:dyDescent="0.25">
      <c r="K230" s="105">
        <v>197</v>
      </c>
      <c r="L230">
        <f t="shared" si="52"/>
        <v>0</v>
      </c>
      <c r="M230">
        <f t="shared" si="52"/>
        <v>0</v>
      </c>
      <c r="N230">
        <f t="shared" si="52"/>
        <v>104</v>
      </c>
      <c r="O230">
        <f t="shared" si="52"/>
        <v>78</v>
      </c>
      <c r="P230">
        <f t="shared" si="52"/>
        <v>0</v>
      </c>
      <c r="Q230">
        <f t="shared" si="52"/>
        <v>0</v>
      </c>
      <c r="R230">
        <f t="shared" si="56"/>
        <v>0</v>
      </c>
      <c r="S230">
        <f t="shared" si="51"/>
        <v>0</v>
      </c>
      <c r="T230">
        <f t="shared" si="51"/>
        <v>0</v>
      </c>
      <c r="U230">
        <f t="shared" si="51"/>
        <v>0</v>
      </c>
      <c r="V230" s="108">
        <f t="shared" si="53"/>
        <v>182</v>
      </c>
      <c r="W230" s="26">
        <f t="shared" si="54"/>
        <v>1166</v>
      </c>
      <c r="X230">
        <f t="shared" si="55"/>
        <v>0</v>
      </c>
      <c r="Y230">
        <f t="shared" si="57"/>
        <v>9.7166666666666668</v>
      </c>
      <c r="Z230">
        <f t="shared" si="58"/>
        <v>0</v>
      </c>
    </row>
    <row r="231" spans="11:26" x14ac:dyDescent="0.25">
      <c r="K231" s="105">
        <v>198</v>
      </c>
      <c r="L231">
        <f t="shared" si="52"/>
        <v>0</v>
      </c>
      <c r="M231">
        <f t="shared" si="52"/>
        <v>0</v>
      </c>
      <c r="N231">
        <f t="shared" si="52"/>
        <v>104</v>
      </c>
      <c r="O231">
        <f t="shared" si="52"/>
        <v>78</v>
      </c>
      <c r="P231">
        <f t="shared" si="52"/>
        <v>0</v>
      </c>
      <c r="Q231">
        <f t="shared" si="52"/>
        <v>0</v>
      </c>
      <c r="R231">
        <f t="shared" si="56"/>
        <v>0</v>
      </c>
      <c r="S231">
        <f t="shared" si="51"/>
        <v>0</v>
      </c>
      <c r="T231">
        <f t="shared" si="51"/>
        <v>0</v>
      </c>
      <c r="U231">
        <f t="shared" si="51"/>
        <v>0</v>
      </c>
      <c r="V231" s="108">
        <f t="shared" si="53"/>
        <v>182</v>
      </c>
      <c r="W231" s="26">
        <f t="shared" si="54"/>
        <v>1166</v>
      </c>
      <c r="X231">
        <f t="shared" si="55"/>
        <v>0</v>
      </c>
      <c r="Y231">
        <f t="shared" si="57"/>
        <v>9.7166666666666668</v>
      </c>
      <c r="Z231">
        <f t="shared" si="58"/>
        <v>0</v>
      </c>
    </row>
    <row r="232" spans="11:26" x14ac:dyDescent="0.25">
      <c r="K232" s="105">
        <v>199</v>
      </c>
      <c r="L232">
        <f t="shared" si="52"/>
        <v>0</v>
      </c>
      <c r="M232">
        <f t="shared" si="52"/>
        <v>0</v>
      </c>
      <c r="N232">
        <f t="shared" si="52"/>
        <v>104</v>
      </c>
      <c r="O232">
        <f t="shared" si="52"/>
        <v>78</v>
      </c>
      <c r="P232">
        <f t="shared" si="52"/>
        <v>0</v>
      </c>
      <c r="Q232">
        <f t="shared" si="52"/>
        <v>0</v>
      </c>
      <c r="R232">
        <f t="shared" si="56"/>
        <v>0</v>
      </c>
      <c r="S232">
        <f t="shared" si="51"/>
        <v>0</v>
      </c>
      <c r="T232">
        <f t="shared" si="51"/>
        <v>0</v>
      </c>
      <c r="U232">
        <f t="shared" si="51"/>
        <v>0</v>
      </c>
      <c r="V232" s="108">
        <f t="shared" si="53"/>
        <v>182</v>
      </c>
      <c r="W232" s="26">
        <f t="shared" si="54"/>
        <v>1166</v>
      </c>
      <c r="X232">
        <f t="shared" si="55"/>
        <v>0</v>
      </c>
      <c r="Y232">
        <f t="shared" si="57"/>
        <v>9.7166666666666668</v>
      </c>
      <c r="Z232">
        <f t="shared" si="58"/>
        <v>0</v>
      </c>
    </row>
    <row r="233" spans="11:26" x14ac:dyDescent="0.25">
      <c r="K233" s="105">
        <v>200</v>
      </c>
      <c r="L233">
        <f t="shared" si="52"/>
        <v>0</v>
      </c>
      <c r="M233">
        <f t="shared" si="52"/>
        <v>0</v>
      </c>
      <c r="N233">
        <f t="shared" si="52"/>
        <v>104</v>
      </c>
      <c r="O233">
        <f t="shared" si="52"/>
        <v>78</v>
      </c>
      <c r="P233">
        <f t="shared" si="52"/>
        <v>0</v>
      </c>
      <c r="Q233">
        <f t="shared" si="52"/>
        <v>0</v>
      </c>
      <c r="R233">
        <f t="shared" si="56"/>
        <v>0</v>
      </c>
      <c r="S233">
        <f t="shared" si="51"/>
        <v>0</v>
      </c>
      <c r="T233">
        <f t="shared" si="51"/>
        <v>0</v>
      </c>
      <c r="U233">
        <f t="shared" si="51"/>
        <v>0</v>
      </c>
      <c r="V233" s="108">
        <f t="shared" si="53"/>
        <v>182</v>
      </c>
      <c r="W233" s="26">
        <f t="shared" si="54"/>
        <v>1166</v>
      </c>
      <c r="X233">
        <f t="shared" si="55"/>
        <v>0</v>
      </c>
      <c r="Y233">
        <f t="shared" si="57"/>
        <v>9.7166666666666668</v>
      </c>
      <c r="Z233">
        <f t="shared" si="58"/>
        <v>0</v>
      </c>
    </row>
    <row r="234" spans="11:26" x14ac:dyDescent="0.25">
      <c r="K234" s="105">
        <v>201</v>
      </c>
      <c r="L234">
        <f t="shared" ref="L234:Q243" si="59">IF(MID(DEC2BIN($K234,10),L$32,1)="1",L$33,0)</f>
        <v>0</v>
      </c>
      <c r="M234">
        <f t="shared" si="59"/>
        <v>0</v>
      </c>
      <c r="N234">
        <f t="shared" si="59"/>
        <v>104</v>
      </c>
      <c r="O234">
        <f t="shared" si="59"/>
        <v>78</v>
      </c>
      <c r="P234">
        <f t="shared" si="59"/>
        <v>0</v>
      </c>
      <c r="Q234">
        <f t="shared" si="59"/>
        <v>0</v>
      </c>
      <c r="R234">
        <f t="shared" si="56"/>
        <v>0</v>
      </c>
      <c r="S234">
        <f t="shared" ref="S234:U253" si="60">IF(MID(DEC2BIN($K234,10),S$32,1)="1",S$33,0)</f>
        <v>0</v>
      </c>
      <c r="T234">
        <f t="shared" si="60"/>
        <v>0</v>
      </c>
      <c r="U234">
        <f t="shared" si="60"/>
        <v>0</v>
      </c>
      <c r="V234" s="108">
        <f t="shared" si="53"/>
        <v>182</v>
      </c>
      <c r="W234" s="26">
        <f t="shared" si="54"/>
        <v>1166</v>
      </c>
      <c r="X234">
        <f t="shared" si="55"/>
        <v>0</v>
      </c>
      <c r="Y234">
        <f t="shared" si="57"/>
        <v>9.7166666666666668</v>
      </c>
      <c r="Z234">
        <f t="shared" si="58"/>
        <v>0</v>
      </c>
    </row>
    <row r="235" spans="11:26" x14ac:dyDescent="0.25">
      <c r="K235" s="105">
        <v>202</v>
      </c>
      <c r="L235">
        <f t="shared" si="59"/>
        <v>0</v>
      </c>
      <c r="M235">
        <f t="shared" si="59"/>
        <v>0</v>
      </c>
      <c r="N235">
        <f t="shared" si="59"/>
        <v>104</v>
      </c>
      <c r="O235">
        <f t="shared" si="59"/>
        <v>78</v>
      </c>
      <c r="P235">
        <f t="shared" si="59"/>
        <v>0</v>
      </c>
      <c r="Q235">
        <f t="shared" si="59"/>
        <v>0</v>
      </c>
      <c r="R235">
        <f t="shared" si="56"/>
        <v>0</v>
      </c>
      <c r="S235">
        <f t="shared" si="60"/>
        <v>0</v>
      </c>
      <c r="T235">
        <f t="shared" si="60"/>
        <v>0</v>
      </c>
      <c r="U235">
        <f t="shared" si="60"/>
        <v>0</v>
      </c>
      <c r="V235" s="108">
        <f t="shared" si="53"/>
        <v>182</v>
      </c>
      <c r="W235" s="26">
        <f t="shared" si="54"/>
        <v>1166</v>
      </c>
      <c r="X235">
        <f t="shared" si="55"/>
        <v>0</v>
      </c>
      <c r="Y235">
        <f t="shared" si="57"/>
        <v>9.7166666666666668</v>
      </c>
      <c r="Z235">
        <f t="shared" si="58"/>
        <v>0</v>
      </c>
    </row>
    <row r="236" spans="11:26" x14ac:dyDescent="0.25">
      <c r="K236" s="105">
        <v>203</v>
      </c>
      <c r="L236">
        <f t="shared" si="59"/>
        <v>0</v>
      </c>
      <c r="M236">
        <f t="shared" si="59"/>
        <v>0</v>
      </c>
      <c r="N236">
        <f t="shared" si="59"/>
        <v>104</v>
      </c>
      <c r="O236">
        <f t="shared" si="59"/>
        <v>78</v>
      </c>
      <c r="P236">
        <f t="shared" si="59"/>
        <v>0</v>
      </c>
      <c r="Q236">
        <f t="shared" si="59"/>
        <v>0</v>
      </c>
      <c r="R236">
        <f t="shared" si="56"/>
        <v>0</v>
      </c>
      <c r="S236">
        <f t="shared" si="60"/>
        <v>0</v>
      </c>
      <c r="T236">
        <f t="shared" si="60"/>
        <v>0</v>
      </c>
      <c r="U236">
        <f t="shared" si="60"/>
        <v>0</v>
      </c>
      <c r="V236" s="108">
        <f t="shared" si="53"/>
        <v>182</v>
      </c>
      <c r="W236" s="26">
        <f t="shared" si="54"/>
        <v>1166</v>
      </c>
      <c r="X236">
        <f t="shared" si="55"/>
        <v>0</v>
      </c>
      <c r="Y236">
        <f t="shared" si="57"/>
        <v>9.7166666666666668</v>
      </c>
      <c r="Z236">
        <f t="shared" si="58"/>
        <v>0</v>
      </c>
    </row>
    <row r="237" spans="11:26" x14ac:dyDescent="0.25">
      <c r="K237" s="105">
        <v>204</v>
      </c>
      <c r="L237">
        <f t="shared" si="59"/>
        <v>0</v>
      </c>
      <c r="M237">
        <f t="shared" si="59"/>
        <v>0</v>
      </c>
      <c r="N237">
        <f t="shared" si="59"/>
        <v>104</v>
      </c>
      <c r="O237">
        <f t="shared" si="59"/>
        <v>78</v>
      </c>
      <c r="P237">
        <f t="shared" si="59"/>
        <v>0</v>
      </c>
      <c r="Q237">
        <f t="shared" si="59"/>
        <v>0</v>
      </c>
      <c r="R237">
        <f t="shared" si="56"/>
        <v>0</v>
      </c>
      <c r="S237">
        <f t="shared" si="60"/>
        <v>0</v>
      </c>
      <c r="T237">
        <f t="shared" si="60"/>
        <v>0</v>
      </c>
      <c r="U237">
        <f t="shared" si="60"/>
        <v>0</v>
      </c>
      <c r="V237" s="108">
        <f t="shared" si="53"/>
        <v>182</v>
      </c>
      <c r="W237" s="26">
        <f t="shared" si="54"/>
        <v>1166</v>
      </c>
      <c r="X237">
        <f t="shared" si="55"/>
        <v>0</v>
      </c>
      <c r="Y237">
        <f t="shared" si="57"/>
        <v>9.7166666666666668</v>
      </c>
      <c r="Z237">
        <f t="shared" si="58"/>
        <v>0</v>
      </c>
    </row>
    <row r="238" spans="11:26" x14ac:dyDescent="0.25">
      <c r="K238" s="105">
        <v>205</v>
      </c>
      <c r="L238">
        <f t="shared" si="59"/>
        <v>0</v>
      </c>
      <c r="M238">
        <f t="shared" si="59"/>
        <v>0</v>
      </c>
      <c r="N238">
        <f t="shared" si="59"/>
        <v>104</v>
      </c>
      <c r="O238">
        <f t="shared" si="59"/>
        <v>78</v>
      </c>
      <c r="P238">
        <f t="shared" si="59"/>
        <v>0</v>
      </c>
      <c r="Q238">
        <f t="shared" si="59"/>
        <v>0</v>
      </c>
      <c r="R238">
        <f t="shared" si="56"/>
        <v>0</v>
      </c>
      <c r="S238">
        <f t="shared" si="60"/>
        <v>0</v>
      </c>
      <c r="T238">
        <f t="shared" si="60"/>
        <v>0</v>
      </c>
      <c r="U238">
        <f t="shared" si="60"/>
        <v>0</v>
      </c>
      <c r="V238" s="108">
        <f t="shared" si="53"/>
        <v>182</v>
      </c>
      <c r="W238" s="26">
        <f t="shared" si="54"/>
        <v>1166</v>
      </c>
      <c r="X238">
        <f t="shared" si="55"/>
        <v>0</v>
      </c>
      <c r="Y238">
        <f t="shared" si="57"/>
        <v>9.7166666666666668</v>
      </c>
      <c r="Z238">
        <f t="shared" si="58"/>
        <v>0</v>
      </c>
    </row>
    <row r="239" spans="11:26" x14ac:dyDescent="0.25">
      <c r="K239" s="105">
        <v>206</v>
      </c>
      <c r="L239">
        <f t="shared" si="59"/>
        <v>0</v>
      </c>
      <c r="M239">
        <f t="shared" si="59"/>
        <v>0</v>
      </c>
      <c r="N239">
        <f t="shared" si="59"/>
        <v>104</v>
      </c>
      <c r="O239">
        <f t="shared" si="59"/>
        <v>78</v>
      </c>
      <c r="P239">
        <f t="shared" si="59"/>
        <v>0</v>
      </c>
      <c r="Q239">
        <f t="shared" si="59"/>
        <v>0</v>
      </c>
      <c r="R239">
        <f t="shared" si="56"/>
        <v>0</v>
      </c>
      <c r="S239">
        <f t="shared" si="60"/>
        <v>0</v>
      </c>
      <c r="T239">
        <f t="shared" si="60"/>
        <v>0</v>
      </c>
      <c r="U239">
        <f t="shared" si="60"/>
        <v>0</v>
      </c>
      <c r="V239" s="108">
        <f t="shared" si="53"/>
        <v>182</v>
      </c>
      <c r="W239" s="26">
        <f t="shared" si="54"/>
        <v>1166</v>
      </c>
      <c r="X239">
        <f t="shared" si="55"/>
        <v>0</v>
      </c>
      <c r="Y239">
        <f t="shared" si="57"/>
        <v>9.7166666666666668</v>
      </c>
      <c r="Z239">
        <f t="shared" si="58"/>
        <v>0</v>
      </c>
    </row>
    <row r="240" spans="11:26" x14ac:dyDescent="0.25">
      <c r="K240" s="105">
        <v>207</v>
      </c>
      <c r="L240">
        <f t="shared" si="59"/>
        <v>0</v>
      </c>
      <c r="M240">
        <f t="shared" si="59"/>
        <v>0</v>
      </c>
      <c r="N240">
        <f t="shared" si="59"/>
        <v>104</v>
      </c>
      <c r="O240">
        <f t="shared" si="59"/>
        <v>78</v>
      </c>
      <c r="P240">
        <f t="shared" si="59"/>
        <v>0</v>
      </c>
      <c r="Q240">
        <f t="shared" si="59"/>
        <v>0</v>
      </c>
      <c r="R240">
        <f t="shared" si="56"/>
        <v>0</v>
      </c>
      <c r="S240">
        <f t="shared" si="60"/>
        <v>0</v>
      </c>
      <c r="T240">
        <f t="shared" si="60"/>
        <v>0</v>
      </c>
      <c r="U240">
        <f t="shared" si="60"/>
        <v>0</v>
      </c>
      <c r="V240" s="108">
        <f t="shared" si="53"/>
        <v>182</v>
      </c>
      <c r="W240" s="26">
        <f t="shared" si="54"/>
        <v>1166</v>
      </c>
      <c r="X240">
        <f t="shared" si="55"/>
        <v>0</v>
      </c>
      <c r="Y240">
        <f t="shared" si="57"/>
        <v>9.7166666666666668</v>
      </c>
      <c r="Z240">
        <f t="shared" si="58"/>
        <v>0</v>
      </c>
    </row>
    <row r="241" spans="11:26" x14ac:dyDescent="0.25">
      <c r="K241" s="105">
        <v>208</v>
      </c>
      <c r="L241">
        <f t="shared" si="59"/>
        <v>0</v>
      </c>
      <c r="M241">
        <f t="shared" si="59"/>
        <v>0</v>
      </c>
      <c r="N241">
        <f t="shared" si="59"/>
        <v>104</v>
      </c>
      <c r="O241">
        <f t="shared" si="59"/>
        <v>78</v>
      </c>
      <c r="P241">
        <f t="shared" si="59"/>
        <v>0</v>
      </c>
      <c r="Q241">
        <f t="shared" si="59"/>
        <v>117</v>
      </c>
      <c r="R241">
        <f t="shared" si="56"/>
        <v>0</v>
      </c>
      <c r="S241">
        <f t="shared" si="60"/>
        <v>0</v>
      </c>
      <c r="T241">
        <f t="shared" si="60"/>
        <v>0</v>
      </c>
      <c r="U241">
        <f t="shared" si="60"/>
        <v>0</v>
      </c>
      <c r="V241" s="108">
        <f t="shared" si="53"/>
        <v>299</v>
      </c>
      <c r="W241" s="26">
        <f t="shared" si="54"/>
        <v>1049</v>
      </c>
      <c r="X241">
        <f t="shared" si="55"/>
        <v>0</v>
      </c>
      <c r="Y241">
        <f t="shared" si="57"/>
        <v>8.7416666666666671</v>
      </c>
      <c r="Z241">
        <f t="shared" si="58"/>
        <v>0</v>
      </c>
    </row>
    <row r="242" spans="11:26" x14ac:dyDescent="0.25">
      <c r="K242" s="105">
        <v>209</v>
      </c>
      <c r="L242">
        <f t="shared" si="59"/>
        <v>0</v>
      </c>
      <c r="M242">
        <f t="shared" si="59"/>
        <v>0</v>
      </c>
      <c r="N242">
        <f t="shared" si="59"/>
        <v>104</v>
      </c>
      <c r="O242">
        <f t="shared" si="59"/>
        <v>78</v>
      </c>
      <c r="P242">
        <f t="shared" si="59"/>
        <v>0</v>
      </c>
      <c r="Q242">
        <f t="shared" si="59"/>
        <v>117</v>
      </c>
      <c r="R242">
        <f t="shared" si="56"/>
        <v>0</v>
      </c>
      <c r="S242">
        <f t="shared" si="60"/>
        <v>0</v>
      </c>
      <c r="T242">
        <f t="shared" si="60"/>
        <v>0</v>
      </c>
      <c r="U242">
        <f t="shared" si="60"/>
        <v>0</v>
      </c>
      <c r="V242" s="108">
        <f t="shared" si="53"/>
        <v>299</v>
      </c>
      <c r="W242" s="26">
        <f t="shared" si="54"/>
        <v>1049</v>
      </c>
      <c r="X242">
        <f t="shared" si="55"/>
        <v>0</v>
      </c>
      <c r="Y242">
        <f t="shared" si="57"/>
        <v>8.7416666666666671</v>
      </c>
      <c r="Z242">
        <f t="shared" si="58"/>
        <v>0</v>
      </c>
    </row>
    <row r="243" spans="11:26" x14ac:dyDescent="0.25">
      <c r="K243" s="105">
        <v>210</v>
      </c>
      <c r="L243">
        <f t="shared" si="59"/>
        <v>0</v>
      </c>
      <c r="M243">
        <f t="shared" si="59"/>
        <v>0</v>
      </c>
      <c r="N243">
        <f t="shared" si="59"/>
        <v>104</v>
      </c>
      <c r="O243">
        <f t="shared" si="59"/>
        <v>78</v>
      </c>
      <c r="P243">
        <f t="shared" si="59"/>
        <v>0</v>
      </c>
      <c r="Q243">
        <f t="shared" si="59"/>
        <v>117</v>
      </c>
      <c r="R243">
        <f t="shared" si="56"/>
        <v>0</v>
      </c>
      <c r="S243">
        <f t="shared" si="60"/>
        <v>0</v>
      </c>
      <c r="T243">
        <f t="shared" si="60"/>
        <v>0</v>
      </c>
      <c r="U243">
        <f t="shared" si="60"/>
        <v>0</v>
      </c>
      <c r="V243" s="108">
        <f t="shared" si="53"/>
        <v>299</v>
      </c>
      <c r="W243" s="26">
        <f t="shared" si="54"/>
        <v>1049</v>
      </c>
      <c r="X243">
        <f t="shared" si="55"/>
        <v>0</v>
      </c>
      <c r="Y243">
        <f t="shared" si="57"/>
        <v>8.7416666666666671</v>
      </c>
      <c r="Z243">
        <f t="shared" si="58"/>
        <v>0</v>
      </c>
    </row>
    <row r="244" spans="11:26" x14ac:dyDescent="0.25">
      <c r="K244" s="105">
        <v>211</v>
      </c>
      <c r="L244">
        <f t="shared" ref="L244:Q253" si="61">IF(MID(DEC2BIN($K244,10),L$32,1)="1",L$33,0)</f>
        <v>0</v>
      </c>
      <c r="M244">
        <f t="shared" si="61"/>
        <v>0</v>
      </c>
      <c r="N244">
        <f t="shared" si="61"/>
        <v>104</v>
      </c>
      <c r="O244">
        <f t="shared" si="61"/>
        <v>78</v>
      </c>
      <c r="P244">
        <f t="shared" si="61"/>
        <v>0</v>
      </c>
      <c r="Q244">
        <f t="shared" si="61"/>
        <v>117</v>
      </c>
      <c r="R244">
        <f t="shared" si="56"/>
        <v>0</v>
      </c>
      <c r="S244">
        <f t="shared" si="60"/>
        <v>0</v>
      </c>
      <c r="T244">
        <f t="shared" si="60"/>
        <v>0</v>
      </c>
      <c r="U244">
        <f t="shared" si="60"/>
        <v>0</v>
      </c>
      <c r="V244" s="108">
        <f t="shared" si="53"/>
        <v>299</v>
      </c>
      <c r="W244" s="26">
        <f t="shared" si="54"/>
        <v>1049</v>
      </c>
      <c r="X244">
        <f t="shared" si="55"/>
        <v>0</v>
      </c>
      <c r="Y244">
        <f t="shared" si="57"/>
        <v>8.7416666666666671</v>
      </c>
      <c r="Z244">
        <f t="shared" si="58"/>
        <v>0</v>
      </c>
    </row>
    <row r="245" spans="11:26" x14ac:dyDescent="0.25">
      <c r="K245" s="105">
        <v>212</v>
      </c>
      <c r="L245">
        <f t="shared" si="61"/>
        <v>0</v>
      </c>
      <c r="M245">
        <f t="shared" si="61"/>
        <v>0</v>
      </c>
      <c r="N245">
        <f t="shared" si="61"/>
        <v>104</v>
      </c>
      <c r="O245">
        <f t="shared" si="61"/>
        <v>78</v>
      </c>
      <c r="P245">
        <f t="shared" si="61"/>
        <v>0</v>
      </c>
      <c r="Q245">
        <f t="shared" si="61"/>
        <v>117</v>
      </c>
      <c r="R245">
        <f t="shared" si="56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 s="108">
        <f t="shared" si="53"/>
        <v>299</v>
      </c>
      <c r="W245" s="26">
        <f t="shared" si="54"/>
        <v>1049</v>
      </c>
      <c r="X245">
        <f t="shared" si="55"/>
        <v>0</v>
      </c>
      <c r="Y245">
        <f t="shared" si="57"/>
        <v>8.7416666666666671</v>
      </c>
      <c r="Z245">
        <f t="shared" si="58"/>
        <v>0</v>
      </c>
    </row>
    <row r="246" spans="11:26" x14ac:dyDescent="0.25">
      <c r="K246" s="105">
        <v>213</v>
      </c>
      <c r="L246">
        <f t="shared" si="61"/>
        <v>0</v>
      </c>
      <c r="M246">
        <f t="shared" si="61"/>
        <v>0</v>
      </c>
      <c r="N246">
        <f t="shared" si="61"/>
        <v>104</v>
      </c>
      <c r="O246">
        <f t="shared" si="61"/>
        <v>78</v>
      </c>
      <c r="P246">
        <f t="shared" si="61"/>
        <v>0</v>
      </c>
      <c r="Q246">
        <f t="shared" si="61"/>
        <v>117</v>
      </c>
      <c r="R246">
        <f t="shared" si="56"/>
        <v>0</v>
      </c>
      <c r="S246">
        <f t="shared" si="60"/>
        <v>0</v>
      </c>
      <c r="T246">
        <f t="shared" si="60"/>
        <v>0</v>
      </c>
      <c r="U246">
        <f t="shared" si="60"/>
        <v>0</v>
      </c>
      <c r="V246" s="108">
        <f t="shared" si="53"/>
        <v>299</v>
      </c>
      <c r="W246" s="26">
        <f t="shared" si="54"/>
        <v>1049</v>
      </c>
      <c r="X246">
        <f t="shared" si="55"/>
        <v>0</v>
      </c>
      <c r="Y246">
        <f t="shared" si="57"/>
        <v>8.7416666666666671</v>
      </c>
      <c r="Z246">
        <f t="shared" si="58"/>
        <v>0</v>
      </c>
    </row>
    <row r="247" spans="11:26" x14ac:dyDescent="0.25">
      <c r="K247" s="105">
        <v>214</v>
      </c>
      <c r="L247">
        <f t="shared" si="61"/>
        <v>0</v>
      </c>
      <c r="M247">
        <f t="shared" si="61"/>
        <v>0</v>
      </c>
      <c r="N247">
        <f t="shared" si="61"/>
        <v>104</v>
      </c>
      <c r="O247">
        <f t="shared" si="61"/>
        <v>78</v>
      </c>
      <c r="P247">
        <f t="shared" si="61"/>
        <v>0</v>
      </c>
      <c r="Q247">
        <f t="shared" si="61"/>
        <v>117</v>
      </c>
      <c r="R247">
        <f t="shared" si="56"/>
        <v>0</v>
      </c>
      <c r="S247">
        <f t="shared" si="60"/>
        <v>0</v>
      </c>
      <c r="T247">
        <f t="shared" si="60"/>
        <v>0</v>
      </c>
      <c r="U247">
        <f t="shared" si="60"/>
        <v>0</v>
      </c>
      <c r="V247" s="108">
        <f t="shared" si="53"/>
        <v>299</v>
      </c>
      <c r="W247" s="26">
        <f t="shared" si="54"/>
        <v>1049</v>
      </c>
      <c r="X247">
        <f t="shared" si="55"/>
        <v>0</v>
      </c>
      <c r="Y247">
        <f t="shared" si="57"/>
        <v>8.7416666666666671</v>
      </c>
      <c r="Z247">
        <f t="shared" si="58"/>
        <v>0</v>
      </c>
    </row>
    <row r="248" spans="11:26" x14ac:dyDescent="0.25">
      <c r="K248" s="105">
        <v>215</v>
      </c>
      <c r="L248">
        <f t="shared" si="61"/>
        <v>0</v>
      </c>
      <c r="M248">
        <f t="shared" si="61"/>
        <v>0</v>
      </c>
      <c r="N248">
        <f t="shared" si="61"/>
        <v>104</v>
      </c>
      <c r="O248">
        <f t="shared" si="61"/>
        <v>78</v>
      </c>
      <c r="P248">
        <f t="shared" si="61"/>
        <v>0</v>
      </c>
      <c r="Q248">
        <f t="shared" si="61"/>
        <v>117</v>
      </c>
      <c r="R248">
        <f t="shared" si="56"/>
        <v>0</v>
      </c>
      <c r="S248">
        <f t="shared" si="60"/>
        <v>0</v>
      </c>
      <c r="T248">
        <f t="shared" si="60"/>
        <v>0</v>
      </c>
      <c r="U248">
        <f t="shared" si="60"/>
        <v>0</v>
      </c>
      <c r="V248" s="108">
        <f t="shared" si="53"/>
        <v>299</v>
      </c>
      <c r="W248" s="26">
        <f t="shared" si="54"/>
        <v>1049</v>
      </c>
      <c r="X248">
        <f t="shared" si="55"/>
        <v>0</v>
      </c>
      <c r="Y248">
        <f t="shared" si="57"/>
        <v>8.7416666666666671</v>
      </c>
      <c r="Z248">
        <f t="shared" si="58"/>
        <v>0</v>
      </c>
    </row>
    <row r="249" spans="11:26" x14ac:dyDescent="0.25">
      <c r="K249" s="105">
        <v>216</v>
      </c>
      <c r="L249">
        <f t="shared" si="61"/>
        <v>0</v>
      </c>
      <c r="M249">
        <f t="shared" si="61"/>
        <v>0</v>
      </c>
      <c r="N249">
        <f t="shared" si="61"/>
        <v>104</v>
      </c>
      <c r="O249">
        <f t="shared" si="61"/>
        <v>78</v>
      </c>
      <c r="P249">
        <f t="shared" si="61"/>
        <v>0</v>
      </c>
      <c r="Q249">
        <f t="shared" si="61"/>
        <v>117</v>
      </c>
      <c r="R249">
        <f t="shared" si="56"/>
        <v>0</v>
      </c>
      <c r="S249">
        <f t="shared" si="60"/>
        <v>0</v>
      </c>
      <c r="T249">
        <f t="shared" si="60"/>
        <v>0</v>
      </c>
      <c r="U249">
        <f t="shared" si="60"/>
        <v>0</v>
      </c>
      <c r="V249" s="108">
        <f t="shared" si="53"/>
        <v>299</v>
      </c>
      <c r="W249" s="26">
        <f t="shared" si="54"/>
        <v>1049</v>
      </c>
      <c r="X249">
        <f t="shared" si="55"/>
        <v>0</v>
      </c>
      <c r="Y249">
        <f t="shared" si="57"/>
        <v>8.7416666666666671</v>
      </c>
      <c r="Z249">
        <f t="shared" si="58"/>
        <v>0</v>
      </c>
    </row>
    <row r="250" spans="11:26" x14ac:dyDescent="0.25">
      <c r="K250" s="105">
        <v>217</v>
      </c>
      <c r="L250">
        <f t="shared" si="61"/>
        <v>0</v>
      </c>
      <c r="M250">
        <f t="shared" si="61"/>
        <v>0</v>
      </c>
      <c r="N250">
        <f t="shared" si="61"/>
        <v>104</v>
      </c>
      <c r="O250">
        <f t="shared" si="61"/>
        <v>78</v>
      </c>
      <c r="P250">
        <f t="shared" si="61"/>
        <v>0</v>
      </c>
      <c r="Q250">
        <f t="shared" si="61"/>
        <v>117</v>
      </c>
      <c r="R250">
        <f t="shared" si="56"/>
        <v>0</v>
      </c>
      <c r="S250">
        <f t="shared" si="60"/>
        <v>0</v>
      </c>
      <c r="T250">
        <f t="shared" si="60"/>
        <v>0</v>
      </c>
      <c r="U250">
        <f t="shared" si="60"/>
        <v>0</v>
      </c>
      <c r="V250" s="108">
        <f t="shared" si="53"/>
        <v>299</v>
      </c>
      <c r="W250" s="26">
        <f t="shared" si="54"/>
        <v>1049</v>
      </c>
      <c r="X250">
        <f t="shared" si="55"/>
        <v>0</v>
      </c>
      <c r="Y250">
        <f t="shared" si="57"/>
        <v>8.7416666666666671</v>
      </c>
      <c r="Z250">
        <f t="shared" si="58"/>
        <v>0</v>
      </c>
    </row>
    <row r="251" spans="11:26" x14ac:dyDescent="0.25">
      <c r="K251" s="105">
        <v>218</v>
      </c>
      <c r="L251">
        <f t="shared" si="61"/>
        <v>0</v>
      </c>
      <c r="M251">
        <f t="shared" si="61"/>
        <v>0</v>
      </c>
      <c r="N251">
        <f t="shared" si="61"/>
        <v>104</v>
      </c>
      <c r="O251">
        <f t="shared" si="61"/>
        <v>78</v>
      </c>
      <c r="P251">
        <f t="shared" si="61"/>
        <v>0</v>
      </c>
      <c r="Q251">
        <f t="shared" si="61"/>
        <v>117</v>
      </c>
      <c r="R251">
        <f t="shared" si="56"/>
        <v>0</v>
      </c>
      <c r="S251">
        <f t="shared" si="60"/>
        <v>0</v>
      </c>
      <c r="T251">
        <f t="shared" si="60"/>
        <v>0</v>
      </c>
      <c r="U251">
        <f t="shared" si="60"/>
        <v>0</v>
      </c>
      <c r="V251" s="108">
        <f t="shared" si="53"/>
        <v>299</v>
      </c>
      <c r="W251" s="26">
        <f t="shared" si="54"/>
        <v>1049</v>
      </c>
      <c r="X251">
        <f t="shared" si="55"/>
        <v>0</v>
      </c>
      <c r="Y251">
        <f t="shared" si="57"/>
        <v>8.7416666666666671</v>
      </c>
      <c r="Z251">
        <f t="shared" si="58"/>
        <v>0</v>
      </c>
    </row>
    <row r="252" spans="11:26" x14ac:dyDescent="0.25">
      <c r="K252" s="105">
        <v>219</v>
      </c>
      <c r="L252">
        <f t="shared" si="61"/>
        <v>0</v>
      </c>
      <c r="M252">
        <f t="shared" si="61"/>
        <v>0</v>
      </c>
      <c r="N252">
        <f t="shared" si="61"/>
        <v>104</v>
      </c>
      <c r="O252">
        <f t="shared" si="61"/>
        <v>78</v>
      </c>
      <c r="P252">
        <f t="shared" si="61"/>
        <v>0</v>
      </c>
      <c r="Q252">
        <f t="shared" si="61"/>
        <v>117</v>
      </c>
      <c r="R252">
        <f t="shared" si="56"/>
        <v>0</v>
      </c>
      <c r="S252">
        <f t="shared" si="60"/>
        <v>0</v>
      </c>
      <c r="T252">
        <f t="shared" si="60"/>
        <v>0</v>
      </c>
      <c r="U252">
        <f t="shared" si="60"/>
        <v>0</v>
      </c>
      <c r="V252" s="108">
        <f t="shared" si="53"/>
        <v>299</v>
      </c>
      <c r="W252" s="26">
        <f t="shared" si="54"/>
        <v>1049</v>
      </c>
      <c r="X252">
        <f t="shared" si="55"/>
        <v>0</v>
      </c>
      <c r="Y252">
        <f t="shared" si="57"/>
        <v>8.7416666666666671</v>
      </c>
      <c r="Z252">
        <f t="shared" si="58"/>
        <v>0</v>
      </c>
    </row>
    <row r="253" spans="11:26" x14ac:dyDescent="0.25">
      <c r="K253" s="105">
        <v>220</v>
      </c>
      <c r="L253">
        <f t="shared" si="61"/>
        <v>0</v>
      </c>
      <c r="M253">
        <f t="shared" si="61"/>
        <v>0</v>
      </c>
      <c r="N253">
        <f t="shared" si="61"/>
        <v>104</v>
      </c>
      <c r="O253">
        <f t="shared" si="61"/>
        <v>78</v>
      </c>
      <c r="P253">
        <f t="shared" si="61"/>
        <v>0</v>
      </c>
      <c r="Q253">
        <f t="shared" si="61"/>
        <v>117</v>
      </c>
      <c r="R253">
        <f t="shared" si="56"/>
        <v>0</v>
      </c>
      <c r="S253">
        <f t="shared" si="60"/>
        <v>0</v>
      </c>
      <c r="T253">
        <f t="shared" si="60"/>
        <v>0</v>
      </c>
      <c r="U253">
        <f t="shared" si="60"/>
        <v>0</v>
      </c>
      <c r="V253" s="108">
        <f t="shared" si="53"/>
        <v>299</v>
      </c>
      <c r="W253" s="26">
        <f t="shared" si="54"/>
        <v>1049</v>
      </c>
      <c r="X253">
        <f t="shared" si="55"/>
        <v>0</v>
      </c>
      <c r="Y253">
        <f t="shared" si="57"/>
        <v>8.7416666666666671</v>
      </c>
      <c r="Z253">
        <f t="shared" si="58"/>
        <v>0</v>
      </c>
    </row>
    <row r="254" spans="11:26" x14ac:dyDescent="0.25">
      <c r="K254" s="105">
        <v>221</v>
      </c>
      <c r="L254">
        <f t="shared" ref="L254:Q263" si="62">IF(MID(DEC2BIN($K254,10),L$32,1)="1",L$33,0)</f>
        <v>0</v>
      </c>
      <c r="M254">
        <f t="shared" si="62"/>
        <v>0</v>
      </c>
      <c r="N254">
        <f t="shared" si="62"/>
        <v>104</v>
      </c>
      <c r="O254">
        <f t="shared" si="62"/>
        <v>78</v>
      </c>
      <c r="P254">
        <f t="shared" si="62"/>
        <v>0</v>
      </c>
      <c r="Q254">
        <f t="shared" si="62"/>
        <v>117</v>
      </c>
      <c r="R254">
        <f t="shared" si="56"/>
        <v>0</v>
      </c>
      <c r="S254">
        <f t="shared" ref="S254:U273" si="63">IF(MID(DEC2BIN($K254,10),S$32,1)="1",S$33,0)</f>
        <v>0</v>
      </c>
      <c r="T254">
        <f t="shared" si="63"/>
        <v>0</v>
      </c>
      <c r="U254">
        <f t="shared" si="63"/>
        <v>0</v>
      </c>
      <c r="V254" s="108">
        <f t="shared" si="53"/>
        <v>299</v>
      </c>
      <c r="W254" s="26">
        <f t="shared" si="54"/>
        <v>1049</v>
      </c>
      <c r="X254">
        <f t="shared" si="55"/>
        <v>0</v>
      </c>
      <c r="Y254">
        <f t="shared" si="57"/>
        <v>8.7416666666666671</v>
      </c>
      <c r="Z254">
        <f t="shared" si="58"/>
        <v>0</v>
      </c>
    </row>
    <row r="255" spans="11:26" x14ac:dyDescent="0.25">
      <c r="K255" s="105">
        <v>222</v>
      </c>
      <c r="L255">
        <f t="shared" si="62"/>
        <v>0</v>
      </c>
      <c r="M255">
        <f t="shared" si="62"/>
        <v>0</v>
      </c>
      <c r="N255">
        <f t="shared" si="62"/>
        <v>104</v>
      </c>
      <c r="O255">
        <f t="shared" si="62"/>
        <v>78</v>
      </c>
      <c r="P255">
        <f t="shared" si="62"/>
        <v>0</v>
      </c>
      <c r="Q255">
        <f t="shared" si="62"/>
        <v>117</v>
      </c>
      <c r="R255">
        <f t="shared" si="56"/>
        <v>0</v>
      </c>
      <c r="S255">
        <f t="shared" si="63"/>
        <v>0</v>
      </c>
      <c r="T255">
        <f t="shared" si="63"/>
        <v>0</v>
      </c>
      <c r="U255">
        <f t="shared" si="63"/>
        <v>0</v>
      </c>
      <c r="V255" s="108">
        <f t="shared" si="53"/>
        <v>299</v>
      </c>
      <c r="W255" s="26">
        <f t="shared" si="54"/>
        <v>1049</v>
      </c>
      <c r="X255">
        <f t="shared" si="55"/>
        <v>0</v>
      </c>
      <c r="Y255">
        <f t="shared" si="57"/>
        <v>8.7416666666666671</v>
      </c>
      <c r="Z255">
        <f t="shared" si="58"/>
        <v>0</v>
      </c>
    </row>
    <row r="256" spans="11:26" x14ac:dyDescent="0.25">
      <c r="K256" s="105">
        <v>223</v>
      </c>
      <c r="L256">
        <f t="shared" si="62"/>
        <v>0</v>
      </c>
      <c r="M256">
        <f t="shared" si="62"/>
        <v>0</v>
      </c>
      <c r="N256">
        <f t="shared" si="62"/>
        <v>104</v>
      </c>
      <c r="O256">
        <f t="shared" si="62"/>
        <v>78</v>
      </c>
      <c r="P256">
        <f t="shared" si="62"/>
        <v>0</v>
      </c>
      <c r="Q256">
        <f t="shared" si="62"/>
        <v>117</v>
      </c>
      <c r="R256">
        <f t="shared" si="56"/>
        <v>0</v>
      </c>
      <c r="S256">
        <f t="shared" si="63"/>
        <v>0</v>
      </c>
      <c r="T256">
        <f t="shared" si="63"/>
        <v>0</v>
      </c>
      <c r="U256">
        <f t="shared" si="63"/>
        <v>0</v>
      </c>
      <c r="V256" s="108">
        <f t="shared" si="53"/>
        <v>299</v>
      </c>
      <c r="W256" s="26">
        <f t="shared" si="54"/>
        <v>1049</v>
      </c>
      <c r="X256">
        <f t="shared" si="55"/>
        <v>0</v>
      </c>
      <c r="Y256">
        <f t="shared" si="57"/>
        <v>8.7416666666666671</v>
      </c>
      <c r="Z256">
        <f t="shared" si="58"/>
        <v>0</v>
      </c>
    </row>
    <row r="257" spans="11:26" x14ac:dyDescent="0.25">
      <c r="K257" s="105">
        <v>224</v>
      </c>
      <c r="L257">
        <f t="shared" si="62"/>
        <v>0</v>
      </c>
      <c r="M257">
        <f t="shared" si="62"/>
        <v>0</v>
      </c>
      <c r="N257">
        <f t="shared" si="62"/>
        <v>104</v>
      </c>
      <c r="O257">
        <f t="shared" si="62"/>
        <v>78</v>
      </c>
      <c r="P257">
        <f t="shared" si="62"/>
        <v>89</v>
      </c>
      <c r="Q257">
        <f t="shared" si="62"/>
        <v>0</v>
      </c>
      <c r="R257">
        <f t="shared" si="56"/>
        <v>0</v>
      </c>
      <c r="S257">
        <f t="shared" si="63"/>
        <v>0</v>
      </c>
      <c r="T257">
        <f t="shared" si="63"/>
        <v>0</v>
      </c>
      <c r="U257">
        <f t="shared" si="63"/>
        <v>0</v>
      </c>
      <c r="V257" s="108">
        <f t="shared" si="53"/>
        <v>271</v>
      </c>
      <c r="W257" s="26">
        <f t="shared" si="54"/>
        <v>1077</v>
      </c>
      <c r="X257">
        <f t="shared" si="55"/>
        <v>0</v>
      </c>
      <c r="Y257">
        <f t="shared" si="57"/>
        <v>8.9749999999999996</v>
      </c>
      <c r="Z257">
        <f t="shared" si="58"/>
        <v>0</v>
      </c>
    </row>
    <row r="258" spans="11:26" x14ac:dyDescent="0.25">
      <c r="K258" s="105">
        <v>225</v>
      </c>
      <c r="L258">
        <f t="shared" si="62"/>
        <v>0</v>
      </c>
      <c r="M258">
        <f t="shared" si="62"/>
        <v>0</v>
      </c>
      <c r="N258">
        <f t="shared" si="62"/>
        <v>104</v>
      </c>
      <c r="O258">
        <f t="shared" si="62"/>
        <v>78</v>
      </c>
      <c r="P258">
        <f t="shared" si="62"/>
        <v>89</v>
      </c>
      <c r="Q258">
        <f t="shared" si="62"/>
        <v>0</v>
      </c>
      <c r="R258">
        <f t="shared" si="56"/>
        <v>0</v>
      </c>
      <c r="S258">
        <f t="shared" si="63"/>
        <v>0</v>
      </c>
      <c r="T258">
        <f t="shared" si="63"/>
        <v>0</v>
      </c>
      <c r="U258">
        <f t="shared" si="63"/>
        <v>0</v>
      </c>
      <c r="V258" s="108">
        <f t="shared" si="53"/>
        <v>271</v>
      </c>
      <c r="W258" s="26">
        <f t="shared" si="54"/>
        <v>1077</v>
      </c>
      <c r="X258">
        <f t="shared" si="55"/>
        <v>0</v>
      </c>
      <c r="Y258">
        <f t="shared" si="57"/>
        <v>8.9749999999999996</v>
      </c>
      <c r="Z258">
        <f t="shared" si="58"/>
        <v>0</v>
      </c>
    </row>
    <row r="259" spans="11:26" x14ac:dyDescent="0.25">
      <c r="K259" s="105">
        <v>226</v>
      </c>
      <c r="L259">
        <f t="shared" si="62"/>
        <v>0</v>
      </c>
      <c r="M259">
        <f t="shared" si="62"/>
        <v>0</v>
      </c>
      <c r="N259">
        <f t="shared" si="62"/>
        <v>104</v>
      </c>
      <c r="O259">
        <f t="shared" si="62"/>
        <v>78</v>
      </c>
      <c r="P259">
        <f t="shared" si="62"/>
        <v>89</v>
      </c>
      <c r="Q259">
        <f t="shared" si="62"/>
        <v>0</v>
      </c>
      <c r="R259">
        <f t="shared" si="56"/>
        <v>0</v>
      </c>
      <c r="S259">
        <f t="shared" si="63"/>
        <v>0</v>
      </c>
      <c r="T259">
        <f t="shared" si="63"/>
        <v>0</v>
      </c>
      <c r="U259">
        <f t="shared" si="63"/>
        <v>0</v>
      </c>
      <c r="V259" s="108">
        <f t="shared" si="53"/>
        <v>271</v>
      </c>
      <c r="W259" s="26">
        <f t="shared" si="54"/>
        <v>1077</v>
      </c>
      <c r="X259">
        <f t="shared" si="55"/>
        <v>0</v>
      </c>
      <c r="Y259">
        <f t="shared" si="57"/>
        <v>8.9749999999999996</v>
      </c>
      <c r="Z259">
        <f t="shared" si="58"/>
        <v>0</v>
      </c>
    </row>
    <row r="260" spans="11:26" x14ac:dyDescent="0.25">
      <c r="K260" s="105">
        <v>227</v>
      </c>
      <c r="L260">
        <f t="shared" si="62"/>
        <v>0</v>
      </c>
      <c r="M260">
        <f t="shared" si="62"/>
        <v>0</v>
      </c>
      <c r="N260">
        <f t="shared" si="62"/>
        <v>104</v>
      </c>
      <c r="O260">
        <f t="shared" si="62"/>
        <v>78</v>
      </c>
      <c r="P260">
        <f t="shared" si="62"/>
        <v>89</v>
      </c>
      <c r="Q260">
        <f t="shared" si="62"/>
        <v>0</v>
      </c>
      <c r="R260">
        <f t="shared" si="56"/>
        <v>0</v>
      </c>
      <c r="S260">
        <f t="shared" si="63"/>
        <v>0</v>
      </c>
      <c r="T260">
        <f t="shared" si="63"/>
        <v>0</v>
      </c>
      <c r="U260">
        <f t="shared" si="63"/>
        <v>0</v>
      </c>
      <c r="V260" s="108">
        <f t="shared" si="53"/>
        <v>271</v>
      </c>
      <c r="W260" s="26">
        <f t="shared" si="54"/>
        <v>1077</v>
      </c>
      <c r="X260">
        <f t="shared" si="55"/>
        <v>0</v>
      </c>
      <c r="Y260">
        <f t="shared" si="57"/>
        <v>8.9749999999999996</v>
      </c>
      <c r="Z260">
        <f t="shared" si="58"/>
        <v>0</v>
      </c>
    </row>
    <row r="261" spans="11:26" x14ac:dyDescent="0.25">
      <c r="K261" s="105">
        <v>228</v>
      </c>
      <c r="L261">
        <f t="shared" si="62"/>
        <v>0</v>
      </c>
      <c r="M261">
        <f t="shared" si="62"/>
        <v>0</v>
      </c>
      <c r="N261">
        <f t="shared" si="62"/>
        <v>104</v>
      </c>
      <c r="O261">
        <f t="shared" si="62"/>
        <v>78</v>
      </c>
      <c r="P261">
        <f t="shared" si="62"/>
        <v>89</v>
      </c>
      <c r="Q261">
        <f t="shared" si="62"/>
        <v>0</v>
      </c>
      <c r="R261">
        <f t="shared" si="56"/>
        <v>0</v>
      </c>
      <c r="S261">
        <f t="shared" si="63"/>
        <v>0</v>
      </c>
      <c r="T261">
        <f t="shared" si="63"/>
        <v>0</v>
      </c>
      <c r="U261">
        <f t="shared" si="63"/>
        <v>0</v>
      </c>
      <c r="V261" s="108">
        <f t="shared" si="53"/>
        <v>271</v>
      </c>
      <c r="W261" s="26">
        <f t="shared" si="54"/>
        <v>1077</v>
      </c>
      <c r="X261">
        <f t="shared" si="55"/>
        <v>0</v>
      </c>
      <c r="Y261">
        <f t="shared" si="57"/>
        <v>8.9749999999999996</v>
      </c>
      <c r="Z261">
        <f t="shared" si="58"/>
        <v>0</v>
      </c>
    </row>
    <row r="262" spans="11:26" x14ac:dyDescent="0.25">
      <c r="K262" s="105">
        <v>229</v>
      </c>
      <c r="L262">
        <f t="shared" si="62"/>
        <v>0</v>
      </c>
      <c r="M262">
        <f t="shared" si="62"/>
        <v>0</v>
      </c>
      <c r="N262">
        <f t="shared" si="62"/>
        <v>104</v>
      </c>
      <c r="O262">
        <f t="shared" si="62"/>
        <v>78</v>
      </c>
      <c r="P262">
        <f t="shared" si="62"/>
        <v>89</v>
      </c>
      <c r="Q262">
        <f t="shared" si="62"/>
        <v>0</v>
      </c>
      <c r="R262">
        <f t="shared" si="56"/>
        <v>0</v>
      </c>
      <c r="S262">
        <f t="shared" si="63"/>
        <v>0</v>
      </c>
      <c r="T262">
        <f t="shared" si="63"/>
        <v>0</v>
      </c>
      <c r="U262">
        <f t="shared" si="63"/>
        <v>0</v>
      </c>
      <c r="V262" s="108">
        <f t="shared" si="53"/>
        <v>271</v>
      </c>
      <c r="W262" s="26">
        <f t="shared" si="54"/>
        <v>1077</v>
      </c>
      <c r="X262">
        <f t="shared" si="55"/>
        <v>0</v>
      </c>
      <c r="Y262">
        <f t="shared" si="57"/>
        <v>8.9749999999999996</v>
      </c>
      <c r="Z262">
        <f t="shared" si="58"/>
        <v>0</v>
      </c>
    </row>
    <row r="263" spans="11:26" x14ac:dyDescent="0.25">
      <c r="K263" s="105">
        <v>230</v>
      </c>
      <c r="L263">
        <f t="shared" si="62"/>
        <v>0</v>
      </c>
      <c r="M263">
        <f t="shared" si="62"/>
        <v>0</v>
      </c>
      <c r="N263">
        <f t="shared" si="62"/>
        <v>104</v>
      </c>
      <c r="O263">
        <f t="shared" si="62"/>
        <v>78</v>
      </c>
      <c r="P263">
        <f t="shared" si="62"/>
        <v>89</v>
      </c>
      <c r="Q263">
        <f t="shared" si="62"/>
        <v>0</v>
      </c>
      <c r="R263">
        <f t="shared" si="56"/>
        <v>0</v>
      </c>
      <c r="S263">
        <f t="shared" si="63"/>
        <v>0</v>
      </c>
      <c r="T263">
        <f t="shared" si="63"/>
        <v>0</v>
      </c>
      <c r="U263">
        <f t="shared" si="63"/>
        <v>0</v>
      </c>
      <c r="V263" s="108">
        <f t="shared" si="53"/>
        <v>271</v>
      </c>
      <c r="W263" s="26">
        <f t="shared" si="54"/>
        <v>1077</v>
      </c>
      <c r="X263">
        <f t="shared" si="55"/>
        <v>0</v>
      </c>
      <c r="Y263">
        <f t="shared" si="57"/>
        <v>8.9749999999999996</v>
      </c>
      <c r="Z263">
        <f t="shared" si="58"/>
        <v>0</v>
      </c>
    </row>
    <row r="264" spans="11:26" x14ac:dyDescent="0.25">
      <c r="K264" s="105">
        <v>231</v>
      </c>
      <c r="L264">
        <f t="shared" ref="L264:Q273" si="64">IF(MID(DEC2BIN($K264,10),L$32,1)="1",L$33,0)</f>
        <v>0</v>
      </c>
      <c r="M264">
        <f t="shared" si="64"/>
        <v>0</v>
      </c>
      <c r="N264">
        <f t="shared" si="64"/>
        <v>104</v>
      </c>
      <c r="O264">
        <f t="shared" si="64"/>
        <v>78</v>
      </c>
      <c r="P264">
        <f t="shared" si="64"/>
        <v>89</v>
      </c>
      <c r="Q264">
        <f t="shared" si="64"/>
        <v>0</v>
      </c>
      <c r="R264">
        <f t="shared" si="56"/>
        <v>0</v>
      </c>
      <c r="S264">
        <f t="shared" si="63"/>
        <v>0</v>
      </c>
      <c r="T264">
        <f t="shared" si="63"/>
        <v>0</v>
      </c>
      <c r="U264">
        <f t="shared" si="63"/>
        <v>0</v>
      </c>
      <c r="V264" s="108">
        <f t="shared" si="53"/>
        <v>271</v>
      </c>
      <c r="W264" s="26">
        <f t="shared" si="54"/>
        <v>1077</v>
      </c>
      <c r="X264">
        <f t="shared" si="55"/>
        <v>0</v>
      </c>
      <c r="Y264">
        <f t="shared" si="57"/>
        <v>8.9749999999999996</v>
      </c>
      <c r="Z264">
        <f t="shared" si="58"/>
        <v>0</v>
      </c>
    </row>
    <row r="265" spans="11:26" x14ac:dyDescent="0.25">
      <c r="K265" s="105">
        <v>232</v>
      </c>
      <c r="L265">
        <f t="shared" si="64"/>
        <v>0</v>
      </c>
      <c r="M265">
        <f t="shared" si="64"/>
        <v>0</v>
      </c>
      <c r="N265">
        <f t="shared" si="64"/>
        <v>104</v>
      </c>
      <c r="O265">
        <f t="shared" si="64"/>
        <v>78</v>
      </c>
      <c r="P265">
        <f t="shared" si="64"/>
        <v>89</v>
      </c>
      <c r="Q265">
        <f t="shared" si="64"/>
        <v>0</v>
      </c>
      <c r="R265">
        <f t="shared" si="56"/>
        <v>0</v>
      </c>
      <c r="S265">
        <f t="shared" si="63"/>
        <v>0</v>
      </c>
      <c r="T265">
        <f t="shared" si="63"/>
        <v>0</v>
      </c>
      <c r="U265">
        <f t="shared" si="63"/>
        <v>0</v>
      </c>
      <c r="V265" s="108">
        <f t="shared" si="53"/>
        <v>271</v>
      </c>
      <c r="W265" s="26">
        <f t="shared" si="54"/>
        <v>1077</v>
      </c>
      <c r="X265">
        <f t="shared" si="55"/>
        <v>0</v>
      </c>
      <c r="Y265">
        <f t="shared" si="57"/>
        <v>8.9749999999999996</v>
      </c>
      <c r="Z265">
        <f t="shared" si="58"/>
        <v>0</v>
      </c>
    </row>
    <row r="266" spans="11:26" x14ac:dyDescent="0.25">
      <c r="K266" s="105">
        <v>233</v>
      </c>
      <c r="L266">
        <f t="shared" si="64"/>
        <v>0</v>
      </c>
      <c r="M266">
        <f t="shared" si="64"/>
        <v>0</v>
      </c>
      <c r="N266">
        <f t="shared" si="64"/>
        <v>104</v>
      </c>
      <c r="O266">
        <f t="shared" si="64"/>
        <v>78</v>
      </c>
      <c r="P266">
        <f t="shared" si="64"/>
        <v>89</v>
      </c>
      <c r="Q266">
        <f t="shared" si="64"/>
        <v>0</v>
      </c>
      <c r="R266">
        <f t="shared" si="56"/>
        <v>0</v>
      </c>
      <c r="S266">
        <f t="shared" si="63"/>
        <v>0</v>
      </c>
      <c r="T266">
        <f t="shared" si="63"/>
        <v>0</v>
      </c>
      <c r="U266">
        <f t="shared" si="63"/>
        <v>0</v>
      </c>
      <c r="V266" s="108">
        <f t="shared" si="53"/>
        <v>271</v>
      </c>
      <c r="W266" s="26">
        <f t="shared" si="54"/>
        <v>1077</v>
      </c>
      <c r="X266">
        <f t="shared" si="55"/>
        <v>0</v>
      </c>
      <c r="Y266">
        <f t="shared" si="57"/>
        <v>8.9749999999999996</v>
      </c>
      <c r="Z266">
        <f t="shared" si="58"/>
        <v>0</v>
      </c>
    </row>
    <row r="267" spans="11:26" x14ac:dyDescent="0.25">
      <c r="K267" s="105">
        <v>234</v>
      </c>
      <c r="L267">
        <f t="shared" si="64"/>
        <v>0</v>
      </c>
      <c r="M267">
        <f t="shared" si="64"/>
        <v>0</v>
      </c>
      <c r="N267">
        <f t="shared" si="64"/>
        <v>104</v>
      </c>
      <c r="O267">
        <f t="shared" si="64"/>
        <v>78</v>
      </c>
      <c r="P267">
        <f t="shared" si="64"/>
        <v>89</v>
      </c>
      <c r="Q267">
        <f t="shared" si="64"/>
        <v>0</v>
      </c>
      <c r="R267">
        <f t="shared" si="56"/>
        <v>0</v>
      </c>
      <c r="S267">
        <f t="shared" si="63"/>
        <v>0</v>
      </c>
      <c r="T267">
        <f t="shared" si="63"/>
        <v>0</v>
      </c>
      <c r="U267">
        <f t="shared" si="63"/>
        <v>0</v>
      </c>
      <c r="V267" s="108">
        <f t="shared" si="53"/>
        <v>271</v>
      </c>
      <c r="W267" s="26">
        <f t="shared" si="54"/>
        <v>1077</v>
      </c>
      <c r="X267">
        <f t="shared" si="55"/>
        <v>0</v>
      </c>
      <c r="Y267">
        <f t="shared" si="57"/>
        <v>8.9749999999999996</v>
      </c>
      <c r="Z267">
        <f t="shared" si="58"/>
        <v>0</v>
      </c>
    </row>
    <row r="268" spans="11:26" x14ac:dyDescent="0.25">
      <c r="K268" s="105">
        <v>235</v>
      </c>
      <c r="L268">
        <f t="shared" si="64"/>
        <v>0</v>
      </c>
      <c r="M268">
        <f t="shared" si="64"/>
        <v>0</v>
      </c>
      <c r="N268">
        <f t="shared" si="64"/>
        <v>104</v>
      </c>
      <c r="O268">
        <f t="shared" si="64"/>
        <v>78</v>
      </c>
      <c r="P268">
        <f t="shared" si="64"/>
        <v>89</v>
      </c>
      <c r="Q268">
        <f t="shared" si="64"/>
        <v>0</v>
      </c>
      <c r="R268">
        <f t="shared" si="56"/>
        <v>0</v>
      </c>
      <c r="S268">
        <f t="shared" si="63"/>
        <v>0</v>
      </c>
      <c r="T268">
        <f t="shared" si="63"/>
        <v>0</v>
      </c>
      <c r="U268">
        <f t="shared" si="63"/>
        <v>0</v>
      </c>
      <c r="V268" s="108">
        <f t="shared" si="53"/>
        <v>271</v>
      </c>
      <c r="W268" s="26">
        <f t="shared" si="54"/>
        <v>1077</v>
      </c>
      <c r="X268">
        <f t="shared" si="55"/>
        <v>0</v>
      </c>
      <c r="Y268">
        <f t="shared" si="57"/>
        <v>8.9749999999999996</v>
      </c>
      <c r="Z268">
        <f t="shared" si="58"/>
        <v>0</v>
      </c>
    </row>
    <row r="269" spans="11:26" x14ac:dyDescent="0.25">
      <c r="K269" s="105">
        <v>236</v>
      </c>
      <c r="L269">
        <f t="shared" si="64"/>
        <v>0</v>
      </c>
      <c r="M269">
        <f t="shared" si="64"/>
        <v>0</v>
      </c>
      <c r="N269">
        <f t="shared" si="64"/>
        <v>104</v>
      </c>
      <c r="O269">
        <f t="shared" si="64"/>
        <v>78</v>
      </c>
      <c r="P269">
        <f t="shared" si="64"/>
        <v>89</v>
      </c>
      <c r="Q269">
        <f t="shared" si="64"/>
        <v>0</v>
      </c>
      <c r="R269">
        <f t="shared" si="56"/>
        <v>0</v>
      </c>
      <c r="S269">
        <f t="shared" si="63"/>
        <v>0</v>
      </c>
      <c r="T269">
        <f t="shared" si="63"/>
        <v>0</v>
      </c>
      <c r="U269">
        <f t="shared" si="63"/>
        <v>0</v>
      </c>
      <c r="V269" s="108">
        <f t="shared" si="53"/>
        <v>271</v>
      </c>
      <c r="W269" s="26">
        <f t="shared" si="54"/>
        <v>1077</v>
      </c>
      <c r="X269">
        <f t="shared" si="55"/>
        <v>0</v>
      </c>
      <c r="Y269">
        <f t="shared" si="57"/>
        <v>8.9749999999999996</v>
      </c>
      <c r="Z269">
        <f t="shared" si="58"/>
        <v>0</v>
      </c>
    </row>
    <row r="270" spans="11:26" x14ac:dyDescent="0.25">
      <c r="K270" s="105">
        <v>237</v>
      </c>
      <c r="L270">
        <f t="shared" si="64"/>
        <v>0</v>
      </c>
      <c r="M270">
        <f t="shared" si="64"/>
        <v>0</v>
      </c>
      <c r="N270">
        <f t="shared" si="64"/>
        <v>104</v>
      </c>
      <c r="O270">
        <f t="shared" si="64"/>
        <v>78</v>
      </c>
      <c r="P270">
        <f t="shared" si="64"/>
        <v>89</v>
      </c>
      <c r="Q270">
        <f t="shared" si="64"/>
        <v>0</v>
      </c>
      <c r="R270">
        <f t="shared" si="56"/>
        <v>0</v>
      </c>
      <c r="S270">
        <f t="shared" si="63"/>
        <v>0</v>
      </c>
      <c r="T270">
        <f t="shared" si="63"/>
        <v>0</v>
      </c>
      <c r="U270">
        <f t="shared" si="63"/>
        <v>0</v>
      </c>
      <c r="V270" s="108">
        <f t="shared" si="53"/>
        <v>271</v>
      </c>
      <c r="W270" s="26">
        <f t="shared" si="54"/>
        <v>1077</v>
      </c>
      <c r="X270">
        <f t="shared" si="55"/>
        <v>0</v>
      </c>
      <c r="Y270">
        <f t="shared" si="57"/>
        <v>8.9749999999999996</v>
      </c>
      <c r="Z270">
        <f t="shared" si="58"/>
        <v>0</v>
      </c>
    </row>
    <row r="271" spans="11:26" x14ac:dyDescent="0.25">
      <c r="K271" s="105">
        <v>238</v>
      </c>
      <c r="L271">
        <f t="shared" si="64"/>
        <v>0</v>
      </c>
      <c r="M271">
        <f t="shared" si="64"/>
        <v>0</v>
      </c>
      <c r="N271">
        <f t="shared" si="64"/>
        <v>104</v>
      </c>
      <c r="O271">
        <f t="shared" si="64"/>
        <v>78</v>
      </c>
      <c r="P271">
        <f t="shared" si="64"/>
        <v>89</v>
      </c>
      <c r="Q271">
        <f t="shared" si="64"/>
        <v>0</v>
      </c>
      <c r="R271">
        <f t="shared" si="56"/>
        <v>0</v>
      </c>
      <c r="S271">
        <f t="shared" si="63"/>
        <v>0</v>
      </c>
      <c r="T271">
        <f t="shared" si="63"/>
        <v>0</v>
      </c>
      <c r="U271">
        <f t="shared" si="63"/>
        <v>0</v>
      </c>
      <c r="V271" s="108">
        <f t="shared" si="53"/>
        <v>271</v>
      </c>
      <c r="W271" s="26">
        <f t="shared" si="54"/>
        <v>1077</v>
      </c>
      <c r="X271">
        <f t="shared" si="55"/>
        <v>0</v>
      </c>
      <c r="Y271">
        <f t="shared" si="57"/>
        <v>8.9749999999999996</v>
      </c>
      <c r="Z271">
        <f t="shared" si="58"/>
        <v>0</v>
      </c>
    </row>
    <row r="272" spans="11:26" x14ac:dyDescent="0.25">
      <c r="K272" s="105">
        <v>239</v>
      </c>
      <c r="L272">
        <f t="shared" si="64"/>
        <v>0</v>
      </c>
      <c r="M272">
        <f t="shared" si="64"/>
        <v>0</v>
      </c>
      <c r="N272">
        <f t="shared" si="64"/>
        <v>104</v>
      </c>
      <c r="O272">
        <f t="shared" si="64"/>
        <v>78</v>
      </c>
      <c r="P272">
        <f t="shared" si="64"/>
        <v>89</v>
      </c>
      <c r="Q272">
        <f t="shared" si="64"/>
        <v>0</v>
      </c>
      <c r="R272">
        <f t="shared" si="56"/>
        <v>0</v>
      </c>
      <c r="S272">
        <f t="shared" si="63"/>
        <v>0</v>
      </c>
      <c r="T272">
        <f t="shared" si="63"/>
        <v>0</v>
      </c>
      <c r="U272">
        <f t="shared" si="63"/>
        <v>0</v>
      </c>
      <c r="V272" s="108">
        <f t="shared" si="53"/>
        <v>271</v>
      </c>
      <c r="W272" s="26">
        <f t="shared" si="54"/>
        <v>1077</v>
      </c>
      <c r="X272">
        <f t="shared" si="55"/>
        <v>0</v>
      </c>
      <c r="Y272">
        <f t="shared" si="57"/>
        <v>8.9749999999999996</v>
      </c>
      <c r="Z272">
        <f t="shared" si="58"/>
        <v>0</v>
      </c>
    </row>
    <row r="273" spans="11:26" x14ac:dyDescent="0.25">
      <c r="K273" s="105">
        <v>240</v>
      </c>
      <c r="L273">
        <f t="shared" si="64"/>
        <v>0</v>
      </c>
      <c r="M273">
        <f t="shared" si="64"/>
        <v>0</v>
      </c>
      <c r="N273">
        <f t="shared" si="64"/>
        <v>104</v>
      </c>
      <c r="O273">
        <f t="shared" si="64"/>
        <v>78</v>
      </c>
      <c r="P273">
        <f t="shared" si="64"/>
        <v>89</v>
      </c>
      <c r="Q273">
        <f t="shared" si="64"/>
        <v>117</v>
      </c>
      <c r="R273">
        <f t="shared" si="56"/>
        <v>0</v>
      </c>
      <c r="S273">
        <f t="shared" si="63"/>
        <v>0</v>
      </c>
      <c r="T273">
        <f t="shared" si="63"/>
        <v>0</v>
      </c>
      <c r="U273">
        <f t="shared" si="63"/>
        <v>0</v>
      </c>
      <c r="V273" s="108">
        <f t="shared" si="53"/>
        <v>388</v>
      </c>
      <c r="W273" s="26">
        <f t="shared" si="54"/>
        <v>960</v>
      </c>
      <c r="X273">
        <f t="shared" si="55"/>
        <v>0</v>
      </c>
      <c r="Y273">
        <f t="shared" si="57"/>
        <v>8</v>
      </c>
      <c r="Z273">
        <f t="shared" si="58"/>
        <v>1</v>
      </c>
    </row>
    <row r="274" spans="11:26" x14ac:dyDescent="0.25">
      <c r="K274" s="105">
        <v>241</v>
      </c>
      <c r="L274">
        <f t="shared" ref="L274:Q283" si="65">IF(MID(DEC2BIN($K274,10),L$32,1)="1",L$33,0)</f>
        <v>0</v>
      </c>
      <c r="M274">
        <f t="shared" si="65"/>
        <v>0</v>
      </c>
      <c r="N274">
        <f t="shared" si="65"/>
        <v>104</v>
      </c>
      <c r="O274">
        <f t="shared" si="65"/>
        <v>78</v>
      </c>
      <c r="P274">
        <f t="shared" si="65"/>
        <v>89</v>
      </c>
      <c r="Q274">
        <f t="shared" si="65"/>
        <v>117</v>
      </c>
      <c r="R274">
        <f t="shared" si="56"/>
        <v>0</v>
      </c>
      <c r="S274">
        <f t="shared" ref="S274:U293" si="66">IF(MID(DEC2BIN($K274,10),S$32,1)="1",S$33,0)</f>
        <v>0</v>
      </c>
      <c r="T274">
        <f t="shared" si="66"/>
        <v>0</v>
      </c>
      <c r="U274">
        <f t="shared" si="66"/>
        <v>0</v>
      </c>
      <c r="V274" s="108">
        <f t="shared" si="53"/>
        <v>388</v>
      </c>
      <c r="W274" s="26">
        <f t="shared" si="54"/>
        <v>960</v>
      </c>
      <c r="X274">
        <f t="shared" si="55"/>
        <v>0</v>
      </c>
      <c r="Y274">
        <f t="shared" si="57"/>
        <v>8</v>
      </c>
      <c r="Z274">
        <f t="shared" si="58"/>
        <v>1</v>
      </c>
    </row>
    <row r="275" spans="11:26" x14ac:dyDescent="0.25">
      <c r="K275" s="105">
        <v>242</v>
      </c>
      <c r="L275">
        <f t="shared" si="65"/>
        <v>0</v>
      </c>
      <c r="M275">
        <f t="shared" si="65"/>
        <v>0</v>
      </c>
      <c r="N275">
        <f t="shared" si="65"/>
        <v>104</v>
      </c>
      <c r="O275">
        <f t="shared" si="65"/>
        <v>78</v>
      </c>
      <c r="P275">
        <f t="shared" si="65"/>
        <v>89</v>
      </c>
      <c r="Q275">
        <f t="shared" si="65"/>
        <v>117</v>
      </c>
      <c r="R275">
        <f t="shared" si="56"/>
        <v>0</v>
      </c>
      <c r="S275">
        <f t="shared" si="66"/>
        <v>0</v>
      </c>
      <c r="T275">
        <f t="shared" si="66"/>
        <v>0</v>
      </c>
      <c r="U275">
        <f t="shared" si="66"/>
        <v>0</v>
      </c>
      <c r="V275" s="108">
        <f t="shared" si="53"/>
        <v>388</v>
      </c>
      <c r="W275" s="26">
        <f t="shared" si="54"/>
        <v>960</v>
      </c>
      <c r="X275">
        <f t="shared" si="55"/>
        <v>0</v>
      </c>
      <c r="Y275">
        <f t="shared" si="57"/>
        <v>8</v>
      </c>
      <c r="Z275">
        <f t="shared" si="58"/>
        <v>1</v>
      </c>
    </row>
    <row r="276" spans="11:26" x14ac:dyDescent="0.25">
      <c r="K276" s="105">
        <v>243</v>
      </c>
      <c r="L276">
        <f t="shared" si="65"/>
        <v>0</v>
      </c>
      <c r="M276">
        <f t="shared" si="65"/>
        <v>0</v>
      </c>
      <c r="N276">
        <f t="shared" si="65"/>
        <v>104</v>
      </c>
      <c r="O276">
        <f t="shared" si="65"/>
        <v>78</v>
      </c>
      <c r="P276">
        <f t="shared" si="65"/>
        <v>89</v>
      </c>
      <c r="Q276">
        <f t="shared" si="65"/>
        <v>117</v>
      </c>
      <c r="R276">
        <f t="shared" si="56"/>
        <v>0</v>
      </c>
      <c r="S276">
        <f t="shared" si="66"/>
        <v>0</v>
      </c>
      <c r="T276">
        <f t="shared" si="66"/>
        <v>0</v>
      </c>
      <c r="U276">
        <f t="shared" si="66"/>
        <v>0</v>
      </c>
      <c r="V276" s="108">
        <f t="shared" si="53"/>
        <v>388</v>
      </c>
      <c r="W276" s="26">
        <f t="shared" si="54"/>
        <v>960</v>
      </c>
      <c r="X276">
        <f t="shared" si="55"/>
        <v>0</v>
      </c>
      <c r="Y276">
        <f t="shared" si="57"/>
        <v>8</v>
      </c>
      <c r="Z276">
        <f t="shared" si="58"/>
        <v>1</v>
      </c>
    </row>
    <row r="277" spans="11:26" x14ac:dyDescent="0.25">
      <c r="K277" s="105">
        <v>244</v>
      </c>
      <c r="L277">
        <f t="shared" si="65"/>
        <v>0</v>
      </c>
      <c r="M277">
        <f t="shared" si="65"/>
        <v>0</v>
      </c>
      <c r="N277">
        <f t="shared" si="65"/>
        <v>104</v>
      </c>
      <c r="O277">
        <f t="shared" si="65"/>
        <v>78</v>
      </c>
      <c r="P277">
        <f t="shared" si="65"/>
        <v>89</v>
      </c>
      <c r="Q277">
        <f t="shared" si="65"/>
        <v>117</v>
      </c>
      <c r="R277">
        <f t="shared" si="56"/>
        <v>0</v>
      </c>
      <c r="S277">
        <f t="shared" si="66"/>
        <v>0</v>
      </c>
      <c r="T277">
        <f t="shared" si="66"/>
        <v>0</v>
      </c>
      <c r="U277">
        <f t="shared" si="66"/>
        <v>0</v>
      </c>
      <c r="V277" s="108">
        <f t="shared" si="53"/>
        <v>388</v>
      </c>
      <c r="W277" s="26">
        <f t="shared" si="54"/>
        <v>960</v>
      </c>
      <c r="X277">
        <f t="shared" si="55"/>
        <v>0</v>
      </c>
      <c r="Y277">
        <f t="shared" si="57"/>
        <v>8</v>
      </c>
      <c r="Z277">
        <f t="shared" si="58"/>
        <v>1</v>
      </c>
    </row>
    <row r="278" spans="11:26" x14ac:dyDescent="0.25">
      <c r="K278" s="105">
        <v>245</v>
      </c>
      <c r="L278">
        <f t="shared" si="65"/>
        <v>0</v>
      </c>
      <c r="M278">
        <f t="shared" si="65"/>
        <v>0</v>
      </c>
      <c r="N278">
        <f t="shared" si="65"/>
        <v>104</v>
      </c>
      <c r="O278">
        <f t="shared" si="65"/>
        <v>78</v>
      </c>
      <c r="P278">
        <f t="shared" si="65"/>
        <v>89</v>
      </c>
      <c r="Q278">
        <f t="shared" si="65"/>
        <v>117</v>
      </c>
      <c r="R278">
        <f t="shared" si="56"/>
        <v>0</v>
      </c>
      <c r="S278">
        <f t="shared" si="66"/>
        <v>0</v>
      </c>
      <c r="T278">
        <f t="shared" si="66"/>
        <v>0</v>
      </c>
      <c r="U278">
        <f t="shared" si="66"/>
        <v>0</v>
      </c>
      <c r="V278" s="108">
        <f t="shared" si="53"/>
        <v>388</v>
      </c>
      <c r="W278" s="26">
        <f t="shared" si="54"/>
        <v>960</v>
      </c>
      <c r="X278">
        <f t="shared" si="55"/>
        <v>0</v>
      </c>
      <c r="Y278">
        <f t="shared" si="57"/>
        <v>8</v>
      </c>
      <c r="Z278">
        <f t="shared" si="58"/>
        <v>1</v>
      </c>
    </row>
    <row r="279" spans="11:26" x14ac:dyDescent="0.25">
      <c r="K279" s="105">
        <v>246</v>
      </c>
      <c r="L279">
        <f t="shared" si="65"/>
        <v>0</v>
      </c>
      <c r="M279">
        <f t="shared" si="65"/>
        <v>0</v>
      </c>
      <c r="N279">
        <f t="shared" si="65"/>
        <v>104</v>
      </c>
      <c r="O279">
        <f t="shared" si="65"/>
        <v>78</v>
      </c>
      <c r="P279">
        <f t="shared" si="65"/>
        <v>89</v>
      </c>
      <c r="Q279">
        <f t="shared" si="65"/>
        <v>117</v>
      </c>
      <c r="R279">
        <f t="shared" si="56"/>
        <v>0</v>
      </c>
      <c r="S279">
        <f t="shared" si="66"/>
        <v>0</v>
      </c>
      <c r="T279">
        <f t="shared" si="66"/>
        <v>0</v>
      </c>
      <c r="U279">
        <f t="shared" si="66"/>
        <v>0</v>
      </c>
      <c r="V279" s="108">
        <f t="shared" si="53"/>
        <v>388</v>
      </c>
      <c r="W279" s="26">
        <f t="shared" si="54"/>
        <v>960</v>
      </c>
      <c r="X279">
        <f t="shared" si="55"/>
        <v>0</v>
      </c>
      <c r="Y279">
        <f t="shared" si="57"/>
        <v>8</v>
      </c>
      <c r="Z279">
        <f t="shared" si="58"/>
        <v>1</v>
      </c>
    </row>
    <row r="280" spans="11:26" x14ac:dyDescent="0.25">
      <c r="K280" s="105">
        <v>247</v>
      </c>
      <c r="L280">
        <f t="shared" si="65"/>
        <v>0</v>
      </c>
      <c r="M280">
        <f t="shared" si="65"/>
        <v>0</v>
      </c>
      <c r="N280">
        <f t="shared" si="65"/>
        <v>104</v>
      </c>
      <c r="O280">
        <f t="shared" si="65"/>
        <v>78</v>
      </c>
      <c r="P280">
        <f t="shared" si="65"/>
        <v>89</v>
      </c>
      <c r="Q280">
        <f t="shared" si="65"/>
        <v>117</v>
      </c>
      <c r="R280">
        <f t="shared" si="56"/>
        <v>0</v>
      </c>
      <c r="S280">
        <f t="shared" si="66"/>
        <v>0</v>
      </c>
      <c r="T280">
        <f t="shared" si="66"/>
        <v>0</v>
      </c>
      <c r="U280">
        <f t="shared" si="66"/>
        <v>0</v>
      </c>
      <c r="V280" s="108">
        <f t="shared" si="53"/>
        <v>388</v>
      </c>
      <c r="W280" s="26">
        <f t="shared" si="54"/>
        <v>960</v>
      </c>
      <c r="X280">
        <f t="shared" si="55"/>
        <v>0</v>
      </c>
      <c r="Y280">
        <f t="shared" si="57"/>
        <v>8</v>
      </c>
      <c r="Z280">
        <f t="shared" si="58"/>
        <v>1</v>
      </c>
    </row>
    <row r="281" spans="11:26" x14ac:dyDescent="0.25">
      <c r="K281" s="105">
        <v>248</v>
      </c>
      <c r="L281">
        <f t="shared" si="65"/>
        <v>0</v>
      </c>
      <c r="M281">
        <f t="shared" si="65"/>
        <v>0</v>
      </c>
      <c r="N281">
        <f t="shared" si="65"/>
        <v>104</v>
      </c>
      <c r="O281">
        <f t="shared" si="65"/>
        <v>78</v>
      </c>
      <c r="P281">
        <f t="shared" si="65"/>
        <v>89</v>
      </c>
      <c r="Q281">
        <f t="shared" si="65"/>
        <v>117</v>
      </c>
      <c r="R281">
        <f t="shared" si="56"/>
        <v>0</v>
      </c>
      <c r="S281">
        <f t="shared" si="66"/>
        <v>0</v>
      </c>
      <c r="T281">
        <f t="shared" si="66"/>
        <v>0</v>
      </c>
      <c r="U281">
        <f t="shared" si="66"/>
        <v>0</v>
      </c>
      <c r="V281" s="108">
        <f t="shared" si="53"/>
        <v>388</v>
      </c>
      <c r="W281" s="26">
        <f t="shared" si="54"/>
        <v>960</v>
      </c>
      <c r="X281">
        <f t="shared" si="55"/>
        <v>0</v>
      </c>
      <c r="Y281">
        <f t="shared" si="57"/>
        <v>8</v>
      </c>
      <c r="Z281">
        <f t="shared" si="58"/>
        <v>1</v>
      </c>
    </row>
    <row r="282" spans="11:26" x14ac:dyDescent="0.25">
      <c r="K282" s="105">
        <v>249</v>
      </c>
      <c r="L282">
        <f t="shared" si="65"/>
        <v>0</v>
      </c>
      <c r="M282">
        <f t="shared" si="65"/>
        <v>0</v>
      </c>
      <c r="N282">
        <f t="shared" si="65"/>
        <v>104</v>
      </c>
      <c r="O282">
        <f t="shared" si="65"/>
        <v>78</v>
      </c>
      <c r="P282">
        <f t="shared" si="65"/>
        <v>89</v>
      </c>
      <c r="Q282">
        <f t="shared" si="65"/>
        <v>117</v>
      </c>
      <c r="R282">
        <f t="shared" si="56"/>
        <v>0</v>
      </c>
      <c r="S282">
        <f t="shared" si="66"/>
        <v>0</v>
      </c>
      <c r="T282">
        <f t="shared" si="66"/>
        <v>0</v>
      </c>
      <c r="U282">
        <f t="shared" si="66"/>
        <v>0</v>
      </c>
      <c r="V282" s="108">
        <f t="shared" si="53"/>
        <v>388</v>
      </c>
      <c r="W282" s="26">
        <f t="shared" si="54"/>
        <v>960</v>
      </c>
      <c r="X282">
        <f t="shared" si="55"/>
        <v>0</v>
      </c>
      <c r="Y282">
        <f t="shared" si="57"/>
        <v>8</v>
      </c>
      <c r="Z282">
        <f t="shared" si="58"/>
        <v>1</v>
      </c>
    </row>
    <row r="283" spans="11:26" x14ac:dyDescent="0.25">
      <c r="K283" s="105">
        <v>250</v>
      </c>
      <c r="L283">
        <f t="shared" si="65"/>
        <v>0</v>
      </c>
      <c r="M283">
        <f t="shared" si="65"/>
        <v>0</v>
      </c>
      <c r="N283">
        <f t="shared" si="65"/>
        <v>104</v>
      </c>
      <c r="O283">
        <f t="shared" si="65"/>
        <v>78</v>
      </c>
      <c r="P283">
        <f t="shared" si="65"/>
        <v>89</v>
      </c>
      <c r="Q283">
        <f t="shared" si="65"/>
        <v>117</v>
      </c>
      <c r="R283">
        <f t="shared" si="56"/>
        <v>0</v>
      </c>
      <c r="S283">
        <f t="shared" si="66"/>
        <v>0</v>
      </c>
      <c r="T283">
        <f t="shared" si="66"/>
        <v>0</v>
      </c>
      <c r="U283">
        <f t="shared" si="66"/>
        <v>0</v>
      </c>
      <c r="V283" s="108">
        <f t="shared" si="53"/>
        <v>388</v>
      </c>
      <c r="W283" s="26">
        <f t="shared" si="54"/>
        <v>960</v>
      </c>
      <c r="X283">
        <f t="shared" si="55"/>
        <v>0</v>
      </c>
      <c r="Y283">
        <f t="shared" si="57"/>
        <v>8</v>
      </c>
      <c r="Z283">
        <f t="shared" si="58"/>
        <v>1</v>
      </c>
    </row>
    <row r="284" spans="11:26" x14ac:dyDescent="0.25">
      <c r="K284" s="105">
        <v>251</v>
      </c>
      <c r="L284">
        <f t="shared" ref="L284:Q293" si="67">IF(MID(DEC2BIN($K284,10),L$32,1)="1",L$33,0)</f>
        <v>0</v>
      </c>
      <c r="M284">
        <f t="shared" si="67"/>
        <v>0</v>
      </c>
      <c r="N284">
        <f t="shared" si="67"/>
        <v>104</v>
      </c>
      <c r="O284">
        <f t="shared" si="67"/>
        <v>78</v>
      </c>
      <c r="P284">
        <f t="shared" si="67"/>
        <v>89</v>
      </c>
      <c r="Q284">
        <f t="shared" si="67"/>
        <v>117</v>
      </c>
      <c r="R284">
        <f t="shared" si="56"/>
        <v>0</v>
      </c>
      <c r="S284">
        <f t="shared" si="66"/>
        <v>0</v>
      </c>
      <c r="T284">
        <f t="shared" si="66"/>
        <v>0</v>
      </c>
      <c r="U284">
        <f t="shared" si="66"/>
        <v>0</v>
      </c>
      <c r="V284" s="108">
        <f t="shared" si="53"/>
        <v>388</v>
      </c>
      <c r="W284" s="26">
        <f t="shared" si="54"/>
        <v>960</v>
      </c>
      <c r="X284">
        <f t="shared" si="55"/>
        <v>0</v>
      </c>
      <c r="Y284">
        <f t="shared" si="57"/>
        <v>8</v>
      </c>
      <c r="Z284">
        <f t="shared" si="58"/>
        <v>1</v>
      </c>
    </row>
    <row r="285" spans="11:26" x14ac:dyDescent="0.25">
      <c r="K285" s="105">
        <v>252</v>
      </c>
      <c r="L285">
        <f t="shared" si="67"/>
        <v>0</v>
      </c>
      <c r="M285">
        <f t="shared" si="67"/>
        <v>0</v>
      </c>
      <c r="N285">
        <f t="shared" si="67"/>
        <v>104</v>
      </c>
      <c r="O285">
        <f t="shared" si="67"/>
        <v>78</v>
      </c>
      <c r="P285">
        <f t="shared" si="67"/>
        <v>89</v>
      </c>
      <c r="Q285">
        <f t="shared" si="67"/>
        <v>117</v>
      </c>
      <c r="R285">
        <f t="shared" si="56"/>
        <v>0</v>
      </c>
      <c r="S285">
        <f t="shared" si="66"/>
        <v>0</v>
      </c>
      <c r="T285">
        <f t="shared" si="66"/>
        <v>0</v>
      </c>
      <c r="U285">
        <f t="shared" si="66"/>
        <v>0</v>
      </c>
      <c r="V285" s="108">
        <f t="shared" si="53"/>
        <v>388</v>
      </c>
      <c r="W285" s="26">
        <f t="shared" si="54"/>
        <v>960</v>
      </c>
      <c r="X285">
        <f t="shared" si="55"/>
        <v>0</v>
      </c>
      <c r="Y285">
        <f t="shared" si="57"/>
        <v>8</v>
      </c>
      <c r="Z285">
        <f t="shared" si="58"/>
        <v>1</v>
      </c>
    </row>
    <row r="286" spans="11:26" x14ac:dyDescent="0.25">
      <c r="K286" s="105">
        <v>253</v>
      </c>
      <c r="L286">
        <f t="shared" si="67"/>
        <v>0</v>
      </c>
      <c r="M286">
        <f t="shared" si="67"/>
        <v>0</v>
      </c>
      <c r="N286">
        <f t="shared" si="67"/>
        <v>104</v>
      </c>
      <c r="O286">
        <f t="shared" si="67"/>
        <v>78</v>
      </c>
      <c r="P286">
        <f t="shared" si="67"/>
        <v>89</v>
      </c>
      <c r="Q286">
        <f t="shared" si="67"/>
        <v>117</v>
      </c>
      <c r="R286">
        <f t="shared" si="56"/>
        <v>0</v>
      </c>
      <c r="S286">
        <f t="shared" si="66"/>
        <v>0</v>
      </c>
      <c r="T286">
        <f t="shared" si="66"/>
        <v>0</v>
      </c>
      <c r="U286">
        <f t="shared" si="66"/>
        <v>0</v>
      </c>
      <c r="V286" s="108">
        <f t="shared" si="53"/>
        <v>388</v>
      </c>
      <c r="W286" s="26">
        <f t="shared" si="54"/>
        <v>960</v>
      </c>
      <c r="X286">
        <f t="shared" si="55"/>
        <v>0</v>
      </c>
      <c r="Y286">
        <f t="shared" si="57"/>
        <v>8</v>
      </c>
      <c r="Z286">
        <f t="shared" si="58"/>
        <v>1</v>
      </c>
    </row>
    <row r="287" spans="11:26" x14ac:dyDescent="0.25">
      <c r="K287" s="105">
        <v>254</v>
      </c>
      <c r="L287">
        <f t="shared" si="67"/>
        <v>0</v>
      </c>
      <c r="M287">
        <f t="shared" si="67"/>
        <v>0</v>
      </c>
      <c r="N287">
        <f t="shared" si="67"/>
        <v>104</v>
      </c>
      <c r="O287">
        <f t="shared" si="67"/>
        <v>78</v>
      </c>
      <c r="P287">
        <f t="shared" si="67"/>
        <v>89</v>
      </c>
      <c r="Q287">
        <f t="shared" si="67"/>
        <v>117</v>
      </c>
      <c r="R287">
        <f t="shared" si="56"/>
        <v>0</v>
      </c>
      <c r="S287">
        <f t="shared" si="66"/>
        <v>0</v>
      </c>
      <c r="T287">
        <f t="shared" si="66"/>
        <v>0</v>
      </c>
      <c r="U287">
        <f t="shared" si="66"/>
        <v>0</v>
      </c>
      <c r="V287" s="108">
        <f t="shared" si="53"/>
        <v>388</v>
      </c>
      <c r="W287" s="26">
        <f t="shared" si="54"/>
        <v>960</v>
      </c>
      <c r="X287">
        <f t="shared" si="55"/>
        <v>0</v>
      </c>
      <c r="Y287">
        <f t="shared" si="57"/>
        <v>8</v>
      </c>
      <c r="Z287">
        <f t="shared" si="58"/>
        <v>1</v>
      </c>
    </row>
    <row r="288" spans="11:26" x14ac:dyDescent="0.25">
      <c r="K288" s="105">
        <v>255</v>
      </c>
      <c r="L288">
        <f t="shared" si="67"/>
        <v>0</v>
      </c>
      <c r="M288">
        <f t="shared" si="67"/>
        <v>0</v>
      </c>
      <c r="N288">
        <f t="shared" si="67"/>
        <v>104</v>
      </c>
      <c r="O288">
        <f t="shared" si="67"/>
        <v>78</v>
      </c>
      <c r="P288">
        <f t="shared" si="67"/>
        <v>89</v>
      </c>
      <c r="Q288">
        <f t="shared" si="67"/>
        <v>117</v>
      </c>
      <c r="R288">
        <f t="shared" si="56"/>
        <v>0</v>
      </c>
      <c r="S288">
        <f t="shared" si="66"/>
        <v>0</v>
      </c>
      <c r="T288">
        <f t="shared" si="66"/>
        <v>0</v>
      </c>
      <c r="U288">
        <f t="shared" si="66"/>
        <v>0</v>
      </c>
      <c r="V288" s="108">
        <f t="shared" si="53"/>
        <v>388</v>
      </c>
      <c r="W288" s="26">
        <f t="shared" si="54"/>
        <v>960</v>
      </c>
      <c r="X288">
        <f t="shared" si="55"/>
        <v>0</v>
      </c>
      <c r="Y288">
        <f t="shared" si="57"/>
        <v>8</v>
      </c>
      <c r="Z288">
        <f t="shared" si="58"/>
        <v>1</v>
      </c>
    </row>
    <row r="289" spans="11:26" x14ac:dyDescent="0.25">
      <c r="K289" s="105">
        <v>256</v>
      </c>
      <c r="L289">
        <f t="shared" si="67"/>
        <v>0</v>
      </c>
      <c r="M289">
        <f t="shared" si="67"/>
        <v>12</v>
      </c>
      <c r="N289">
        <f t="shared" si="67"/>
        <v>0</v>
      </c>
      <c r="O289">
        <f t="shared" si="67"/>
        <v>0</v>
      </c>
      <c r="P289">
        <f t="shared" si="67"/>
        <v>0</v>
      </c>
      <c r="Q289">
        <f t="shared" si="67"/>
        <v>0</v>
      </c>
      <c r="R289">
        <f t="shared" si="56"/>
        <v>0</v>
      </c>
      <c r="S289">
        <f t="shared" si="66"/>
        <v>0</v>
      </c>
      <c r="T289">
        <f t="shared" si="66"/>
        <v>0</v>
      </c>
      <c r="U289">
        <f t="shared" si="66"/>
        <v>0</v>
      </c>
      <c r="V289" s="108">
        <f t="shared" si="53"/>
        <v>12</v>
      </c>
      <c r="W289" s="26">
        <f t="shared" si="54"/>
        <v>1336</v>
      </c>
      <c r="X289">
        <f t="shared" si="55"/>
        <v>0</v>
      </c>
      <c r="Y289">
        <f t="shared" si="57"/>
        <v>11.133333333333333</v>
      </c>
      <c r="Z289">
        <f t="shared" si="58"/>
        <v>0</v>
      </c>
    </row>
    <row r="290" spans="11:26" x14ac:dyDescent="0.25">
      <c r="K290" s="105">
        <v>257</v>
      </c>
      <c r="L290">
        <f t="shared" si="67"/>
        <v>0</v>
      </c>
      <c r="M290">
        <f t="shared" si="67"/>
        <v>12</v>
      </c>
      <c r="N290">
        <f t="shared" si="67"/>
        <v>0</v>
      </c>
      <c r="O290">
        <f t="shared" si="67"/>
        <v>0</v>
      </c>
      <c r="P290">
        <f t="shared" si="67"/>
        <v>0</v>
      </c>
      <c r="Q290">
        <f t="shared" si="67"/>
        <v>0</v>
      </c>
      <c r="R290">
        <f t="shared" si="56"/>
        <v>0</v>
      </c>
      <c r="S290">
        <f t="shared" si="66"/>
        <v>0</v>
      </c>
      <c r="T290">
        <f t="shared" si="66"/>
        <v>0</v>
      </c>
      <c r="U290">
        <f t="shared" si="66"/>
        <v>0</v>
      </c>
      <c r="V290" s="108">
        <f t="shared" ref="V290:V353" si="68">SUM(L290:U290)</f>
        <v>12</v>
      </c>
      <c r="W290" s="26">
        <f t="shared" ref="W290:W353" si="69">$M$31-V290</f>
        <v>1336</v>
      </c>
      <c r="X290">
        <f t="shared" ref="X290:X353" si="70">IF(W290=0,1,0)</f>
        <v>0</v>
      </c>
      <c r="Y290">
        <f t="shared" si="57"/>
        <v>11.133333333333333</v>
      </c>
      <c r="Z290">
        <f t="shared" si="58"/>
        <v>0</v>
      </c>
    </row>
    <row r="291" spans="11:26" x14ac:dyDescent="0.25">
      <c r="K291" s="105">
        <v>258</v>
      </c>
      <c r="L291">
        <f t="shared" si="67"/>
        <v>0</v>
      </c>
      <c r="M291">
        <f t="shared" si="67"/>
        <v>12</v>
      </c>
      <c r="N291">
        <f t="shared" si="67"/>
        <v>0</v>
      </c>
      <c r="O291">
        <f t="shared" si="67"/>
        <v>0</v>
      </c>
      <c r="P291">
        <f t="shared" si="67"/>
        <v>0</v>
      </c>
      <c r="Q291">
        <f t="shared" si="67"/>
        <v>0</v>
      </c>
      <c r="R291">
        <f t="shared" ref="R291:R354" si="71">IF(MID(DEC2BIN($K291,10),R$32,1)="1",R$33,0)</f>
        <v>0</v>
      </c>
      <c r="S291">
        <f t="shared" si="66"/>
        <v>0</v>
      </c>
      <c r="T291">
        <f t="shared" si="66"/>
        <v>0</v>
      </c>
      <c r="U291">
        <f t="shared" si="66"/>
        <v>0</v>
      </c>
      <c r="V291" s="108">
        <f t="shared" si="68"/>
        <v>12</v>
      </c>
      <c r="W291" s="26">
        <f t="shared" si="69"/>
        <v>1336</v>
      </c>
      <c r="X291">
        <f t="shared" si="70"/>
        <v>0</v>
      </c>
      <c r="Y291">
        <f t="shared" ref="Y291:Y354" si="72">W291/$Y$32</f>
        <v>11.133333333333333</v>
      </c>
      <c r="Z291">
        <f t="shared" ref="Z291:Z354" si="73">IF(INT(Y291)=Y291,1,0)</f>
        <v>0</v>
      </c>
    </row>
    <row r="292" spans="11:26" x14ac:dyDescent="0.25">
      <c r="K292" s="105">
        <v>259</v>
      </c>
      <c r="L292">
        <f t="shared" si="67"/>
        <v>0</v>
      </c>
      <c r="M292">
        <f t="shared" si="67"/>
        <v>12</v>
      </c>
      <c r="N292">
        <f t="shared" si="67"/>
        <v>0</v>
      </c>
      <c r="O292">
        <f t="shared" si="67"/>
        <v>0</v>
      </c>
      <c r="P292">
        <f t="shared" si="67"/>
        <v>0</v>
      </c>
      <c r="Q292">
        <f t="shared" si="67"/>
        <v>0</v>
      </c>
      <c r="R292">
        <f t="shared" si="71"/>
        <v>0</v>
      </c>
      <c r="S292">
        <f t="shared" si="66"/>
        <v>0</v>
      </c>
      <c r="T292">
        <f t="shared" si="66"/>
        <v>0</v>
      </c>
      <c r="U292">
        <f t="shared" si="66"/>
        <v>0</v>
      </c>
      <c r="V292" s="108">
        <f t="shared" si="68"/>
        <v>12</v>
      </c>
      <c r="W292" s="26">
        <f t="shared" si="69"/>
        <v>1336</v>
      </c>
      <c r="X292">
        <f t="shared" si="70"/>
        <v>0</v>
      </c>
      <c r="Y292">
        <f t="shared" si="72"/>
        <v>11.133333333333333</v>
      </c>
      <c r="Z292">
        <f t="shared" si="73"/>
        <v>0</v>
      </c>
    </row>
    <row r="293" spans="11:26" x14ac:dyDescent="0.25">
      <c r="K293" s="105">
        <v>260</v>
      </c>
      <c r="L293">
        <f t="shared" si="67"/>
        <v>0</v>
      </c>
      <c r="M293">
        <f t="shared" si="67"/>
        <v>12</v>
      </c>
      <c r="N293">
        <f t="shared" si="67"/>
        <v>0</v>
      </c>
      <c r="O293">
        <f t="shared" si="67"/>
        <v>0</v>
      </c>
      <c r="P293">
        <f t="shared" si="67"/>
        <v>0</v>
      </c>
      <c r="Q293">
        <f t="shared" si="67"/>
        <v>0</v>
      </c>
      <c r="R293">
        <f t="shared" si="71"/>
        <v>0</v>
      </c>
      <c r="S293">
        <f t="shared" si="66"/>
        <v>0</v>
      </c>
      <c r="T293">
        <f t="shared" si="66"/>
        <v>0</v>
      </c>
      <c r="U293">
        <f t="shared" si="66"/>
        <v>0</v>
      </c>
      <c r="V293" s="108">
        <f t="shared" si="68"/>
        <v>12</v>
      </c>
      <c r="W293" s="26">
        <f t="shared" si="69"/>
        <v>1336</v>
      </c>
      <c r="X293">
        <f t="shared" si="70"/>
        <v>0</v>
      </c>
      <c r="Y293">
        <f t="shared" si="72"/>
        <v>11.133333333333333</v>
      </c>
      <c r="Z293">
        <f t="shared" si="73"/>
        <v>0</v>
      </c>
    </row>
    <row r="294" spans="11:26" x14ac:dyDescent="0.25">
      <c r="K294" s="105">
        <v>261</v>
      </c>
      <c r="L294">
        <f t="shared" ref="L294:Q303" si="74">IF(MID(DEC2BIN($K294,10),L$32,1)="1",L$33,0)</f>
        <v>0</v>
      </c>
      <c r="M294">
        <f t="shared" si="74"/>
        <v>12</v>
      </c>
      <c r="N294">
        <f t="shared" si="74"/>
        <v>0</v>
      </c>
      <c r="O294">
        <f t="shared" si="74"/>
        <v>0</v>
      </c>
      <c r="P294">
        <f t="shared" si="74"/>
        <v>0</v>
      </c>
      <c r="Q294">
        <f t="shared" si="74"/>
        <v>0</v>
      </c>
      <c r="R294">
        <f t="shared" si="71"/>
        <v>0</v>
      </c>
      <c r="S294">
        <f t="shared" ref="S294:U313" si="75">IF(MID(DEC2BIN($K294,10),S$32,1)="1",S$33,0)</f>
        <v>0</v>
      </c>
      <c r="T294">
        <f t="shared" si="75"/>
        <v>0</v>
      </c>
      <c r="U294">
        <f t="shared" si="75"/>
        <v>0</v>
      </c>
      <c r="V294" s="108">
        <f t="shared" si="68"/>
        <v>12</v>
      </c>
      <c r="W294" s="26">
        <f t="shared" si="69"/>
        <v>1336</v>
      </c>
      <c r="X294">
        <f t="shared" si="70"/>
        <v>0</v>
      </c>
      <c r="Y294">
        <f t="shared" si="72"/>
        <v>11.133333333333333</v>
      </c>
      <c r="Z294">
        <f t="shared" si="73"/>
        <v>0</v>
      </c>
    </row>
    <row r="295" spans="11:26" x14ac:dyDescent="0.25">
      <c r="K295" s="105">
        <v>262</v>
      </c>
      <c r="L295">
        <f t="shared" si="74"/>
        <v>0</v>
      </c>
      <c r="M295">
        <f t="shared" si="74"/>
        <v>12</v>
      </c>
      <c r="N295">
        <f t="shared" si="74"/>
        <v>0</v>
      </c>
      <c r="O295">
        <f t="shared" si="74"/>
        <v>0</v>
      </c>
      <c r="P295">
        <f t="shared" si="74"/>
        <v>0</v>
      </c>
      <c r="Q295">
        <f t="shared" si="74"/>
        <v>0</v>
      </c>
      <c r="R295">
        <f t="shared" si="71"/>
        <v>0</v>
      </c>
      <c r="S295">
        <f t="shared" si="75"/>
        <v>0</v>
      </c>
      <c r="T295">
        <f t="shared" si="75"/>
        <v>0</v>
      </c>
      <c r="U295">
        <f t="shared" si="75"/>
        <v>0</v>
      </c>
      <c r="V295" s="108">
        <f t="shared" si="68"/>
        <v>12</v>
      </c>
      <c r="W295" s="26">
        <f t="shared" si="69"/>
        <v>1336</v>
      </c>
      <c r="X295">
        <f t="shared" si="70"/>
        <v>0</v>
      </c>
      <c r="Y295">
        <f t="shared" si="72"/>
        <v>11.133333333333333</v>
      </c>
      <c r="Z295">
        <f t="shared" si="73"/>
        <v>0</v>
      </c>
    </row>
    <row r="296" spans="11:26" x14ac:dyDescent="0.25">
      <c r="K296" s="105">
        <v>263</v>
      </c>
      <c r="L296">
        <f t="shared" si="74"/>
        <v>0</v>
      </c>
      <c r="M296">
        <f t="shared" si="74"/>
        <v>12</v>
      </c>
      <c r="N296">
        <f t="shared" si="74"/>
        <v>0</v>
      </c>
      <c r="O296">
        <f t="shared" si="74"/>
        <v>0</v>
      </c>
      <c r="P296">
        <f t="shared" si="74"/>
        <v>0</v>
      </c>
      <c r="Q296">
        <f t="shared" si="74"/>
        <v>0</v>
      </c>
      <c r="R296">
        <f t="shared" si="71"/>
        <v>0</v>
      </c>
      <c r="S296">
        <f t="shared" si="75"/>
        <v>0</v>
      </c>
      <c r="T296">
        <f t="shared" si="75"/>
        <v>0</v>
      </c>
      <c r="U296">
        <f t="shared" si="75"/>
        <v>0</v>
      </c>
      <c r="V296" s="108">
        <f t="shared" si="68"/>
        <v>12</v>
      </c>
      <c r="W296" s="26">
        <f t="shared" si="69"/>
        <v>1336</v>
      </c>
      <c r="X296">
        <f t="shared" si="70"/>
        <v>0</v>
      </c>
      <c r="Y296">
        <f t="shared" si="72"/>
        <v>11.133333333333333</v>
      </c>
      <c r="Z296">
        <f t="shared" si="73"/>
        <v>0</v>
      </c>
    </row>
    <row r="297" spans="11:26" x14ac:dyDescent="0.25">
      <c r="K297" s="105">
        <v>264</v>
      </c>
      <c r="L297">
        <f t="shared" si="74"/>
        <v>0</v>
      </c>
      <c r="M297">
        <f t="shared" si="74"/>
        <v>12</v>
      </c>
      <c r="N297">
        <f t="shared" si="74"/>
        <v>0</v>
      </c>
      <c r="O297">
        <f t="shared" si="74"/>
        <v>0</v>
      </c>
      <c r="P297">
        <f t="shared" si="74"/>
        <v>0</v>
      </c>
      <c r="Q297">
        <f t="shared" si="74"/>
        <v>0</v>
      </c>
      <c r="R297">
        <f t="shared" si="71"/>
        <v>0</v>
      </c>
      <c r="S297">
        <f t="shared" si="75"/>
        <v>0</v>
      </c>
      <c r="T297">
        <f t="shared" si="75"/>
        <v>0</v>
      </c>
      <c r="U297">
        <f t="shared" si="75"/>
        <v>0</v>
      </c>
      <c r="V297" s="108">
        <f t="shared" si="68"/>
        <v>12</v>
      </c>
      <c r="W297" s="26">
        <f t="shared" si="69"/>
        <v>1336</v>
      </c>
      <c r="X297">
        <f t="shared" si="70"/>
        <v>0</v>
      </c>
      <c r="Y297">
        <f t="shared" si="72"/>
        <v>11.133333333333333</v>
      </c>
      <c r="Z297">
        <f t="shared" si="73"/>
        <v>0</v>
      </c>
    </row>
    <row r="298" spans="11:26" x14ac:dyDescent="0.25">
      <c r="K298" s="105">
        <v>265</v>
      </c>
      <c r="L298">
        <f t="shared" si="74"/>
        <v>0</v>
      </c>
      <c r="M298">
        <f t="shared" si="74"/>
        <v>12</v>
      </c>
      <c r="N298">
        <f t="shared" si="74"/>
        <v>0</v>
      </c>
      <c r="O298">
        <f t="shared" si="74"/>
        <v>0</v>
      </c>
      <c r="P298">
        <f t="shared" si="74"/>
        <v>0</v>
      </c>
      <c r="Q298">
        <f t="shared" si="74"/>
        <v>0</v>
      </c>
      <c r="R298">
        <f t="shared" si="71"/>
        <v>0</v>
      </c>
      <c r="S298">
        <f t="shared" si="75"/>
        <v>0</v>
      </c>
      <c r="T298">
        <f t="shared" si="75"/>
        <v>0</v>
      </c>
      <c r="U298">
        <f t="shared" si="75"/>
        <v>0</v>
      </c>
      <c r="V298" s="108">
        <f t="shared" si="68"/>
        <v>12</v>
      </c>
      <c r="W298" s="26">
        <f t="shared" si="69"/>
        <v>1336</v>
      </c>
      <c r="X298">
        <f t="shared" si="70"/>
        <v>0</v>
      </c>
      <c r="Y298">
        <f t="shared" si="72"/>
        <v>11.133333333333333</v>
      </c>
      <c r="Z298">
        <f t="shared" si="73"/>
        <v>0</v>
      </c>
    </row>
    <row r="299" spans="11:26" x14ac:dyDescent="0.25">
      <c r="K299" s="105">
        <v>266</v>
      </c>
      <c r="L299">
        <f t="shared" si="74"/>
        <v>0</v>
      </c>
      <c r="M299">
        <f t="shared" si="74"/>
        <v>12</v>
      </c>
      <c r="N299">
        <f t="shared" si="74"/>
        <v>0</v>
      </c>
      <c r="O299">
        <f t="shared" si="74"/>
        <v>0</v>
      </c>
      <c r="P299">
        <f t="shared" si="74"/>
        <v>0</v>
      </c>
      <c r="Q299">
        <f t="shared" si="74"/>
        <v>0</v>
      </c>
      <c r="R299">
        <f t="shared" si="71"/>
        <v>0</v>
      </c>
      <c r="S299">
        <f t="shared" si="75"/>
        <v>0</v>
      </c>
      <c r="T299">
        <f t="shared" si="75"/>
        <v>0</v>
      </c>
      <c r="U299">
        <f t="shared" si="75"/>
        <v>0</v>
      </c>
      <c r="V299" s="108">
        <f t="shared" si="68"/>
        <v>12</v>
      </c>
      <c r="W299" s="26">
        <f t="shared" si="69"/>
        <v>1336</v>
      </c>
      <c r="X299">
        <f t="shared" si="70"/>
        <v>0</v>
      </c>
      <c r="Y299">
        <f t="shared" si="72"/>
        <v>11.133333333333333</v>
      </c>
      <c r="Z299">
        <f t="shared" si="73"/>
        <v>0</v>
      </c>
    </row>
    <row r="300" spans="11:26" x14ac:dyDescent="0.25">
      <c r="K300" s="105">
        <v>267</v>
      </c>
      <c r="L300">
        <f t="shared" si="74"/>
        <v>0</v>
      </c>
      <c r="M300">
        <f t="shared" si="74"/>
        <v>12</v>
      </c>
      <c r="N300">
        <f t="shared" si="74"/>
        <v>0</v>
      </c>
      <c r="O300">
        <f t="shared" si="74"/>
        <v>0</v>
      </c>
      <c r="P300">
        <f t="shared" si="74"/>
        <v>0</v>
      </c>
      <c r="Q300">
        <f t="shared" si="74"/>
        <v>0</v>
      </c>
      <c r="R300">
        <f t="shared" si="71"/>
        <v>0</v>
      </c>
      <c r="S300">
        <f t="shared" si="75"/>
        <v>0</v>
      </c>
      <c r="T300">
        <f t="shared" si="75"/>
        <v>0</v>
      </c>
      <c r="U300">
        <f t="shared" si="75"/>
        <v>0</v>
      </c>
      <c r="V300" s="108">
        <f t="shared" si="68"/>
        <v>12</v>
      </c>
      <c r="W300" s="26">
        <f t="shared" si="69"/>
        <v>1336</v>
      </c>
      <c r="X300">
        <f t="shared" si="70"/>
        <v>0</v>
      </c>
      <c r="Y300">
        <f t="shared" si="72"/>
        <v>11.133333333333333</v>
      </c>
      <c r="Z300">
        <f t="shared" si="73"/>
        <v>0</v>
      </c>
    </row>
    <row r="301" spans="11:26" x14ac:dyDescent="0.25">
      <c r="K301" s="105">
        <v>268</v>
      </c>
      <c r="L301">
        <f t="shared" si="74"/>
        <v>0</v>
      </c>
      <c r="M301">
        <f t="shared" si="74"/>
        <v>12</v>
      </c>
      <c r="N301">
        <f t="shared" si="74"/>
        <v>0</v>
      </c>
      <c r="O301">
        <f t="shared" si="74"/>
        <v>0</v>
      </c>
      <c r="P301">
        <f t="shared" si="74"/>
        <v>0</v>
      </c>
      <c r="Q301">
        <f t="shared" si="74"/>
        <v>0</v>
      </c>
      <c r="R301">
        <f t="shared" si="71"/>
        <v>0</v>
      </c>
      <c r="S301">
        <f t="shared" si="75"/>
        <v>0</v>
      </c>
      <c r="T301">
        <f t="shared" si="75"/>
        <v>0</v>
      </c>
      <c r="U301">
        <f t="shared" si="75"/>
        <v>0</v>
      </c>
      <c r="V301" s="108">
        <f t="shared" si="68"/>
        <v>12</v>
      </c>
      <c r="W301" s="26">
        <f t="shared" si="69"/>
        <v>1336</v>
      </c>
      <c r="X301">
        <f t="shared" si="70"/>
        <v>0</v>
      </c>
      <c r="Y301">
        <f t="shared" si="72"/>
        <v>11.133333333333333</v>
      </c>
      <c r="Z301">
        <f t="shared" si="73"/>
        <v>0</v>
      </c>
    </row>
    <row r="302" spans="11:26" x14ac:dyDescent="0.25">
      <c r="K302" s="105">
        <v>269</v>
      </c>
      <c r="L302">
        <f t="shared" si="74"/>
        <v>0</v>
      </c>
      <c r="M302">
        <f t="shared" si="74"/>
        <v>12</v>
      </c>
      <c r="N302">
        <f t="shared" si="74"/>
        <v>0</v>
      </c>
      <c r="O302">
        <f t="shared" si="74"/>
        <v>0</v>
      </c>
      <c r="P302">
        <f t="shared" si="74"/>
        <v>0</v>
      </c>
      <c r="Q302">
        <f t="shared" si="74"/>
        <v>0</v>
      </c>
      <c r="R302">
        <f t="shared" si="71"/>
        <v>0</v>
      </c>
      <c r="S302">
        <f t="shared" si="75"/>
        <v>0</v>
      </c>
      <c r="T302">
        <f t="shared" si="75"/>
        <v>0</v>
      </c>
      <c r="U302">
        <f t="shared" si="75"/>
        <v>0</v>
      </c>
      <c r="V302" s="108">
        <f t="shared" si="68"/>
        <v>12</v>
      </c>
      <c r="W302" s="26">
        <f t="shared" si="69"/>
        <v>1336</v>
      </c>
      <c r="X302">
        <f t="shared" si="70"/>
        <v>0</v>
      </c>
      <c r="Y302">
        <f t="shared" si="72"/>
        <v>11.133333333333333</v>
      </c>
      <c r="Z302">
        <f t="shared" si="73"/>
        <v>0</v>
      </c>
    </row>
    <row r="303" spans="11:26" x14ac:dyDescent="0.25">
      <c r="K303" s="105">
        <v>270</v>
      </c>
      <c r="L303">
        <f t="shared" si="74"/>
        <v>0</v>
      </c>
      <c r="M303">
        <f t="shared" si="74"/>
        <v>12</v>
      </c>
      <c r="N303">
        <f t="shared" si="74"/>
        <v>0</v>
      </c>
      <c r="O303">
        <f t="shared" si="74"/>
        <v>0</v>
      </c>
      <c r="P303">
        <f t="shared" si="74"/>
        <v>0</v>
      </c>
      <c r="Q303">
        <f t="shared" si="74"/>
        <v>0</v>
      </c>
      <c r="R303">
        <f t="shared" si="71"/>
        <v>0</v>
      </c>
      <c r="S303">
        <f t="shared" si="75"/>
        <v>0</v>
      </c>
      <c r="T303">
        <f t="shared" si="75"/>
        <v>0</v>
      </c>
      <c r="U303">
        <f t="shared" si="75"/>
        <v>0</v>
      </c>
      <c r="V303" s="108">
        <f t="shared" si="68"/>
        <v>12</v>
      </c>
      <c r="W303" s="26">
        <f t="shared" si="69"/>
        <v>1336</v>
      </c>
      <c r="X303">
        <f t="shared" si="70"/>
        <v>0</v>
      </c>
      <c r="Y303">
        <f t="shared" si="72"/>
        <v>11.133333333333333</v>
      </c>
      <c r="Z303">
        <f t="shared" si="73"/>
        <v>0</v>
      </c>
    </row>
    <row r="304" spans="11:26" x14ac:dyDescent="0.25">
      <c r="K304" s="105">
        <v>271</v>
      </c>
      <c r="L304">
        <f t="shared" ref="L304:Q313" si="76">IF(MID(DEC2BIN($K304,10),L$32,1)="1",L$33,0)</f>
        <v>0</v>
      </c>
      <c r="M304">
        <f t="shared" si="76"/>
        <v>12</v>
      </c>
      <c r="N304">
        <f t="shared" si="76"/>
        <v>0</v>
      </c>
      <c r="O304">
        <f t="shared" si="76"/>
        <v>0</v>
      </c>
      <c r="P304">
        <f t="shared" si="76"/>
        <v>0</v>
      </c>
      <c r="Q304">
        <f t="shared" si="76"/>
        <v>0</v>
      </c>
      <c r="R304">
        <f t="shared" si="71"/>
        <v>0</v>
      </c>
      <c r="S304">
        <f t="shared" si="75"/>
        <v>0</v>
      </c>
      <c r="T304">
        <f t="shared" si="75"/>
        <v>0</v>
      </c>
      <c r="U304">
        <f t="shared" si="75"/>
        <v>0</v>
      </c>
      <c r="V304" s="108">
        <f t="shared" si="68"/>
        <v>12</v>
      </c>
      <c r="W304" s="26">
        <f t="shared" si="69"/>
        <v>1336</v>
      </c>
      <c r="X304">
        <f t="shared" si="70"/>
        <v>0</v>
      </c>
      <c r="Y304">
        <f t="shared" si="72"/>
        <v>11.133333333333333</v>
      </c>
      <c r="Z304">
        <f t="shared" si="73"/>
        <v>0</v>
      </c>
    </row>
    <row r="305" spans="11:26" x14ac:dyDescent="0.25">
      <c r="K305" s="105">
        <v>272</v>
      </c>
      <c r="L305">
        <f t="shared" si="76"/>
        <v>0</v>
      </c>
      <c r="M305">
        <f t="shared" si="76"/>
        <v>12</v>
      </c>
      <c r="N305">
        <f t="shared" si="76"/>
        <v>0</v>
      </c>
      <c r="O305">
        <f t="shared" si="76"/>
        <v>0</v>
      </c>
      <c r="P305">
        <f t="shared" si="76"/>
        <v>0</v>
      </c>
      <c r="Q305">
        <f t="shared" si="76"/>
        <v>117</v>
      </c>
      <c r="R305">
        <f t="shared" si="71"/>
        <v>0</v>
      </c>
      <c r="S305">
        <f t="shared" si="75"/>
        <v>0</v>
      </c>
      <c r="T305">
        <f t="shared" si="75"/>
        <v>0</v>
      </c>
      <c r="U305">
        <f t="shared" si="75"/>
        <v>0</v>
      </c>
      <c r="V305" s="108">
        <f t="shared" si="68"/>
        <v>129</v>
      </c>
      <c r="W305" s="26">
        <f t="shared" si="69"/>
        <v>1219</v>
      </c>
      <c r="X305">
        <f t="shared" si="70"/>
        <v>0</v>
      </c>
      <c r="Y305">
        <f t="shared" si="72"/>
        <v>10.158333333333333</v>
      </c>
      <c r="Z305">
        <f t="shared" si="73"/>
        <v>0</v>
      </c>
    </row>
    <row r="306" spans="11:26" x14ac:dyDescent="0.25">
      <c r="K306" s="105">
        <v>273</v>
      </c>
      <c r="L306">
        <f t="shared" si="76"/>
        <v>0</v>
      </c>
      <c r="M306">
        <f t="shared" si="76"/>
        <v>12</v>
      </c>
      <c r="N306">
        <f t="shared" si="76"/>
        <v>0</v>
      </c>
      <c r="O306">
        <f t="shared" si="76"/>
        <v>0</v>
      </c>
      <c r="P306">
        <f t="shared" si="76"/>
        <v>0</v>
      </c>
      <c r="Q306">
        <f t="shared" si="76"/>
        <v>117</v>
      </c>
      <c r="R306">
        <f t="shared" si="71"/>
        <v>0</v>
      </c>
      <c r="S306">
        <f t="shared" si="75"/>
        <v>0</v>
      </c>
      <c r="T306">
        <f t="shared" si="75"/>
        <v>0</v>
      </c>
      <c r="U306">
        <f t="shared" si="75"/>
        <v>0</v>
      </c>
      <c r="V306" s="108">
        <f t="shared" si="68"/>
        <v>129</v>
      </c>
      <c r="W306" s="26">
        <f t="shared" si="69"/>
        <v>1219</v>
      </c>
      <c r="X306">
        <f t="shared" si="70"/>
        <v>0</v>
      </c>
      <c r="Y306">
        <f t="shared" si="72"/>
        <v>10.158333333333333</v>
      </c>
      <c r="Z306">
        <f t="shared" si="73"/>
        <v>0</v>
      </c>
    </row>
    <row r="307" spans="11:26" x14ac:dyDescent="0.25">
      <c r="K307" s="105">
        <v>274</v>
      </c>
      <c r="L307">
        <f t="shared" si="76"/>
        <v>0</v>
      </c>
      <c r="M307">
        <f t="shared" si="76"/>
        <v>12</v>
      </c>
      <c r="N307">
        <f t="shared" si="76"/>
        <v>0</v>
      </c>
      <c r="O307">
        <f t="shared" si="76"/>
        <v>0</v>
      </c>
      <c r="P307">
        <f t="shared" si="76"/>
        <v>0</v>
      </c>
      <c r="Q307">
        <f t="shared" si="76"/>
        <v>117</v>
      </c>
      <c r="R307">
        <f t="shared" si="71"/>
        <v>0</v>
      </c>
      <c r="S307">
        <f t="shared" si="75"/>
        <v>0</v>
      </c>
      <c r="T307">
        <f t="shared" si="75"/>
        <v>0</v>
      </c>
      <c r="U307">
        <f t="shared" si="75"/>
        <v>0</v>
      </c>
      <c r="V307" s="108">
        <f t="shared" si="68"/>
        <v>129</v>
      </c>
      <c r="W307" s="26">
        <f t="shared" si="69"/>
        <v>1219</v>
      </c>
      <c r="X307">
        <f t="shared" si="70"/>
        <v>0</v>
      </c>
      <c r="Y307">
        <f t="shared" si="72"/>
        <v>10.158333333333333</v>
      </c>
      <c r="Z307">
        <f t="shared" si="73"/>
        <v>0</v>
      </c>
    </row>
    <row r="308" spans="11:26" x14ac:dyDescent="0.25">
      <c r="K308" s="105">
        <v>275</v>
      </c>
      <c r="L308">
        <f t="shared" si="76"/>
        <v>0</v>
      </c>
      <c r="M308">
        <f t="shared" si="76"/>
        <v>12</v>
      </c>
      <c r="N308">
        <f t="shared" si="76"/>
        <v>0</v>
      </c>
      <c r="O308">
        <f t="shared" si="76"/>
        <v>0</v>
      </c>
      <c r="P308">
        <f t="shared" si="76"/>
        <v>0</v>
      </c>
      <c r="Q308">
        <f t="shared" si="76"/>
        <v>117</v>
      </c>
      <c r="R308">
        <f t="shared" si="71"/>
        <v>0</v>
      </c>
      <c r="S308">
        <f t="shared" si="75"/>
        <v>0</v>
      </c>
      <c r="T308">
        <f t="shared" si="75"/>
        <v>0</v>
      </c>
      <c r="U308">
        <f t="shared" si="75"/>
        <v>0</v>
      </c>
      <c r="V308" s="108">
        <f t="shared" si="68"/>
        <v>129</v>
      </c>
      <c r="W308" s="26">
        <f t="shared" si="69"/>
        <v>1219</v>
      </c>
      <c r="X308">
        <f t="shared" si="70"/>
        <v>0</v>
      </c>
      <c r="Y308">
        <f t="shared" si="72"/>
        <v>10.158333333333333</v>
      </c>
      <c r="Z308">
        <f t="shared" si="73"/>
        <v>0</v>
      </c>
    </row>
    <row r="309" spans="11:26" x14ac:dyDescent="0.25">
      <c r="K309" s="105">
        <v>276</v>
      </c>
      <c r="L309">
        <f t="shared" si="76"/>
        <v>0</v>
      </c>
      <c r="M309">
        <f t="shared" si="76"/>
        <v>12</v>
      </c>
      <c r="N309">
        <f t="shared" si="76"/>
        <v>0</v>
      </c>
      <c r="O309">
        <f t="shared" si="76"/>
        <v>0</v>
      </c>
      <c r="P309">
        <f t="shared" si="76"/>
        <v>0</v>
      </c>
      <c r="Q309">
        <f t="shared" si="76"/>
        <v>117</v>
      </c>
      <c r="R309">
        <f t="shared" si="71"/>
        <v>0</v>
      </c>
      <c r="S309">
        <f t="shared" si="75"/>
        <v>0</v>
      </c>
      <c r="T309">
        <f t="shared" si="75"/>
        <v>0</v>
      </c>
      <c r="U309">
        <f t="shared" si="75"/>
        <v>0</v>
      </c>
      <c r="V309" s="108">
        <f t="shared" si="68"/>
        <v>129</v>
      </c>
      <c r="W309" s="26">
        <f t="shared" si="69"/>
        <v>1219</v>
      </c>
      <c r="X309">
        <f t="shared" si="70"/>
        <v>0</v>
      </c>
      <c r="Y309">
        <f t="shared" si="72"/>
        <v>10.158333333333333</v>
      </c>
      <c r="Z309">
        <f t="shared" si="73"/>
        <v>0</v>
      </c>
    </row>
    <row r="310" spans="11:26" x14ac:dyDescent="0.25">
      <c r="K310" s="105">
        <v>277</v>
      </c>
      <c r="L310">
        <f t="shared" si="76"/>
        <v>0</v>
      </c>
      <c r="M310">
        <f t="shared" si="76"/>
        <v>12</v>
      </c>
      <c r="N310">
        <f t="shared" si="76"/>
        <v>0</v>
      </c>
      <c r="O310">
        <f t="shared" si="76"/>
        <v>0</v>
      </c>
      <c r="P310">
        <f t="shared" si="76"/>
        <v>0</v>
      </c>
      <c r="Q310">
        <f t="shared" si="76"/>
        <v>117</v>
      </c>
      <c r="R310">
        <f t="shared" si="71"/>
        <v>0</v>
      </c>
      <c r="S310">
        <f t="shared" si="75"/>
        <v>0</v>
      </c>
      <c r="T310">
        <f t="shared" si="75"/>
        <v>0</v>
      </c>
      <c r="U310">
        <f t="shared" si="75"/>
        <v>0</v>
      </c>
      <c r="V310" s="108">
        <f t="shared" si="68"/>
        <v>129</v>
      </c>
      <c r="W310" s="26">
        <f t="shared" si="69"/>
        <v>1219</v>
      </c>
      <c r="X310">
        <f t="shared" si="70"/>
        <v>0</v>
      </c>
      <c r="Y310">
        <f t="shared" si="72"/>
        <v>10.158333333333333</v>
      </c>
      <c r="Z310">
        <f t="shared" si="73"/>
        <v>0</v>
      </c>
    </row>
    <row r="311" spans="11:26" x14ac:dyDescent="0.25">
      <c r="K311" s="105">
        <v>278</v>
      </c>
      <c r="L311">
        <f t="shared" si="76"/>
        <v>0</v>
      </c>
      <c r="M311">
        <f t="shared" si="76"/>
        <v>12</v>
      </c>
      <c r="N311">
        <f t="shared" si="76"/>
        <v>0</v>
      </c>
      <c r="O311">
        <f t="shared" si="76"/>
        <v>0</v>
      </c>
      <c r="P311">
        <f t="shared" si="76"/>
        <v>0</v>
      </c>
      <c r="Q311">
        <f t="shared" si="76"/>
        <v>117</v>
      </c>
      <c r="R311">
        <f t="shared" si="71"/>
        <v>0</v>
      </c>
      <c r="S311">
        <f t="shared" si="75"/>
        <v>0</v>
      </c>
      <c r="T311">
        <f t="shared" si="75"/>
        <v>0</v>
      </c>
      <c r="U311">
        <f t="shared" si="75"/>
        <v>0</v>
      </c>
      <c r="V311" s="108">
        <f t="shared" si="68"/>
        <v>129</v>
      </c>
      <c r="W311" s="26">
        <f t="shared" si="69"/>
        <v>1219</v>
      </c>
      <c r="X311">
        <f t="shared" si="70"/>
        <v>0</v>
      </c>
      <c r="Y311">
        <f t="shared" si="72"/>
        <v>10.158333333333333</v>
      </c>
      <c r="Z311">
        <f t="shared" si="73"/>
        <v>0</v>
      </c>
    </row>
    <row r="312" spans="11:26" x14ac:dyDescent="0.25">
      <c r="K312" s="105">
        <v>279</v>
      </c>
      <c r="L312">
        <f t="shared" si="76"/>
        <v>0</v>
      </c>
      <c r="M312">
        <f t="shared" si="76"/>
        <v>12</v>
      </c>
      <c r="N312">
        <f t="shared" si="76"/>
        <v>0</v>
      </c>
      <c r="O312">
        <f t="shared" si="76"/>
        <v>0</v>
      </c>
      <c r="P312">
        <f t="shared" si="76"/>
        <v>0</v>
      </c>
      <c r="Q312">
        <f t="shared" si="76"/>
        <v>117</v>
      </c>
      <c r="R312">
        <f t="shared" si="71"/>
        <v>0</v>
      </c>
      <c r="S312">
        <f t="shared" si="75"/>
        <v>0</v>
      </c>
      <c r="T312">
        <f t="shared" si="75"/>
        <v>0</v>
      </c>
      <c r="U312">
        <f t="shared" si="75"/>
        <v>0</v>
      </c>
      <c r="V312" s="108">
        <f t="shared" si="68"/>
        <v>129</v>
      </c>
      <c r="W312" s="26">
        <f t="shared" si="69"/>
        <v>1219</v>
      </c>
      <c r="X312">
        <f t="shared" si="70"/>
        <v>0</v>
      </c>
      <c r="Y312">
        <f t="shared" si="72"/>
        <v>10.158333333333333</v>
      </c>
      <c r="Z312">
        <f t="shared" si="73"/>
        <v>0</v>
      </c>
    </row>
    <row r="313" spans="11:26" x14ac:dyDescent="0.25">
      <c r="K313" s="105">
        <v>280</v>
      </c>
      <c r="L313">
        <f t="shared" si="76"/>
        <v>0</v>
      </c>
      <c r="M313">
        <f t="shared" si="76"/>
        <v>12</v>
      </c>
      <c r="N313">
        <f t="shared" si="76"/>
        <v>0</v>
      </c>
      <c r="O313">
        <f t="shared" si="76"/>
        <v>0</v>
      </c>
      <c r="P313">
        <f t="shared" si="76"/>
        <v>0</v>
      </c>
      <c r="Q313">
        <f t="shared" si="76"/>
        <v>117</v>
      </c>
      <c r="R313">
        <f t="shared" si="71"/>
        <v>0</v>
      </c>
      <c r="S313">
        <f t="shared" si="75"/>
        <v>0</v>
      </c>
      <c r="T313">
        <f t="shared" si="75"/>
        <v>0</v>
      </c>
      <c r="U313">
        <f t="shared" si="75"/>
        <v>0</v>
      </c>
      <c r="V313" s="108">
        <f t="shared" si="68"/>
        <v>129</v>
      </c>
      <c r="W313" s="26">
        <f t="shared" si="69"/>
        <v>1219</v>
      </c>
      <c r="X313">
        <f t="shared" si="70"/>
        <v>0</v>
      </c>
      <c r="Y313">
        <f t="shared" si="72"/>
        <v>10.158333333333333</v>
      </c>
      <c r="Z313">
        <f t="shared" si="73"/>
        <v>0</v>
      </c>
    </row>
    <row r="314" spans="11:26" x14ac:dyDescent="0.25">
      <c r="K314" s="105">
        <v>281</v>
      </c>
      <c r="L314">
        <f t="shared" ref="L314:Q323" si="77">IF(MID(DEC2BIN($K314,10),L$32,1)="1",L$33,0)</f>
        <v>0</v>
      </c>
      <c r="M314">
        <f t="shared" si="77"/>
        <v>12</v>
      </c>
      <c r="N314">
        <f t="shared" si="77"/>
        <v>0</v>
      </c>
      <c r="O314">
        <f t="shared" si="77"/>
        <v>0</v>
      </c>
      <c r="P314">
        <f t="shared" si="77"/>
        <v>0</v>
      </c>
      <c r="Q314">
        <f t="shared" si="77"/>
        <v>117</v>
      </c>
      <c r="R314">
        <f t="shared" si="71"/>
        <v>0</v>
      </c>
      <c r="S314">
        <f t="shared" ref="S314:U333" si="78">IF(MID(DEC2BIN($K314,10),S$32,1)="1",S$33,0)</f>
        <v>0</v>
      </c>
      <c r="T314">
        <f t="shared" si="78"/>
        <v>0</v>
      </c>
      <c r="U314">
        <f t="shared" si="78"/>
        <v>0</v>
      </c>
      <c r="V314" s="108">
        <f t="shared" si="68"/>
        <v>129</v>
      </c>
      <c r="W314" s="26">
        <f t="shared" si="69"/>
        <v>1219</v>
      </c>
      <c r="X314">
        <f t="shared" si="70"/>
        <v>0</v>
      </c>
      <c r="Y314">
        <f t="shared" si="72"/>
        <v>10.158333333333333</v>
      </c>
      <c r="Z314">
        <f t="shared" si="73"/>
        <v>0</v>
      </c>
    </row>
    <row r="315" spans="11:26" x14ac:dyDescent="0.25">
      <c r="K315" s="105">
        <v>282</v>
      </c>
      <c r="L315">
        <f t="shared" si="77"/>
        <v>0</v>
      </c>
      <c r="M315">
        <f t="shared" si="77"/>
        <v>12</v>
      </c>
      <c r="N315">
        <f t="shared" si="77"/>
        <v>0</v>
      </c>
      <c r="O315">
        <f t="shared" si="77"/>
        <v>0</v>
      </c>
      <c r="P315">
        <f t="shared" si="77"/>
        <v>0</v>
      </c>
      <c r="Q315">
        <f t="shared" si="77"/>
        <v>117</v>
      </c>
      <c r="R315">
        <f t="shared" si="71"/>
        <v>0</v>
      </c>
      <c r="S315">
        <f t="shared" si="78"/>
        <v>0</v>
      </c>
      <c r="T315">
        <f t="shared" si="78"/>
        <v>0</v>
      </c>
      <c r="U315">
        <f t="shared" si="78"/>
        <v>0</v>
      </c>
      <c r="V315" s="108">
        <f t="shared" si="68"/>
        <v>129</v>
      </c>
      <c r="W315" s="26">
        <f t="shared" si="69"/>
        <v>1219</v>
      </c>
      <c r="X315">
        <f t="shared" si="70"/>
        <v>0</v>
      </c>
      <c r="Y315">
        <f t="shared" si="72"/>
        <v>10.158333333333333</v>
      </c>
      <c r="Z315">
        <f t="shared" si="73"/>
        <v>0</v>
      </c>
    </row>
    <row r="316" spans="11:26" x14ac:dyDescent="0.25">
      <c r="K316" s="105">
        <v>283</v>
      </c>
      <c r="L316">
        <f t="shared" si="77"/>
        <v>0</v>
      </c>
      <c r="M316">
        <f t="shared" si="77"/>
        <v>12</v>
      </c>
      <c r="N316">
        <f t="shared" si="77"/>
        <v>0</v>
      </c>
      <c r="O316">
        <f t="shared" si="77"/>
        <v>0</v>
      </c>
      <c r="P316">
        <f t="shared" si="77"/>
        <v>0</v>
      </c>
      <c r="Q316">
        <f t="shared" si="77"/>
        <v>117</v>
      </c>
      <c r="R316">
        <f t="shared" si="71"/>
        <v>0</v>
      </c>
      <c r="S316">
        <f t="shared" si="78"/>
        <v>0</v>
      </c>
      <c r="T316">
        <f t="shared" si="78"/>
        <v>0</v>
      </c>
      <c r="U316">
        <f t="shared" si="78"/>
        <v>0</v>
      </c>
      <c r="V316" s="108">
        <f t="shared" si="68"/>
        <v>129</v>
      </c>
      <c r="W316" s="26">
        <f t="shared" si="69"/>
        <v>1219</v>
      </c>
      <c r="X316">
        <f t="shared" si="70"/>
        <v>0</v>
      </c>
      <c r="Y316">
        <f t="shared" si="72"/>
        <v>10.158333333333333</v>
      </c>
      <c r="Z316">
        <f t="shared" si="73"/>
        <v>0</v>
      </c>
    </row>
    <row r="317" spans="11:26" x14ac:dyDescent="0.25">
      <c r="K317" s="105">
        <v>284</v>
      </c>
      <c r="L317">
        <f t="shared" si="77"/>
        <v>0</v>
      </c>
      <c r="M317">
        <f t="shared" si="77"/>
        <v>12</v>
      </c>
      <c r="N317">
        <f t="shared" si="77"/>
        <v>0</v>
      </c>
      <c r="O317">
        <f t="shared" si="77"/>
        <v>0</v>
      </c>
      <c r="P317">
        <f t="shared" si="77"/>
        <v>0</v>
      </c>
      <c r="Q317">
        <f t="shared" si="77"/>
        <v>117</v>
      </c>
      <c r="R317">
        <f t="shared" si="71"/>
        <v>0</v>
      </c>
      <c r="S317">
        <f t="shared" si="78"/>
        <v>0</v>
      </c>
      <c r="T317">
        <f t="shared" si="78"/>
        <v>0</v>
      </c>
      <c r="U317">
        <f t="shared" si="78"/>
        <v>0</v>
      </c>
      <c r="V317" s="108">
        <f t="shared" si="68"/>
        <v>129</v>
      </c>
      <c r="W317" s="26">
        <f t="shared" si="69"/>
        <v>1219</v>
      </c>
      <c r="X317">
        <f t="shared" si="70"/>
        <v>0</v>
      </c>
      <c r="Y317">
        <f t="shared" si="72"/>
        <v>10.158333333333333</v>
      </c>
      <c r="Z317">
        <f t="shared" si="73"/>
        <v>0</v>
      </c>
    </row>
    <row r="318" spans="11:26" x14ac:dyDescent="0.25">
      <c r="K318" s="105">
        <v>285</v>
      </c>
      <c r="L318">
        <f t="shared" si="77"/>
        <v>0</v>
      </c>
      <c r="M318">
        <f t="shared" si="77"/>
        <v>12</v>
      </c>
      <c r="N318">
        <f t="shared" si="77"/>
        <v>0</v>
      </c>
      <c r="O318">
        <f t="shared" si="77"/>
        <v>0</v>
      </c>
      <c r="P318">
        <f t="shared" si="77"/>
        <v>0</v>
      </c>
      <c r="Q318">
        <f t="shared" si="77"/>
        <v>117</v>
      </c>
      <c r="R318">
        <f t="shared" si="71"/>
        <v>0</v>
      </c>
      <c r="S318">
        <f t="shared" si="78"/>
        <v>0</v>
      </c>
      <c r="T318">
        <f t="shared" si="78"/>
        <v>0</v>
      </c>
      <c r="U318">
        <f t="shared" si="78"/>
        <v>0</v>
      </c>
      <c r="V318" s="108">
        <f t="shared" si="68"/>
        <v>129</v>
      </c>
      <c r="W318" s="26">
        <f t="shared" si="69"/>
        <v>1219</v>
      </c>
      <c r="X318">
        <f t="shared" si="70"/>
        <v>0</v>
      </c>
      <c r="Y318">
        <f t="shared" si="72"/>
        <v>10.158333333333333</v>
      </c>
      <c r="Z318">
        <f t="shared" si="73"/>
        <v>0</v>
      </c>
    </row>
    <row r="319" spans="11:26" x14ac:dyDescent="0.25">
      <c r="K319" s="105">
        <v>286</v>
      </c>
      <c r="L319">
        <f t="shared" si="77"/>
        <v>0</v>
      </c>
      <c r="M319">
        <f t="shared" si="77"/>
        <v>12</v>
      </c>
      <c r="N319">
        <f t="shared" si="77"/>
        <v>0</v>
      </c>
      <c r="O319">
        <f t="shared" si="77"/>
        <v>0</v>
      </c>
      <c r="P319">
        <f t="shared" si="77"/>
        <v>0</v>
      </c>
      <c r="Q319">
        <f t="shared" si="77"/>
        <v>117</v>
      </c>
      <c r="R319">
        <f t="shared" si="71"/>
        <v>0</v>
      </c>
      <c r="S319">
        <f t="shared" si="78"/>
        <v>0</v>
      </c>
      <c r="T319">
        <f t="shared" si="78"/>
        <v>0</v>
      </c>
      <c r="U319">
        <f t="shared" si="78"/>
        <v>0</v>
      </c>
      <c r="V319" s="108">
        <f t="shared" si="68"/>
        <v>129</v>
      </c>
      <c r="W319" s="26">
        <f t="shared" si="69"/>
        <v>1219</v>
      </c>
      <c r="X319">
        <f t="shared" si="70"/>
        <v>0</v>
      </c>
      <c r="Y319">
        <f t="shared" si="72"/>
        <v>10.158333333333333</v>
      </c>
      <c r="Z319">
        <f t="shared" si="73"/>
        <v>0</v>
      </c>
    </row>
    <row r="320" spans="11:26" x14ac:dyDescent="0.25">
      <c r="K320" s="105">
        <v>287</v>
      </c>
      <c r="L320">
        <f t="shared" si="77"/>
        <v>0</v>
      </c>
      <c r="M320">
        <f t="shared" si="77"/>
        <v>12</v>
      </c>
      <c r="N320">
        <f t="shared" si="77"/>
        <v>0</v>
      </c>
      <c r="O320">
        <f t="shared" si="77"/>
        <v>0</v>
      </c>
      <c r="P320">
        <f t="shared" si="77"/>
        <v>0</v>
      </c>
      <c r="Q320">
        <f t="shared" si="77"/>
        <v>117</v>
      </c>
      <c r="R320">
        <f t="shared" si="71"/>
        <v>0</v>
      </c>
      <c r="S320">
        <f t="shared" si="78"/>
        <v>0</v>
      </c>
      <c r="T320">
        <f t="shared" si="78"/>
        <v>0</v>
      </c>
      <c r="U320">
        <f t="shared" si="78"/>
        <v>0</v>
      </c>
      <c r="V320" s="108">
        <f t="shared" si="68"/>
        <v>129</v>
      </c>
      <c r="W320" s="26">
        <f t="shared" si="69"/>
        <v>1219</v>
      </c>
      <c r="X320">
        <f t="shared" si="70"/>
        <v>0</v>
      </c>
      <c r="Y320">
        <f t="shared" si="72"/>
        <v>10.158333333333333</v>
      </c>
      <c r="Z320">
        <f t="shared" si="73"/>
        <v>0</v>
      </c>
    </row>
    <row r="321" spans="11:26" x14ac:dyDescent="0.25">
      <c r="K321" s="105">
        <v>288</v>
      </c>
      <c r="L321">
        <f t="shared" si="77"/>
        <v>0</v>
      </c>
      <c r="M321">
        <f t="shared" si="77"/>
        <v>12</v>
      </c>
      <c r="N321">
        <f t="shared" si="77"/>
        <v>0</v>
      </c>
      <c r="O321">
        <f t="shared" si="77"/>
        <v>0</v>
      </c>
      <c r="P321">
        <f t="shared" si="77"/>
        <v>89</v>
      </c>
      <c r="Q321">
        <f t="shared" si="77"/>
        <v>0</v>
      </c>
      <c r="R321">
        <f t="shared" si="71"/>
        <v>0</v>
      </c>
      <c r="S321">
        <f t="shared" si="78"/>
        <v>0</v>
      </c>
      <c r="T321">
        <f t="shared" si="78"/>
        <v>0</v>
      </c>
      <c r="U321">
        <f t="shared" si="78"/>
        <v>0</v>
      </c>
      <c r="V321" s="108">
        <f t="shared" si="68"/>
        <v>101</v>
      </c>
      <c r="W321" s="26">
        <f t="shared" si="69"/>
        <v>1247</v>
      </c>
      <c r="X321">
        <f t="shared" si="70"/>
        <v>0</v>
      </c>
      <c r="Y321">
        <f t="shared" si="72"/>
        <v>10.391666666666667</v>
      </c>
      <c r="Z321">
        <f t="shared" si="73"/>
        <v>0</v>
      </c>
    </row>
    <row r="322" spans="11:26" x14ac:dyDescent="0.25">
      <c r="K322" s="105">
        <v>289</v>
      </c>
      <c r="L322">
        <f t="shared" si="77"/>
        <v>0</v>
      </c>
      <c r="M322">
        <f t="shared" si="77"/>
        <v>12</v>
      </c>
      <c r="N322">
        <f t="shared" si="77"/>
        <v>0</v>
      </c>
      <c r="O322">
        <f t="shared" si="77"/>
        <v>0</v>
      </c>
      <c r="P322">
        <f t="shared" si="77"/>
        <v>89</v>
      </c>
      <c r="Q322">
        <f t="shared" si="77"/>
        <v>0</v>
      </c>
      <c r="R322">
        <f t="shared" si="71"/>
        <v>0</v>
      </c>
      <c r="S322">
        <f t="shared" si="78"/>
        <v>0</v>
      </c>
      <c r="T322">
        <f t="shared" si="78"/>
        <v>0</v>
      </c>
      <c r="U322">
        <f t="shared" si="78"/>
        <v>0</v>
      </c>
      <c r="V322" s="108">
        <f t="shared" si="68"/>
        <v>101</v>
      </c>
      <c r="W322" s="26">
        <f t="shared" si="69"/>
        <v>1247</v>
      </c>
      <c r="X322">
        <f t="shared" si="70"/>
        <v>0</v>
      </c>
      <c r="Y322">
        <f t="shared" si="72"/>
        <v>10.391666666666667</v>
      </c>
      <c r="Z322">
        <f t="shared" si="73"/>
        <v>0</v>
      </c>
    </row>
    <row r="323" spans="11:26" x14ac:dyDescent="0.25">
      <c r="K323" s="105">
        <v>290</v>
      </c>
      <c r="L323">
        <f t="shared" si="77"/>
        <v>0</v>
      </c>
      <c r="M323">
        <f t="shared" si="77"/>
        <v>12</v>
      </c>
      <c r="N323">
        <f t="shared" si="77"/>
        <v>0</v>
      </c>
      <c r="O323">
        <f t="shared" si="77"/>
        <v>0</v>
      </c>
      <c r="P323">
        <f t="shared" si="77"/>
        <v>89</v>
      </c>
      <c r="Q323">
        <f t="shared" si="77"/>
        <v>0</v>
      </c>
      <c r="R323">
        <f t="shared" si="71"/>
        <v>0</v>
      </c>
      <c r="S323">
        <f t="shared" si="78"/>
        <v>0</v>
      </c>
      <c r="T323">
        <f t="shared" si="78"/>
        <v>0</v>
      </c>
      <c r="U323">
        <f t="shared" si="78"/>
        <v>0</v>
      </c>
      <c r="V323" s="108">
        <f t="shared" si="68"/>
        <v>101</v>
      </c>
      <c r="W323" s="26">
        <f t="shared" si="69"/>
        <v>1247</v>
      </c>
      <c r="X323">
        <f t="shared" si="70"/>
        <v>0</v>
      </c>
      <c r="Y323">
        <f t="shared" si="72"/>
        <v>10.391666666666667</v>
      </c>
      <c r="Z323">
        <f t="shared" si="73"/>
        <v>0</v>
      </c>
    </row>
    <row r="324" spans="11:26" x14ac:dyDescent="0.25">
      <c r="K324" s="105">
        <v>291</v>
      </c>
      <c r="L324">
        <f t="shared" ref="L324:Q333" si="79">IF(MID(DEC2BIN($K324,10),L$32,1)="1",L$33,0)</f>
        <v>0</v>
      </c>
      <c r="M324">
        <f t="shared" si="79"/>
        <v>12</v>
      </c>
      <c r="N324">
        <f t="shared" si="79"/>
        <v>0</v>
      </c>
      <c r="O324">
        <f t="shared" si="79"/>
        <v>0</v>
      </c>
      <c r="P324">
        <f t="shared" si="79"/>
        <v>89</v>
      </c>
      <c r="Q324">
        <f t="shared" si="79"/>
        <v>0</v>
      </c>
      <c r="R324">
        <f t="shared" si="71"/>
        <v>0</v>
      </c>
      <c r="S324">
        <f t="shared" si="78"/>
        <v>0</v>
      </c>
      <c r="T324">
        <f t="shared" si="78"/>
        <v>0</v>
      </c>
      <c r="U324">
        <f t="shared" si="78"/>
        <v>0</v>
      </c>
      <c r="V324" s="108">
        <f t="shared" si="68"/>
        <v>101</v>
      </c>
      <c r="W324" s="26">
        <f t="shared" si="69"/>
        <v>1247</v>
      </c>
      <c r="X324">
        <f t="shared" si="70"/>
        <v>0</v>
      </c>
      <c r="Y324">
        <f t="shared" si="72"/>
        <v>10.391666666666667</v>
      </c>
      <c r="Z324">
        <f t="shared" si="73"/>
        <v>0</v>
      </c>
    </row>
    <row r="325" spans="11:26" x14ac:dyDescent="0.25">
      <c r="K325" s="105">
        <v>292</v>
      </c>
      <c r="L325">
        <f t="shared" si="79"/>
        <v>0</v>
      </c>
      <c r="M325">
        <f t="shared" si="79"/>
        <v>12</v>
      </c>
      <c r="N325">
        <f t="shared" si="79"/>
        <v>0</v>
      </c>
      <c r="O325">
        <f t="shared" si="79"/>
        <v>0</v>
      </c>
      <c r="P325">
        <f t="shared" si="79"/>
        <v>89</v>
      </c>
      <c r="Q325">
        <f t="shared" si="79"/>
        <v>0</v>
      </c>
      <c r="R325">
        <f t="shared" si="71"/>
        <v>0</v>
      </c>
      <c r="S325">
        <f t="shared" si="78"/>
        <v>0</v>
      </c>
      <c r="T325">
        <f t="shared" si="78"/>
        <v>0</v>
      </c>
      <c r="U325">
        <f t="shared" si="78"/>
        <v>0</v>
      </c>
      <c r="V325" s="108">
        <f t="shared" si="68"/>
        <v>101</v>
      </c>
      <c r="W325" s="26">
        <f t="shared" si="69"/>
        <v>1247</v>
      </c>
      <c r="X325">
        <f t="shared" si="70"/>
        <v>0</v>
      </c>
      <c r="Y325">
        <f t="shared" si="72"/>
        <v>10.391666666666667</v>
      </c>
      <c r="Z325">
        <f t="shared" si="73"/>
        <v>0</v>
      </c>
    </row>
    <row r="326" spans="11:26" x14ac:dyDescent="0.25">
      <c r="K326" s="105">
        <v>293</v>
      </c>
      <c r="L326">
        <f t="shared" si="79"/>
        <v>0</v>
      </c>
      <c r="M326">
        <f t="shared" si="79"/>
        <v>12</v>
      </c>
      <c r="N326">
        <f t="shared" si="79"/>
        <v>0</v>
      </c>
      <c r="O326">
        <f t="shared" si="79"/>
        <v>0</v>
      </c>
      <c r="P326">
        <f t="shared" si="79"/>
        <v>89</v>
      </c>
      <c r="Q326">
        <f t="shared" si="79"/>
        <v>0</v>
      </c>
      <c r="R326">
        <f t="shared" si="71"/>
        <v>0</v>
      </c>
      <c r="S326">
        <f t="shared" si="78"/>
        <v>0</v>
      </c>
      <c r="T326">
        <f t="shared" si="78"/>
        <v>0</v>
      </c>
      <c r="U326">
        <f t="shared" si="78"/>
        <v>0</v>
      </c>
      <c r="V326" s="108">
        <f t="shared" si="68"/>
        <v>101</v>
      </c>
      <c r="W326" s="26">
        <f t="shared" si="69"/>
        <v>1247</v>
      </c>
      <c r="X326">
        <f t="shared" si="70"/>
        <v>0</v>
      </c>
      <c r="Y326">
        <f t="shared" si="72"/>
        <v>10.391666666666667</v>
      </c>
      <c r="Z326">
        <f t="shared" si="73"/>
        <v>0</v>
      </c>
    </row>
    <row r="327" spans="11:26" x14ac:dyDescent="0.25">
      <c r="K327" s="105">
        <v>294</v>
      </c>
      <c r="L327">
        <f t="shared" si="79"/>
        <v>0</v>
      </c>
      <c r="M327">
        <f t="shared" si="79"/>
        <v>12</v>
      </c>
      <c r="N327">
        <f t="shared" si="79"/>
        <v>0</v>
      </c>
      <c r="O327">
        <f t="shared" si="79"/>
        <v>0</v>
      </c>
      <c r="P327">
        <f t="shared" si="79"/>
        <v>89</v>
      </c>
      <c r="Q327">
        <f t="shared" si="79"/>
        <v>0</v>
      </c>
      <c r="R327">
        <f t="shared" si="71"/>
        <v>0</v>
      </c>
      <c r="S327">
        <f t="shared" si="78"/>
        <v>0</v>
      </c>
      <c r="T327">
        <f t="shared" si="78"/>
        <v>0</v>
      </c>
      <c r="U327">
        <f t="shared" si="78"/>
        <v>0</v>
      </c>
      <c r="V327" s="108">
        <f t="shared" si="68"/>
        <v>101</v>
      </c>
      <c r="W327" s="26">
        <f t="shared" si="69"/>
        <v>1247</v>
      </c>
      <c r="X327">
        <f t="shared" si="70"/>
        <v>0</v>
      </c>
      <c r="Y327">
        <f t="shared" si="72"/>
        <v>10.391666666666667</v>
      </c>
      <c r="Z327">
        <f t="shared" si="73"/>
        <v>0</v>
      </c>
    </row>
    <row r="328" spans="11:26" x14ac:dyDescent="0.25">
      <c r="K328" s="105">
        <v>295</v>
      </c>
      <c r="L328">
        <f t="shared" si="79"/>
        <v>0</v>
      </c>
      <c r="M328">
        <f t="shared" si="79"/>
        <v>12</v>
      </c>
      <c r="N328">
        <f t="shared" si="79"/>
        <v>0</v>
      </c>
      <c r="O328">
        <f t="shared" si="79"/>
        <v>0</v>
      </c>
      <c r="P328">
        <f t="shared" si="79"/>
        <v>89</v>
      </c>
      <c r="Q328">
        <f t="shared" si="79"/>
        <v>0</v>
      </c>
      <c r="R328">
        <f t="shared" si="71"/>
        <v>0</v>
      </c>
      <c r="S328">
        <f t="shared" si="78"/>
        <v>0</v>
      </c>
      <c r="T328">
        <f t="shared" si="78"/>
        <v>0</v>
      </c>
      <c r="U328">
        <f t="shared" si="78"/>
        <v>0</v>
      </c>
      <c r="V328" s="108">
        <f t="shared" si="68"/>
        <v>101</v>
      </c>
      <c r="W328" s="26">
        <f t="shared" si="69"/>
        <v>1247</v>
      </c>
      <c r="X328">
        <f t="shared" si="70"/>
        <v>0</v>
      </c>
      <c r="Y328">
        <f t="shared" si="72"/>
        <v>10.391666666666667</v>
      </c>
      <c r="Z328">
        <f t="shared" si="73"/>
        <v>0</v>
      </c>
    </row>
    <row r="329" spans="11:26" x14ac:dyDescent="0.25">
      <c r="K329" s="105">
        <v>296</v>
      </c>
      <c r="L329">
        <f t="shared" si="79"/>
        <v>0</v>
      </c>
      <c r="M329">
        <f t="shared" si="79"/>
        <v>12</v>
      </c>
      <c r="N329">
        <f t="shared" si="79"/>
        <v>0</v>
      </c>
      <c r="O329">
        <f t="shared" si="79"/>
        <v>0</v>
      </c>
      <c r="P329">
        <f t="shared" si="79"/>
        <v>89</v>
      </c>
      <c r="Q329">
        <f t="shared" si="79"/>
        <v>0</v>
      </c>
      <c r="R329">
        <f t="shared" si="71"/>
        <v>0</v>
      </c>
      <c r="S329">
        <f t="shared" si="78"/>
        <v>0</v>
      </c>
      <c r="T329">
        <f t="shared" si="78"/>
        <v>0</v>
      </c>
      <c r="U329">
        <f t="shared" si="78"/>
        <v>0</v>
      </c>
      <c r="V329" s="108">
        <f t="shared" si="68"/>
        <v>101</v>
      </c>
      <c r="W329" s="26">
        <f t="shared" si="69"/>
        <v>1247</v>
      </c>
      <c r="X329">
        <f t="shared" si="70"/>
        <v>0</v>
      </c>
      <c r="Y329">
        <f t="shared" si="72"/>
        <v>10.391666666666667</v>
      </c>
      <c r="Z329">
        <f t="shared" si="73"/>
        <v>0</v>
      </c>
    </row>
    <row r="330" spans="11:26" x14ac:dyDescent="0.25">
      <c r="K330" s="105">
        <v>297</v>
      </c>
      <c r="L330">
        <f t="shared" si="79"/>
        <v>0</v>
      </c>
      <c r="M330">
        <f t="shared" si="79"/>
        <v>12</v>
      </c>
      <c r="N330">
        <f t="shared" si="79"/>
        <v>0</v>
      </c>
      <c r="O330">
        <f t="shared" si="79"/>
        <v>0</v>
      </c>
      <c r="P330">
        <f t="shared" si="79"/>
        <v>89</v>
      </c>
      <c r="Q330">
        <f t="shared" si="79"/>
        <v>0</v>
      </c>
      <c r="R330">
        <f t="shared" si="71"/>
        <v>0</v>
      </c>
      <c r="S330">
        <f t="shared" si="78"/>
        <v>0</v>
      </c>
      <c r="T330">
        <f t="shared" si="78"/>
        <v>0</v>
      </c>
      <c r="U330">
        <f t="shared" si="78"/>
        <v>0</v>
      </c>
      <c r="V330" s="108">
        <f t="shared" si="68"/>
        <v>101</v>
      </c>
      <c r="W330" s="26">
        <f t="shared" si="69"/>
        <v>1247</v>
      </c>
      <c r="X330">
        <f t="shared" si="70"/>
        <v>0</v>
      </c>
      <c r="Y330">
        <f t="shared" si="72"/>
        <v>10.391666666666667</v>
      </c>
      <c r="Z330">
        <f t="shared" si="73"/>
        <v>0</v>
      </c>
    </row>
    <row r="331" spans="11:26" x14ac:dyDescent="0.25">
      <c r="K331" s="105">
        <v>298</v>
      </c>
      <c r="L331">
        <f t="shared" si="79"/>
        <v>0</v>
      </c>
      <c r="M331">
        <f t="shared" si="79"/>
        <v>12</v>
      </c>
      <c r="N331">
        <f t="shared" si="79"/>
        <v>0</v>
      </c>
      <c r="O331">
        <f t="shared" si="79"/>
        <v>0</v>
      </c>
      <c r="P331">
        <f t="shared" si="79"/>
        <v>89</v>
      </c>
      <c r="Q331">
        <f t="shared" si="79"/>
        <v>0</v>
      </c>
      <c r="R331">
        <f t="shared" si="71"/>
        <v>0</v>
      </c>
      <c r="S331">
        <f t="shared" si="78"/>
        <v>0</v>
      </c>
      <c r="T331">
        <f t="shared" si="78"/>
        <v>0</v>
      </c>
      <c r="U331">
        <f t="shared" si="78"/>
        <v>0</v>
      </c>
      <c r="V331" s="108">
        <f t="shared" si="68"/>
        <v>101</v>
      </c>
      <c r="W331" s="26">
        <f t="shared" si="69"/>
        <v>1247</v>
      </c>
      <c r="X331">
        <f t="shared" si="70"/>
        <v>0</v>
      </c>
      <c r="Y331">
        <f t="shared" si="72"/>
        <v>10.391666666666667</v>
      </c>
      <c r="Z331">
        <f t="shared" si="73"/>
        <v>0</v>
      </c>
    </row>
    <row r="332" spans="11:26" x14ac:dyDescent="0.25">
      <c r="K332" s="105">
        <v>299</v>
      </c>
      <c r="L332">
        <f t="shared" si="79"/>
        <v>0</v>
      </c>
      <c r="M332">
        <f t="shared" si="79"/>
        <v>12</v>
      </c>
      <c r="N332">
        <f t="shared" si="79"/>
        <v>0</v>
      </c>
      <c r="O332">
        <f t="shared" si="79"/>
        <v>0</v>
      </c>
      <c r="P332">
        <f t="shared" si="79"/>
        <v>89</v>
      </c>
      <c r="Q332">
        <f t="shared" si="79"/>
        <v>0</v>
      </c>
      <c r="R332">
        <f t="shared" si="71"/>
        <v>0</v>
      </c>
      <c r="S332">
        <f t="shared" si="78"/>
        <v>0</v>
      </c>
      <c r="T332">
        <f t="shared" si="78"/>
        <v>0</v>
      </c>
      <c r="U332">
        <f t="shared" si="78"/>
        <v>0</v>
      </c>
      <c r="V332" s="108">
        <f t="shared" si="68"/>
        <v>101</v>
      </c>
      <c r="W332" s="26">
        <f t="shared" si="69"/>
        <v>1247</v>
      </c>
      <c r="X332">
        <f t="shared" si="70"/>
        <v>0</v>
      </c>
      <c r="Y332">
        <f t="shared" si="72"/>
        <v>10.391666666666667</v>
      </c>
      <c r="Z332">
        <f t="shared" si="73"/>
        <v>0</v>
      </c>
    </row>
    <row r="333" spans="11:26" x14ac:dyDescent="0.25">
      <c r="K333" s="105">
        <v>300</v>
      </c>
      <c r="L333">
        <f t="shared" si="79"/>
        <v>0</v>
      </c>
      <c r="M333">
        <f t="shared" si="79"/>
        <v>12</v>
      </c>
      <c r="N333">
        <f t="shared" si="79"/>
        <v>0</v>
      </c>
      <c r="O333">
        <f t="shared" si="79"/>
        <v>0</v>
      </c>
      <c r="P333">
        <f t="shared" si="79"/>
        <v>89</v>
      </c>
      <c r="Q333">
        <f t="shared" si="79"/>
        <v>0</v>
      </c>
      <c r="R333">
        <f t="shared" si="71"/>
        <v>0</v>
      </c>
      <c r="S333">
        <f t="shared" si="78"/>
        <v>0</v>
      </c>
      <c r="T333">
        <f t="shared" si="78"/>
        <v>0</v>
      </c>
      <c r="U333">
        <f t="shared" si="78"/>
        <v>0</v>
      </c>
      <c r="V333" s="108">
        <f t="shared" si="68"/>
        <v>101</v>
      </c>
      <c r="W333" s="26">
        <f t="shared" si="69"/>
        <v>1247</v>
      </c>
      <c r="X333">
        <f t="shared" si="70"/>
        <v>0</v>
      </c>
      <c r="Y333">
        <f t="shared" si="72"/>
        <v>10.391666666666667</v>
      </c>
      <c r="Z333">
        <f t="shared" si="73"/>
        <v>0</v>
      </c>
    </row>
    <row r="334" spans="11:26" x14ac:dyDescent="0.25">
      <c r="K334" s="105">
        <v>301</v>
      </c>
      <c r="L334">
        <f t="shared" ref="L334:Q343" si="80">IF(MID(DEC2BIN($K334,10),L$32,1)="1",L$33,0)</f>
        <v>0</v>
      </c>
      <c r="M334">
        <f t="shared" si="80"/>
        <v>12</v>
      </c>
      <c r="N334">
        <f t="shared" si="80"/>
        <v>0</v>
      </c>
      <c r="O334">
        <f t="shared" si="80"/>
        <v>0</v>
      </c>
      <c r="P334">
        <f t="shared" si="80"/>
        <v>89</v>
      </c>
      <c r="Q334">
        <f t="shared" si="80"/>
        <v>0</v>
      </c>
      <c r="R334">
        <f t="shared" si="71"/>
        <v>0</v>
      </c>
      <c r="S334">
        <f t="shared" ref="S334:U353" si="81">IF(MID(DEC2BIN($K334,10),S$32,1)="1",S$33,0)</f>
        <v>0</v>
      </c>
      <c r="T334">
        <f t="shared" si="81"/>
        <v>0</v>
      </c>
      <c r="U334">
        <f t="shared" si="81"/>
        <v>0</v>
      </c>
      <c r="V334" s="108">
        <f t="shared" si="68"/>
        <v>101</v>
      </c>
      <c r="W334" s="26">
        <f t="shared" si="69"/>
        <v>1247</v>
      </c>
      <c r="X334">
        <f t="shared" si="70"/>
        <v>0</v>
      </c>
      <c r="Y334">
        <f t="shared" si="72"/>
        <v>10.391666666666667</v>
      </c>
      <c r="Z334">
        <f t="shared" si="73"/>
        <v>0</v>
      </c>
    </row>
    <row r="335" spans="11:26" x14ac:dyDescent="0.25">
      <c r="K335" s="105">
        <v>302</v>
      </c>
      <c r="L335">
        <f t="shared" si="80"/>
        <v>0</v>
      </c>
      <c r="M335">
        <f t="shared" si="80"/>
        <v>12</v>
      </c>
      <c r="N335">
        <f t="shared" si="80"/>
        <v>0</v>
      </c>
      <c r="O335">
        <f t="shared" si="80"/>
        <v>0</v>
      </c>
      <c r="P335">
        <f t="shared" si="80"/>
        <v>89</v>
      </c>
      <c r="Q335">
        <f t="shared" si="80"/>
        <v>0</v>
      </c>
      <c r="R335">
        <f t="shared" si="71"/>
        <v>0</v>
      </c>
      <c r="S335">
        <f t="shared" si="81"/>
        <v>0</v>
      </c>
      <c r="T335">
        <f t="shared" si="81"/>
        <v>0</v>
      </c>
      <c r="U335">
        <f t="shared" si="81"/>
        <v>0</v>
      </c>
      <c r="V335" s="108">
        <f t="shared" si="68"/>
        <v>101</v>
      </c>
      <c r="W335" s="26">
        <f t="shared" si="69"/>
        <v>1247</v>
      </c>
      <c r="X335">
        <f t="shared" si="70"/>
        <v>0</v>
      </c>
      <c r="Y335">
        <f t="shared" si="72"/>
        <v>10.391666666666667</v>
      </c>
      <c r="Z335">
        <f t="shared" si="73"/>
        <v>0</v>
      </c>
    </row>
    <row r="336" spans="11:26" x14ac:dyDescent="0.25">
      <c r="K336" s="105">
        <v>303</v>
      </c>
      <c r="L336">
        <f t="shared" si="80"/>
        <v>0</v>
      </c>
      <c r="M336">
        <f t="shared" si="80"/>
        <v>12</v>
      </c>
      <c r="N336">
        <f t="shared" si="80"/>
        <v>0</v>
      </c>
      <c r="O336">
        <f t="shared" si="80"/>
        <v>0</v>
      </c>
      <c r="P336">
        <f t="shared" si="80"/>
        <v>89</v>
      </c>
      <c r="Q336">
        <f t="shared" si="80"/>
        <v>0</v>
      </c>
      <c r="R336">
        <f t="shared" si="71"/>
        <v>0</v>
      </c>
      <c r="S336">
        <f t="shared" si="81"/>
        <v>0</v>
      </c>
      <c r="T336">
        <f t="shared" si="81"/>
        <v>0</v>
      </c>
      <c r="U336">
        <f t="shared" si="81"/>
        <v>0</v>
      </c>
      <c r="V336" s="108">
        <f t="shared" si="68"/>
        <v>101</v>
      </c>
      <c r="W336" s="26">
        <f t="shared" si="69"/>
        <v>1247</v>
      </c>
      <c r="X336">
        <f t="shared" si="70"/>
        <v>0</v>
      </c>
      <c r="Y336">
        <f t="shared" si="72"/>
        <v>10.391666666666667</v>
      </c>
      <c r="Z336">
        <f t="shared" si="73"/>
        <v>0</v>
      </c>
    </row>
    <row r="337" spans="11:26" x14ac:dyDescent="0.25">
      <c r="K337" s="105">
        <v>304</v>
      </c>
      <c r="L337">
        <f t="shared" si="80"/>
        <v>0</v>
      </c>
      <c r="M337">
        <f t="shared" si="80"/>
        <v>12</v>
      </c>
      <c r="N337">
        <f t="shared" si="80"/>
        <v>0</v>
      </c>
      <c r="O337">
        <f t="shared" si="80"/>
        <v>0</v>
      </c>
      <c r="P337">
        <f t="shared" si="80"/>
        <v>89</v>
      </c>
      <c r="Q337">
        <f t="shared" si="80"/>
        <v>117</v>
      </c>
      <c r="R337">
        <f t="shared" si="71"/>
        <v>0</v>
      </c>
      <c r="S337">
        <f t="shared" si="81"/>
        <v>0</v>
      </c>
      <c r="T337">
        <f t="shared" si="81"/>
        <v>0</v>
      </c>
      <c r="U337">
        <f t="shared" si="81"/>
        <v>0</v>
      </c>
      <c r="V337" s="108">
        <f t="shared" si="68"/>
        <v>218</v>
      </c>
      <c r="W337" s="26">
        <f t="shared" si="69"/>
        <v>1130</v>
      </c>
      <c r="X337">
        <f t="shared" si="70"/>
        <v>0</v>
      </c>
      <c r="Y337">
        <f t="shared" si="72"/>
        <v>9.4166666666666661</v>
      </c>
      <c r="Z337">
        <f t="shared" si="73"/>
        <v>0</v>
      </c>
    </row>
    <row r="338" spans="11:26" x14ac:dyDescent="0.25">
      <c r="K338" s="105">
        <v>305</v>
      </c>
      <c r="L338">
        <f t="shared" si="80"/>
        <v>0</v>
      </c>
      <c r="M338">
        <f t="shared" si="80"/>
        <v>12</v>
      </c>
      <c r="N338">
        <f t="shared" si="80"/>
        <v>0</v>
      </c>
      <c r="O338">
        <f t="shared" si="80"/>
        <v>0</v>
      </c>
      <c r="P338">
        <f t="shared" si="80"/>
        <v>89</v>
      </c>
      <c r="Q338">
        <f t="shared" si="80"/>
        <v>117</v>
      </c>
      <c r="R338">
        <f t="shared" si="71"/>
        <v>0</v>
      </c>
      <c r="S338">
        <f t="shared" si="81"/>
        <v>0</v>
      </c>
      <c r="T338">
        <f t="shared" si="81"/>
        <v>0</v>
      </c>
      <c r="U338">
        <f t="shared" si="81"/>
        <v>0</v>
      </c>
      <c r="V338" s="108">
        <f t="shared" si="68"/>
        <v>218</v>
      </c>
      <c r="W338" s="26">
        <f t="shared" si="69"/>
        <v>1130</v>
      </c>
      <c r="X338">
        <f t="shared" si="70"/>
        <v>0</v>
      </c>
      <c r="Y338">
        <f t="shared" si="72"/>
        <v>9.4166666666666661</v>
      </c>
      <c r="Z338">
        <f t="shared" si="73"/>
        <v>0</v>
      </c>
    </row>
    <row r="339" spans="11:26" x14ac:dyDescent="0.25">
      <c r="K339" s="105">
        <v>306</v>
      </c>
      <c r="L339">
        <f t="shared" si="80"/>
        <v>0</v>
      </c>
      <c r="M339">
        <f t="shared" si="80"/>
        <v>12</v>
      </c>
      <c r="N339">
        <f t="shared" si="80"/>
        <v>0</v>
      </c>
      <c r="O339">
        <f t="shared" si="80"/>
        <v>0</v>
      </c>
      <c r="P339">
        <f t="shared" si="80"/>
        <v>89</v>
      </c>
      <c r="Q339">
        <f t="shared" si="80"/>
        <v>117</v>
      </c>
      <c r="R339">
        <f t="shared" si="71"/>
        <v>0</v>
      </c>
      <c r="S339">
        <f t="shared" si="81"/>
        <v>0</v>
      </c>
      <c r="T339">
        <f t="shared" si="81"/>
        <v>0</v>
      </c>
      <c r="U339">
        <f t="shared" si="81"/>
        <v>0</v>
      </c>
      <c r="V339" s="108">
        <f t="shared" si="68"/>
        <v>218</v>
      </c>
      <c r="W339" s="26">
        <f t="shared" si="69"/>
        <v>1130</v>
      </c>
      <c r="X339">
        <f t="shared" si="70"/>
        <v>0</v>
      </c>
      <c r="Y339">
        <f t="shared" si="72"/>
        <v>9.4166666666666661</v>
      </c>
      <c r="Z339">
        <f t="shared" si="73"/>
        <v>0</v>
      </c>
    </row>
    <row r="340" spans="11:26" x14ac:dyDescent="0.25">
      <c r="K340" s="105">
        <v>307</v>
      </c>
      <c r="L340">
        <f t="shared" si="80"/>
        <v>0</v>
      </c>
      <c r="M340">
        <f t="shared" si="80"/>
        <v>12</v>
      </c>
      <c r="N340">
        <f t="shared" si="80"/>
        <v>0</v>
      </c>
      <c r="O340">
        <f t="shared" si="80"/>
        <v>0</v>
      </c>
      <c r="P340">
        <f t="shared" si="80"/>
        <v>89</v>
      </c>
      <c r="Q340">
        <f t="shared" si="80"/>
        <v>117</v>
      </c>
      <c r="R340">
        <f t="shared" si="71"/>
        <v>0</v>
      </c>
      <c r="S340">
        <f t="shared" si="81"/>
        <v>0</v>
      </c>
      <c r="T340">
        <f t="shared" si="81"/>
        <v>0</v>
      </c>
      <c r="U340">
        <f t="shared" si="81"/>
        <v>0</v>
      </c>
      <c r="V340" s="108">
        <f t="shared" si="68"/>
        <v>218</v>
      </c>
      <c r="W340" s="26">
        <f t="shared" si="69"/>
        <v>1130</v>
      </c>
      <c r="X340">
        <f t="shared" si="70"/>
        <v>0</v>
      </c>
      <c r="Y340">
        <f t="shared" si="72"/>
        <v>9.4166666666666661</v>
      </c>
      <c r="Z340">
        <f t="shared" si="73"/>
        <v>0</v>
      </c>
    </row>
    <row r="341" spans="11:26" x14ac:dyDescent="0.25">
      <c r="K341" s="105">
        <v>308</v>
      </c>
      <c r="L341">
        <f t="shared" si="80"/>
        <v>0</v>
      </c>
      <c r="M341">
        <f t="shared" si="80"/>
        <v>12</v>
      </c>
      <c r="N341">
        <f t="shared" si="80"/>
        <v>0</v>
      </c>
      <c r="O341">
        <f t="shared" si="80"/>
        <v>0</v>
      </c>
      <c r="P341">
        <f t="shared" si="80"/>
        <v>89</v>
      </c>
      <c r="Q341">
        <f t="shared" si="80"/>
        <v>117</v>
      </c>
      <c r="R341">
        <f t="shared" si="71"/>
        <v>0</v>
      </c>
      <c r="S341">
        <f t="shared" si="81"/>
        <v>0</v>
      </c>
      <c r="T341">
        <f t="shared" si="81"/>
        <v>0</v>
      </c>
      <c r="U341">
        <f t="shared" si="81"/>
        <v>0</v>
      </c>
      <c r="V341" s="108">
        <f t="shared" si="68"/>
        <v>218</v>
      </c>
      <c r="W341" s="26">
        <f t="shared" si="69"/>
        <v>1130</v>
      </c>
      <c r="X341">
        <f t="shared" si="70"/>
        <v>0</v>
      </c>
      <c r="Y341">
        <f t="shared" si="72"/>
        <v>9.4166666666666661</v>
      </c>
      <c r="Z341">
        <f t="shared" si="73"/>
        <v>0</v>
      </c>
    </row>
    <row r="342" spans="11:26" x14ac:dyDescent="0.25">
      <c r="K342" s="105">
        <v>309</v>
      </c>
      <c r="L342">
        <f t="shared" si="80"/>
        <v>0</v>
      </c>
      <c r="M342">
        <f t="shared" si="80"/>
        <v>12</v>
      </c>
      <c r="N342">
        <f t="shared" si="80"/>
        <v>0</v>
      </c>
      <c r="O342">
        <f t="shared" si="80"/>
        <v>0</v>
      </c>
      <c r="P342">
        <f t="shared" si="80"/>
        <v>89</v>
      </c>
      <c r="Q342">
        <f t="shared" si="80"/>
        <v>117</v>
      </c>
      <c r="R342">
        <f t="shared" si="71"/>
        <v>0</v>
      </c>
      <c r="S342">
        <f t="shared" si="81"/>
        <v>0</v>
      </c>
      <c r="T342">
        <f t="shared" si="81"/>
        <v>0</v>
      </c>
      <c r="U342">
        <f t="shared" si="81"/>
        <v>0</v>
      </c>
      <c r="V342" s="108">
        <f t="shared" si="68"/>
        <v>218</v>
      </c>
      <c r="W342" s="26">
        <f t="shared" si="69"/>
        <v>1130</v>
      </c>
      <c r="X342">
        <f t="shared" si="70"/>
        <v>0</v>
      </c>
      <c r="Y342">
        <f t="shared" si="72"/>
        <v>9.4166666666666661</v>
      </c>
      <c r="Z342">
        <f t="shared" si="73"/>
        <v>0</v>
      </c>
    </row>
    <row r="343" spans="11:26" x14ac:dyDescent="0.25">
      <c r="K343" s="105">
        <v>310</v>
      </c>
      <c r="L343">
        <f t="shared" si="80"/>
        <v>0</v>
      </c>
      <c r="M343">
        <f t="shared" si="80"/>
        <v>12</v>
      </c>
      <c r="N343">
        <f t="shared" si="80"/>
        <v>0</v>
      </c>
      <c r="O343">
        <f t="shared" si="80"/>
        <v>0</v>
      </c>
      <c r="P343">
        <f t="shared" si="80"/>
        <v>89</v>
      </c>
      <c r="Q343">
        <f t="shared" si="80"/>
        <v>117</v>
      </c>
      <c r="R343">
        <f t="shared" si="71"/>
        <v>0</v>
      </c>
      <c r="S343">
        <f t="shared" si="81"/>
        <v>0</v>
      </c>
      <c r="T343">
        <f t="shared" si="81"/>
        <v>0</v>
      </c>
      <c r="U343">
        <f t="shared" si="81"/>
        <v>0</v>
      </c>
      <c r="V343" s="108">
        <f t="shared" si="68"/>
        <v>218</v>
      </c>
      <c r="W343" s="26">
        <f t="shared" si="69"/>
        <v>1130</v>
      </c>
      <c r="X343">
        <f t="shared" si="70"/>
        <v>0</v>
      </c>
      <c r="Y343">
        <f t="shared" si="72"/>
        <v>9.4166666666666661</v>
      </c>
      <c r="Z343">
        <f t="shared" si="73"/>
        <v>0</v>
      </c>
    </row>
    <row r="344" spans="11:26" x14ac:dyDescent="0.25">
      <c r="K344" s="105">
        <v>311</v>
      </c>
      <c r="L344">
        <f t="shared" ref="L344:Q353" si="82">IF(MID(DEC2BIN($K344,10),L$32,1)="1",L$33,0)</f>
        <v>0</v>
      </c>
      <c r="M344">
        <f t="shared" si="82"/>
        <v>12</v>
      </c>
      <c r="N344">
        <f t="shared" si="82"/>
        <v>0</v>
      </c>
      <c r="O344">
        <f t="shared" si="82"/>
        <v>0</v>
      </c>
      <c r="P344">
        <f t="shared" si="82"/>
        <v>89</v>
      </c>
      <c r="Q344">
        <f t="shared" si="82"/>
        <v>117</v>
      </c>
      <c r="R344">
        <f t="shared" si="71"/>
        <v>0</v>
      </c>
      <c r="S344">
        <f t="shared" si="81"/>
        <v>0</v>
      </c>
      <c r="T344">
        <f t="shared" si="81"/>
        <v>0</v>
      </c>
      <c r="U344">
        <f t="shared" si="81"/>
        <v>0</v>
      </c>
      <c r="V344" s="108">
        <f t="shared" si="68"/>
        <v>218</v>
      </c>
      <c r="W344" s="26">
        <f t="shared" si="69"/>
        <v>1130</v>
      </c>
      <c r="X344">
        <f t="shared" si="70"/>
        <v>0</v>
      </c>
      <c r="Y344">
        <f t="shared" si="72"/>
        <v>9.4166666666666661</v>
      </c>
      <c r="Z344">
        <f t="shared" si="73"/>
        <v>0</v>
      </c>
    </row>
    <row r="345" spans="11:26" x14ac:dyDescent="0.25">
      <c r="K345" s="105">
        <v>312</v>
      </c>
      <c r="L345">
        <f t="shared" si="82"/>
        <v>0</v>
      </c>
      <c r="M345">
        <f t="shared" si="82"/>
        <v>12</v>
      </c>
      <c r="N345">
        <f t="shared" si="82"/>
        <v>0</v>
      </c>
      <c r="O345">
        <f t="shared" si="82"/>
        <v>0</v>
      </c>
      <c r="P345">
        <f t="shared" si="82"/>
        <v>89</v>
      </c>
      <c r="Q345">
        <f t="shared" si="82"/>
        <v>117</v>
      </c>
      <c r="R345">
        <f t="shared" si="71"/>
        <v>0</v>
      </c>
      <c r="S345">
        <f t="shared" si="81"/>
        <v>0</v>
      </c>
      <c r="T345">
        <f t="shared" si="81"/>
        <v>0</v>
      </c>
      <c r="U345">
        <f t="shared" si="81"/>
        <v>0</v>
      </c>
      <c r="V345" s="108">
        <f t="shared" si="68"/>
        <v>218</v>
      </c>
      <c r="W345" s="26">
        <f t="shared" si="69"/>
        <v>1130</v>
      </c>
      <c r="X345">
        <f t="shared" si="70"/>
        <v>0</v>
      </c>
      <c r="Y345">
        <f t="shared" si="72"/>
        <v>9.4166666666666661</v>
      </c>
      <c r="Z345">
        <f t="shared" si="73"/>
        <v>0</v>
      </c>
    </row>
    <row r="346" spans="11:26" x14ac:dyDescent="0.25">
      <c r="K346" s="105">
        <v>313</v>
      </c>
      <c r="L346">
        <f t="shared" si="82"/>
        <v>0</v>
      </c>
      <c r="M346">
        <f t="shared" si="82"/>
        <v>12</v>
      </c>
      <c r="N346">
        <f t="shared" si="82"/>
        <v>0</v>
      </c>
      <c r="O346">
        <f t="shared" si="82"/>
        <v>0</v>
      </c>
      <c r="P346">
        <f t="shared" si="82"/>
        <v>89</v>
      </c>
      <c r="Q346">
        <f t="shared" si="82"/>
        <v>117</v>
      </c>
      <c r="R346">
        <f t="shared" si="71"/>
        <v>0</v>
      </c>
      <c r="S346">
        <f t="shared" si="81"/>
        <v>0</v>
      </c>
      <c r="T346">
        <f t="shared" si="81"/>
        <v>0</v>
      </c>
      <c r="U346">
        <f t="shared" si="81"/>
        <v>0</v>
      </c>
      <c r="V346" s="108">
        <f t="shared" si="68"/>
        <v>218</v>
      </c>
      <c r="W346" s="26">
        <f t="shared" si="69"/>
        <v>1130</v>
      </c>
      <c r="X346">
        <f t="shared" si="70"/>
        <v>0</v>
      </c>
      <c r="Y346">
        <f t="shared" si="72"/>
        <v>9.4166666666666661</v>
      </c>
      <c r="Z346">
        <f t="shared" si="73"/>
        <v>0</v>
      </c>
    </row>
    <row r="347" spans="11:26" x14ac:dyDescent="0.25">
      <c r="K347" s="105">
        <v>314</v>
      </c>
      <c r="L347">
        <f t="shared" si="82"/>
        <v>0</v>
      </c>
      <c r="M347">
        <f t="shared" si="82"/>
        <v>12</v>
      </c>
      <c r="N347">
        <f t="shared" si="82"/>
        <v>0</v>
      </c>
      <c r="O347">
        <f t="shared" si="82"/>
        <v>0</v>
      </c>
      <c r="P347">
        <f t="shared" si="82"/>
        <v>89</v>
      </c>
      <c r="Q347">
        <f t="shared" si="82"/>
        <v>117</v>
      </c>
      <c r="R347">
        <f t="shared" si="71"/>
        <v>0</v>
      </c>
      <c r="S347">
        <f t="shared" si="81"/>
        <v>0</v>
      </c>
      <c r="T347">
        <f t="shared" si="81"/>
        <v>0</v>
      </c>
      <c r="U347">
        <f t="shared" si="81"/>
        <v>0</v>
      </c>
      <c r="V347" s="108">
        <f t="shared" si="68"/>
        <v>218</v>
      </c>
      <c r="W347" s="26">
        <f t="shared" si="69"/>
        <v>1130</v>
      </c>
      <c r="X347">
        <f t="shared" si="70"/>
        <v>0</v>
      </c>
      <c r="Y347">
        <f t="shared" si="72"/>
        <v>9.4166666666666661</v>
      </c>
      <c r="Z347">
        <f t="shared" si="73"/>
        <v>0</v>
      </c>
    </row>
    <row r="348" spans="11:26" x14ac:dyDescent="0.25">
      <c r="K348" s="105">
        <v>315</v>
      </c>
      <c r="L348">
        <f t="shared" si="82"/>
        <v>0</v>
      </c>
      <c r="M348">
        <f t="shared" si="82"/>
        <v>12</v>
      </c>
      <c r="N348">
        <f t="shared" si="82"/>
        <v>0</v>
      </c>
      <c r="O348">
        <f t="shared" si="82"/>
        <v>0</v>
      </c>
      <c r="P348">
        <f t="shared" si="82"/>
        <v>89</v>
      </c>
      <c r="Q348">
        <f t="shared" si="82"/>
        <v>117</v>
      </c>
      <c r="R348">
        <f t="shared" si="71"/>
        <v>0</v>
      </c>
      <c r="S348">
        <f t="shared" si="81"/>
        <v>0</v>
      </c>
      <c r="T348">
        <f t="shared" si="81"/>
        <v>0</v>
      </c>
      <c r="U348">
        <f t="shared" si="81"/>
        <v>0</v>
      </c>
      <c r="V348" s="108">
        <f t="shared" si="68"/>
        <v>218</v>
      </c>
      <c r="W348" s="26">
        <f t="shared" si="69"/>
        <v>1130</v>
      </c>
      <c r="X348">
        <f t="shared" si="70"/>
        <v>0</v>
      </c>
      <c r="Y348">
        <f t="shared" si="72"/>
        <v>9.4166666666666661</v>
      </c>
      <c r="Z348">
        <f t="shared" si="73"/>
        <v>0</v>
      </c>
    </row>
    <row r="349" spans="11:26" x14ac:dyDescent="0.25">
      <c r="K349" s="105">
        <v>316</v>
      </c>
      <c r="L349">
        <f t="shared" si="82"/>
        <v>0</v>
      </c>
      <c r="M349">
        <f t="shared" si="82"/>
        <v>12</v>
      </c>
      <c r="N349">
        <f t="shared" si="82"/>
        <v>0</v>
      </c>
      <c r="O349">
        <f t="shared" si="82"/>
        <v>0</v>
      </c>
      <c r="P349">
        <f t="shared" si="82"/>
        <v>89</v>
      </c>
      <c r="Q349">
        <f t="shared" si="82"/>
        <v>117</v>
      </c>
      <c r="R349">
        <f t="shared" si="71"/>
        <v>0</v>
      </c>
      <c r="S349">
        <f t="shared" si="81"/>
        <v>0</v>
      </c>
      <c r="T349">
        <f t="shared" si="81"/>
        <v>0</v>
      </c>
      <c r="U349">
        <f t="shared" si="81"/>
        <v>0</v>
      </c>
      <c r="V349" s="108">
        <f t="shared" si="68"/>
        <v>218</v>
      </c>
      <c r="W349" s="26">
        <f t="shared" si="69"/>
        <v>1130</v>
      </c>
      <c r="X349">
        <f t="shared" si="70"/>
        <v>0</v>
      </c>
      <c r="Y349">
        <f t="shared" si="72"/>
        <v>9.4166666666666661</v>
      </c>
      <c r="Z349">
        <f t="shared" si="73"/>
        <v>0</v>
      </c>
    </row>
    <row r="350" spans="11:26" x14ac:dyDescent="0.25">
      <c r="K350" s="105">
        <v>317</v>
      </c>
      <c r="L350">
        <f t="shared" si="82"/>
        <v>0</v>
      </c>
      <c r="M350">
        <f t="shared" si="82"/>
        <v>12</v>
      </c>
      <c r="N350">
        <f t="shared" si="82"/>
        <v>0</v>
      </c>
      <c r="O350">
        <f t="shared" si="82"/>
        <v>0</v>
      </c>
      <c r="P350">
        <f t="shared" si="82"/>
        <v>89</v>
      </c>
      <c r="Q350">
        <f t="shared" si="82"/>
        <v>117</v>
      </c>
      <c r="R350">
        <f t="shared" si="71"/>
        <v>0</v>
      </c>
      <c r="S350">
        <f t="shared" si="81"/>
        <v>0</v>
      </c>
      <c r="T350">
        <f t="shared" si="81"/>
        <v>0</v>
      </c>
      <c r="U350">
        <f t="shared" si="81"/>
        <v>0</v>
      </c>
      <c r="V350" s="108">
        <f t="shared" si="68"/>
        <v>218</v>
      </c>
      <c r="W350" s="26">
        <f t="shared" si="69"/>
        <v>1130</v>
      </c>
      <c r="X350">
        <f t="shared" si="70"/>
        <v>0</v>
      </c>
      <c r="Y350">
        <f t="shared" si="72"/>
        <v>9.4166666666666661</v>
      </c>
      <c r="Z350">
        <f t="shared" si="73"/>
        <v>0</v>
      </c>
    </row>
    <row r="351" spans="11:26" x14ac:dyDescent="0.25">
      <c r="K351" s="105">
        <v>318</v>
      </c>
      <c r="L351">
        <f t="shared" si="82"/>
        <v>0</v>
      </c>
      <c r="M351">
        <f t="shared" si="82"/>
        <v>12</v>
      </c>
      <c r="N351">
        <f t="shared" si="82"/>
        <v>0</v>
      </c>
      <c r="O351">
        <f t="shared" si="82"/>
        <v>0</v>
      </c>
      <c r="P351">
        <f t="shared" si="82"/>
        <v>89</v>
      </c>
      <c r="Q351">
        <f t="shared" si="82"/>
        <v>117</v>
      </c>
      <c r="R351">
        <f t="shared" si="71"/>
        <v>0</v>
      </c>
      <c r="S351">
        <f t="shared" si="81"/>
        <v>0</v>
      </c>
      <c r="T351">
        <f t="shared" si="81"/>
        <v>0</v>
      </c>
      <c r="U351">
        <f t="shared" si="81"/>
        <v>0</v>
      </c>
      <c r="V351" s="108">
        <f t="shared" si="68"/>
        <v>218</v>
      </c>
      <c r="W351" s="26">
        <f t="shared" si="69"/>
        <v>1130</v>
      </c>
      <c r="X351">
        <f t="shared" si="70"/>
        <v>0</v>
      </c>
      <c r="Y351">
        <f t="shared" si="72"/>
        <v>9.4166666666666661</v>
      </c>
      <c r="Z351">
        <f t="shared" si="73"/>
        <v>0</v>
      </c>
    </row>
    <row r="352" spans="11:26" x14ac:dyDescent="0.25">
      <c r="K352" s="105">
        <v>319</v>
      </c>
      <c r="L352">
        <f t="shared" si="82"/>
        <v>0</v>
      </c>
      <c r="M352">
        <f t="shared" si="82"/>
        <v>12</v>
      </c>
      <c r="N352">
        <f t="shared" si="82"/>
        <v>0</v>
      </c>
      <c r="O352">
        <f t="shared" si="82"/>
        <v>0</v>
      </c>
      <c r="P352">
        <f t="shared" si="82"/>
        <v>89</v>
      </c>
      <c r="Q352">
        <f t="shared" si="82"/>
        <v>117</v>
      </c>
      <c r="R352">
        <f t="shared" si="71"/>
        <v>0</v>
      </c>
      <c r="S352">
        <f t="shared" si="81"/>
        <v>0</v>
      </c>
      <c r="T352">
        <f t="shared" si="81"/>
        <v>0</v>
      </c>
      <c r="U352">
        <f t="shared" si="81"/>
        <v>0</v>
      </c>
      <c r="V352" s="108">
        <f t="shared" si="68"/>
        <v>218</v>
      </c>
      <c r="W352" s="26">
        <f t="shared" si="69"/>
        <v>1130</v>
      </c>
      <c r="X352">
        <f t="shared" si="70"/>
        <v>0</v>
      </c>
      <c r="Y352">
        <f t="shared" si="72"/>
        <v>9.4166666666666661</v>
      </c>
      <c r="Z352">
        <f t="shared" si="73"/>
        <v>0</v>
      </c>
    </row>
    <row r="353" spans="11:26" x14ac:dyDescent="0.25">
      <c r="K353" s="105">
        <v>320</v>
      </c>
      <c r="L353">
        <f t="shared" si="82"/>
        <v>0</v>
      </c>
      <c r="M353">
        <f t="shared" si="82"/>
        <v>12</v>
      </c>
      <c r="N353">
        <f t="shared" si="82"/>
        <v>0</v>
      </c>
      <c r="O353">
        <f t="shared" si="82"/>
        <v>78</v>
      </c>
      <c r="P353">
        <f t="shared" si="82"/>
        <v>0</v>
      </c>
      <c r="Q353">
        <f t="shared" si="82"/>
        <v>0</v>
      </c>
      <c r="R353">
        <f t="shared" si="71"/>
        <v>0</v>
      </c>
      <c r="S353">
        <f t="shared" si="81"/>
        <v>0</v>
      </c>
      <c r="T353">
        <f t="shared" si="81"/>
        <v>0</v>
      </c>
      <c r="U353">
        <f t="shared" si="81"/>
        <v>0</v>
      </c>
      <c r="V353" s="108">
        <f t="shared" si="68"/>
        <v>90</v>
      </c>
      <c r="W353" s="26">
        <f t="shared" si="69"/>
        <v>1258</v>
      </c>
      <c r="X353">
        <f t="shared" si="70"/>
        <v>0</v>
      </c>
      <c r="Y353">
        <f t="shared" si="72"/>
        <v>10.483333333333333</v>
      </c>
      <c r="Z353">
        <f t="shared" si="73"/>
        <v>0</v>
      </c>
    </row>
    <row r="354" spans="11:26" x14ac:dyDescent="0.25">
      <c r="K354" s="105">
        <v>321</v>
      </c>
      <c r="L354">
        <f t="shared" ref="L354:Q363" si="83">IF(MID(DEC2BIN($K354,10),L$32,1)="1",L$33,0)</f>
        <v>0</v>
      </c>
      <c r="M354">
        <f t="shared" si="83"/>
        <v>12</v>
      </c>
      <c r="N354">
        <f t="shared" si="83"/>
        <v>0</v>
      </c>
      <c r="O354">
        <f t="shared" si="83"/>
        <v>78</v>
      </c>
      <c r="P354">
        <f t="shared" si="83"/>
        <v>0</v>
      </c>
      <c r="Q354">
        <f t="shared" si="83"/>
        <v>0</v>
      </c>
      <c r="R354">
        <f t="shared" si="71"/>
        <v>0</v>
      </c>
      <c r="S354">
        <f t="shared" ref="S354:U373" si="84">IF(MID(DEC2BIN($K354,10),S$32,1)="1",S$33,0)</f>
        <v>0</v>
      </c>
      <c r="T354">
        <f t="shared" si="84"/>
        <v>0</v>
      </c>
      <c r="U354">
        <f t="shared" si="84"/>
        <v>0</v>
      </c>
      <c r="V354" s="108">
        <f t="shared" ref="V354:V417" si="85">SUM(L354:U354)</f>
        <v>90</v>
      </c>
      <c r="W354" s="26">
        <f t="shared" ref="W354:W417" si="86">$M$31-V354</f>
        <v>1258</v>
      </c>
      <c r="X354">
        <f t="shared" ref="X354:X417" si="87">IF(W354=0,1,0)</f>
        <v>0</v>
      </c>
      <c r="Y354">
        <f t="shared" si="72"/>
        <v>10.483333333333333</v>
      </c>
      <c r="Z354">
        <f t="shared" si="73"/>
        <v>0</v>
      </c>
    </row>
    <row r="355" spans="11:26" x14ac:dyDescent="0.25">
      <c r="K355" s="105">
        <v>322</v>
      </c>
      <c r="L355">
        <f t="shared" si="83"/>
        <v>0</v>
      </c>
      <c r="M355">
        <f t="shared" si="83"/>
        <v>12</v>
      </c>
      <c r="N355">
        <f t="shared" si="83"/>
        <v>0</v>
      </c>
      <c r="O355">
        <f t="shared" si="83"/>
        <v>78</v>
      </c>
      <c r="P355">
        <f t="shared" si="83"/>
        <v>0</v>
      </c>
      <c r="Q355">
        <f t="shared" si="83"/>
        <v>0</v>
      </c>
      <c r="R355">
        <f t="shared" ref="R355:R418" si="88">IF(MID(DEC2BIN($K355,10),R$32,1)="1",R$33,0)</f>
        <v>0</v>
      </c>
      <c r="S355">
        <f t="shared" si="84"/>
        <v>0</v>
      </c>
      <c r="T355">
        <f t="shared" si="84"/>
        <v>0</v>
      </c>
      <c r="U355">
        <f t="shared" si="84"/>
        <v>0</v>
      </c>
      <c r="V355" s="108">
        <f t="shared" si="85"/>
        <v>90</v>
      </c>
      <c r="W355" s="26">
        <f t="shared" si="86"/>
        <v>1258</v>
      </c>
      <c r="X355">
        <f t="shared" si="87"/>
        <v>0</v>
      </c>
      <c r="Y355">
        <f t="shared" ref="Y355:Y418" si="89">W355/$Y$32</f>
        <v>10.483333333333333</v>
      </c>
      <c r="Z355">
        <f t="shared" ref="Z355:Z418" si="90">IF(INT(Y355)=Y355,1,0)</f>
        <v>0</v>
      </c>
    </row>
    <row r="356" spans="11:26" x14ac:dyDescent="0.25">
      <c r="K356" s="105">
        <v>323</v>
      </c>
      <c r="L356">
        <f t="shared" si="83"/>
        <v>0</v>
      </c>
      <c r="M356">
        <f t="shared" si="83"/>
        <v>12</v>
      </c>
      <c r="N356">
        <f t="shared" si="83"/>
        <v>0</v>
      </c>
      <c r="O356">
        <f t="shared" si="83"/>
        <v>78</v>
      </c>
      <c r="P356">
        <f t="shared" si="83"/>
        <v>0</v>
      </c>
      <c r="Q356">
        <f t="shared" si="83"/>
        <v>0</v>
      </c>
      <c r="R356">
        <f t="shared" si="88"/>
        <v>0</v>
      </c>
      <c r="S356">
        <f t="shared" si="84"/>
        <v>0</v>
      </c>
      <c r="T356">
        <f t="shared" si="84"/>
        <v>0</v>
      </c>
      <c r="U356">
        <f t="shared" si="84"/>
        <v>0</v>
      </c>
      <c r="V356" s="108">
        <f t="shared" si="85"/>
        <v>90</v>
      </c>
      <c r="W356" s="26">
        <f t="shared" si="86"/>
        <v>1258</v>
      </c>
      <c r="X356">
        <f t="shared" si="87"/>
        <v>0</v>
      </c>
      <c r="Y356">
        <f t="shared" si="89"/>
        <v>10.483333333333333</v>
      </c>
      <c r="Z356">
        <f t="shared" si="90"/>
        <v>0</v>
      </c>
    </row>
    <row r="357" spans="11:26" x14ac:dyDescent="0.25">
      <c r="K357" s="105">
        <v>324</v>
      </c>
      <c r="L357">
        <f t="shared" si="83"/>
        <v>0</v>
      </c>
      <c r="M357">
        <f t="shared" si="83"/>
        <v>12</v>
      </c>
      <c r="N357">
        <f t="shared" si="83"/>
        <v>0</v>
      </c>
      <c r="O357">
        <f t="shared" si="83"/>
        <v>78</v>
      </c>
      <c r="P357">
        <f t="shared" si="83"/>
        <v>0</v>
      </c>
      <c r="Q357">
        <f t="shared" si="83"/>
        <v>0</v>
      </c>
      <c r="R357">
        <f t="shared" si="88"/>
        <v>0</v>
      </c>
      <c r="S357">
        <f t="shared" si="84"/>
        <v>0</v>
      </c>
      <c r="T357">
        <f t="shared" si="84"/>
        <v>0</v>
      </c>
      <c r="U357">
        <f t="shared" si="84"/>
        <v>0</v>
      </c>
      <c r="V357" s="108">
        <f t="shared" si="85"/>
        <v>90</v>
      </c>
      <c r="W357" s="26">
        <f t="shared" si="86"/>
        <v>1258</v>
      </c>
      <c r="X357">
        <f t="shared" si="87"/>
        <v>0</v>
      </c>
      <c r="Y357">
        <f t="shared" si="89"/>
        <v>10.483333333333333</v>
      </c>
      <c r="Z357">
        <f t="shared" si="90"/>
        <v>0</v>
      </c>
    </row>
    <row r="358" spans="11:26" x14ac:dyDescent="0.25">
      <c r="K358" s="105">
        <v>325</v>
      </c>
      <c r="L358">
        <f t="shared" si="83"/>
        <v>0</v>
      </c>
      <c r="M358">
        <f t="shared" si="83"/>
        <v>12</v>
      </c>
      <c r="N358">
        <f t="shared" si="83"/>
        <v>0</v>
      </c>
      <c r="O358">
        <f t="shared" si="83"/>
        <v>78</v>
      </c>
      <c r="P358">
        <f t="shared" si="83"/>
        <v>0</v>
      </c>
      <c r="Q358">
        <f t="shared" si="83"/>
        <v>0</v>
      </c>
      <c r="R358">
        <f t="shared" si="88"/>
        <v>0</v>
      </c>
      <c r="S358">
        <f t="shared" si="84"/>
        <v>0</v>
      </c>
      <c r="T358">
        <f t="shared" si="84"/>
        <v>0</v>
      </c>
      <c r="U358">
        <f t="shared" si="84"/>
        <v>0</v>
      </c>
      <c r="V358" s="108">
        <f t="shared" si="85"/>
        <v>90</v>
      </c>
      <c r="W358" s="26">
        <f t="shared" si="86"/>
        <v>1258</v>
      </c>
      <c r="X358">
        <f t="shared" si="87"/>
        <v>0</v>
      </c>
      <c r="Y358">
        <f t="shared" si="89"/>
        <v>10.483333333333333</v>
      </c>
      <c r="Z358">
        <f t="shared" si="90"/>
        <v>0</v>
      </c>
    </row>
    <row r="359" spans="11:26" x14ac:dyDescent="0.25">
      <c r="K359" s="105">
        <v>326</v>
      </c>
      <c r="L359">
        <f t="shared" si="83"/>
        <v>0</v>
      </c>
      <c r="M359">
        <f t="shared" si="83"/>
        <v>12</v>
      </c>
      <c r="N359">
        <f t="shared" si="83"/>
        <v>0</v>
      </c>
      <c r="O359">
        <f t="shared" si="83"/>
        <v>78</v>
      </c>
      <c r="P359">
        <f t="shared" si="83"/>
        <v>0</v>
      </c>
      <c r="Q359">
        <f t="shared" si="83"/>
        <v>0</v>
      </c>
      <c r="R359">
        <f t="shared" si="88"/>
        <v>0</v>
      </c>
      <c r="S359">
        <f t="shared" si="84"/>
        <v>0</v>
      </c>
      <c r="T359">
        <f t="shared" si="84"/>
        <v>0</v>
      </c>
      <c r="U359">
        <f t="shared" si="84"/>
        <v>0</v>
      </c>
      <c r="V359" s="108">
        <f t="shared" si="85"/>
        <v>90</v>
      </c>
      <c r="W359" s="26">
        <f t="shared" si="86"/>
        <v>1258</v>
      </c>
      <c r="X359">
        <f t="shared" si="87"/>
        <v>0</v>
      </c>
      <c r="Y359">
        <f t="shared" si="89"/>
        <v>10.483333333333333</v>
      </c>
      <c r="Z359">
        <f t="shared" si="90"/>
        <v>0</v>
      </c>
    </row>
    <row r="360" spans="11:26" x14ac:dyDescent="0.25">
      <c r="K360" s="105">
        <v>327</v>
      </c>
      <c r="L360">
        <f t="shared" si="83"/>
        <v>0</v>
      </c>
      <c r="M360">
        <f t="shared" si="83"/>
        <v>12</v>
      </c>
      <c r="N360">
        <f t="shared" si="83"/>
        <v>0</v>
      </c>
      <c r="O360">
        <f t="shared" si="83"/>
        <v>78</v>
      </c>
      <c r="P360">
        <f t="shared" si="83"/>
        <v>0</v>
      </c>
      <c r="Q360">
        <f t="shared" si="83"/>
        <v>0</v>
      </c>
      <c r="R360">
        <f t="shared" si="88"/>
        <v>0</v>
      </c>
      <c r="S360">
        <f t="shared" si="84"/>
        <v>0</v>
      </c>
      <c r="T360">
        <f t="shared" si="84"/>
        <v>0</v>
      </c>
      <c r="U360">
        <f t="shared" si="84"/>
        <v>0</v>
      </c>
      <c r="V360" s="108">
        <f t="shared" si="85"/>
        <v>90</v>
      </c>
      <c r="W360" s="26">
        <f t="shared" si="86"/>
        <v>1258</v>
      </c>
      <c r="X360">
        <f t="shared" si="87"/>
        <v>0</v>
      </c>
      <c r="Y360">
        <f t="shared" si="89"/>
        <v>10.483333333333333</v>
      </c>
      <c r="Z360">
        <f t="shared" si="90"/>
        <v>0</v>
      </c>
    </row>
    <row r="361" spans="11:26" x14ac:dyDescent="0.25">
      <c r="K361" s="105">
        <v>328</v>
      </c>
      <c r="L361">
        <f t="shared" si="83"/>
        <v>0</v>
      </c>
      <c r="M361">
        <f t="shared" si="83"/>
        <v>12</v>
      </c>
      <c r="N361">
        <f t="shared" si="83"/>
        <v>0</v>
      </c>
      <c r="O361">
        <f t="shared" si="83"/>
        <v>78</v>
      </c>
      <c r="P361">
        <f t="shared" si="83"/>
        <v>0</v>
      </c>
      <c r="Q361">
        <f t="shared" si="83"/>
        <v>0</v>
      </c>
      <c r="R361">
        <f t="shared" si="88"/>
        <v>0</v>
      </c>
      <c r="S361">
        <f t="shared" si="84"/>
        <v>0</v>
      </c>
      <c r="T361">
        <f t="shared" si="84"/>
        <v>0</v>
      </c>
      <c r="U361">
        <f t="shared" si="84"/>
        <v>0</v>
      </c>
      <c r="V361" s="108">
        <f t="shared" si="85"/>
        <v>90</v>
      </c>
      <c r="W361" s="26">
        <f t="shared" si="86"/>
        <v>1258</v>
      </c>
      <c r="X361">
        <f t="shared" si="87"/>
        <v>0</v>
      </c>
      <c r="Y361">
        <f t="shared" si="89"/>
        <v>10.483333333333333</v>
      </c>
      <c r="Z361">
        <f t="shared" si="90"/>
        <v>0</v>
      </c>
    </row>
    <row r="362" spans="11:26" x14ac:dyDescent="0.25">
      <c r="K362" s="105">
        <v>329</v>
      </c>
      <c r="L362">
        <f t="shared" si="83"/>
        <v>0</v>
      </c>
      <c r="M362">
        <f t="shared" si="83"/>
        <v>12</v>
      </c>
      <c r="N362">
        <f t="shared" si="83"/>
        <v>0</v>
      </c>
      <c r="O362">
        <f t="shared" si="83"/>
        <v>78</v>
      </c>
      <c r="P362">
        <f t="shared" si="83"/>
        <v>0</v>
      </c>
      <c r="Q362">
        <f t="shared" si="83"/>
        <v>0</v>
      </c>
      <c r="R362">
        <f t="shared" si="88"/>
        <v>0</v>
      </c>
      <c r="S362">
        <f t="shared" si="84"/>
        <v>0</v>
      </c>
      <c r="T362">
        <f t="shared" si="84"/>
        <v>0</v>
      </c>
      <c r="U362">
        <f t="shared" si="84"/>
        <v>0</v>
      </c>
      <c r="V362" s="108">
        <f t="shared" si="85"/>
        <v>90</v>
      </c>
      <c r="W362" s="26">
        <f t="shared" si="86"/>
        <v>1258</v>
      </c>
      <c r="X362">
        <f t="shared" si="87"/>
        <v>0</v>
      </c>
      <c r="Y362">
        <f t="shared" si="89"/>
        <v>10.483333333333333</v>
      </c>
      <c r="Z362">
        <f t="shared" si="90"/>
        <v>0</v>
      </c>
    </row>
    <row r="363" spans="11:26" x14ac:dyDescent="0.25">
      <c r="K363" s="105">
        <v>330</v>
      </c>
      <c r="L363">
        <f t="shared" si="83"/>
        <v>0</v>
      </c>
      <c r="M363">
        <f t="shared" si="83"/>
        <v>12</v>
      </c>
      <c r="N363">
        <f t="shared" si="83"/>
        <v>0</v>
      </c>
      <c r="O363">
        <f t="shared" si="83"/>
        <v>78</v>
      </c>
      <c r="P363">
        <f t="shared" si="83"/>
        <v>0</v>
      </c>
      <c r="Q363">
        <f t="shared" si="83"/>
        <v>0</v>
      </c>
      <c r="R363">
        <f t="shared" si="88"/>
        <v>0</v>
      </c>
      <c r="S363">
        <f t="shared" si="84"/>
        <v>0</v>
      </c>
      <c r="T363">
        <f t="shared" si="84"/>
        <v>0</v>
      </c>
      <c r="U363">
        <f t="shared" si="84"/>
        <v>0</v>
      </c>
      <c r="V363" s="108">
        <f t="shared" si="85"/>
        <v>90</v>
      </c>
      <c r="W363" s="26">
        <f t="shared" si="86"/>
        <v>1258</v>
      </c>
      <c r="X363">
        <f t="shared" si="87"/>
        <v>0</v>
      </c>
      <c r="Y363">
        <f t="shared" si="89"/>
        <v>10.483333333333333</v>
      </c>
      <c r="Z363">
        <f t="shared" si="90"/>
        <v>0</v>
      </c>
    </row>
    <row r="364" spans="11:26" x14ac:dyDescent="0.25">
      <c r="K364" s="105">
        <v>331</v>
      </c>
      <c r="L364">
        <f t="shared" ref="L364:Q373" si="91">IF(MID(DEC2BIN($K364,10),L$32,1)="1",L$33,0)</f>
        <v>0</v>
      </c>
      <c r="M364">
        <f t="shared" si="91"/>
        <v>12</v>
      </c>
      <c r="N364">
        <f t="shared" si="91"/>
        <v>0</v>
      </c>
      <c r="O364">
        <f t="shared" si="91"/>
        <v>78</v>
      </c>
      <c r="P364">
        <f t="shared" si="91"/>
        <v>0</v>
      </c>
      <c r="Q364">
        <f t="shared" si="91"/>
        <v>0</v>
      </c>
      <c r="R364">
        <f t="shared" si="88"/>
        <v>0</v>
      </c>
      <c r="S364">
        <f t="shared" si="84"/>
        <v>0</v>
      </c>
      <c r="T364">
        <f t="shared" si="84"/>
        <v>0</v>
      </c>
      <c r="U364">
        <f t="shared" si="84"/>
        <v>0</v>
      </c>
      <c r="V364" s="108">
        <f t="shared" si="85"/>
        <v>90</v>
      </c>
      <c r="W364" s="26">
        <f t="shared" si="86"/>
        <v>1258</v>
      </c>
      <c r="X364">
        <f t="shared" si="87"/>
        <v>0</v>
      </c>
      <c r="Y364">
        <f t="shared" si="89"/>
        <v>10.483333333333333</v>
      </c>
      <c r="Z364">
        <f t="shared" si="90"/>
        <v>0</v>
      </c>
    </row>
    <row r="365" spans="11:26" x14ac:dyDescent="0.25">
      <c r="K365" s="105">
        <v>332</v>
      </c>
      <c r="L365">
        <f t="shared" si="91"/>
        <v>0</v>
      </c>
      <c r="M365">
        <f t="shared" si="91"/>
        <v>12</v>
      </c>
      <c r="N365">
        <f t="shared" si="91"/>
        <v>0</v>
      </c>
      <c r="O365">
        <f t="shared" si="91"/>
        <v>78</v>
      </c>
      <c r="P365">
        <f t="shared" si="91"/>
        <v>0</v>
      </c>
      <c r="Q365">
        <f t="shared" si="91"/>
        <v>0</v>
      </c>
      <c r="R365">
        <f t="shared" si="88"/>
        <v>0</v>
      </c>
      <c r="S365">
        <f t="shared" si="84"/>
        <v>0</v>
      </c>
      <c r="T365">
        <f t="shared" si="84"/>
        <v>0</v>
      </c>
      <c r="U365">
        <f t="shared" si="84"/>
        <v>0</v>
      </c>
      <c r="V365" s="108">
        <f t="shared" si="85"/>
        <v>90</v>
      </c>
      <c r="W365" s="26">
        <f t="shared" si="86"/>
        <v>1258</v>
      </c>
      <c r="X365">
        <f t="shared" si="87"/>
        <v>0</v>
      </c>
      <c r="Y365">
        <f t="shared" si="89"/>
        <v>10.483333333333333</v>
      </c>
      <c r="Z365">
        <f t="shared" si="90"/>
        <v>0</v>
      </c>
    </row>
    <row r="366" spans="11:26" x14ac:dyDescent="0.25">
      <c r="K366" s="105">
        <v>333</v>
      </c>
      <c r="L366">
        <f t="shared" si="91"/>
        <v>0</v>
      </c>
      <c r="M366">
        <f t="shared" si="91"/>
        <v>12</v>
      </c>
      <c r="N366">
        <f t="shared" si="91"/>
        <v>0</v>
      </c>
      <c r="O366">
        <f t="shared" si="91"/>
        <v>78</v>
      </c>
      <c r="P366">
        <f t="shared" si="91"/>
        <v>0</v>
      </c>
      <c r="Q366">
        <f t="shared" si="91"/>
        <v>0</v>
      </c>
      <c r="R366">
        <f t="shared" si="88"/>
        <v>0</v>
      </c>
      <c r="S366">
        <f t="shared" si="84"/>
        <v>0</v>
      </c>
      <c r="T366">
        <f t="shared" si="84"/>
        <v>0</v>
      </c>
      <c r="U366">
        <f t="shared" si="84"/>
        <v>0</v>
      </c>
      <c r="V366" s="108">
        <f t="shared" si="85"/>
        <v>90</v>
      </c>
      <c r="W366" s="26">
        <f t="shared" si="86"/>
        <v>1258</v>
      </c>
      <c r="X366">
        <f t="shared" si="87"/>
        <v>0</v>
      </c>
      <c r="Y366">
        <f t="shared" si="89"/>
        <v>10.483333333333333</v>
      </c>
      <c r="Z366">
        <f t="shared" si="90"/>
        <v>0</v>
      </c>
    </row>
    <row r="367" spans="11:26" x14ac:dyDescent="0.25">
      <c r="K367" s="105">
        <v>334</v>
      </c>
      <c r="L367">
        <f t="shared" si="91"/>
        <v>0</v>
      </c>
      <c r="M367">
        <f t="shared" si="91"/>
        <v>12</v>
      </c>
      <c r="N367">
        <f t="shared" si="91"/>
        <v>0</v>
      </c>
      <c r="O367">
        <f t="shared" si="91"/>
        <v>78</v>
      </c>
      <c r="P367">
        <f t="shared" si="91"/>
        <v>0</v>
      </c>
      <c r="Q367">
        <f t="shared" si="91"/>
        <v>0</v>
      </c>
      <c r="R367">
        <f t="shared" si="88"/>
        <v>0</v>
      </c>
      <c r="S367">
        <f t="shared" si="84"/>
        <v>0</v>
      </c>
      <c r="T367">
        <f t="shared" si="84"/>
        <v>0</v>
      </c>
      <c r="U367">
        <f t="shared" si="84"/>
        <v>0</v>
      </c>
      <c r="V367" s="108">
        <f t="shared" si="85"/>
        <v>90</v>
      </c>
      <c r="W367" s="26">
        <f t="shared" si="86"/>
        <v>1258</v>
      </c>
      <c r="X367">
        <f t="shared" si="87"/>
        <v>0</v>
      </c>
      <c r="Y367">
        <f t="shared" si="89"/>
        <v>10.483333333333333</v>
      </c>
      <c r="Z367">
        <f t="shared" si="90"/>
        <v>0</v>
      </c>
    </row>
    <row r="368" spans="11:26" x14ac:dyDescent="0.25">
      <c r="K368" s="105">
        <v>335</v>
      </c>
      <c r="L368">
        <f t="shared" si="91"/>
        <v>0</v>
      </c>
      <c r="M368">
        <f t="shared" si="91"/>
        <v>12</v>
      </c>
      <c r="N368">
        <f t="shared" si="91"/>
        <v>0</v>
      </c>
      <c r="O368">
        <f t="shared" si="91"/>
        <v>78</v>
      </c>
      <c r="P368">
        <f t="shared" si="91"/>
        <v>0</v>
      </c>
      <c r="Q368">
        <f t="shared" si="91"/>
        <v>0</v>
      </c>
      <c r="R368">
        <f t="shared" si="88"/>
        <v>0</v>
      </c>
      <c r="S368">
        <f t="shared" si="84"/>
        <v>0</v>
      </c>
      <c r="T368">
        <f t="shared" si="84"/>
        <v>0</v>
      </c>
      <c r="U368">
        <f t="shared" si="84"/>
        <v>0</v>
      </c>
      <c r="V368" s="108">
        <f t="shared" si="85"/>
        <v>90</v>
      </c>
      <c r="W368" s="26">
        <f t="shared" si="86"/>
        <v>1258</v>
      </c>
      <c r="X368">
        <f t="shared" si="87"/>
        <v>0</v>
      </c>
      <c r="Y368">
        <f t="shared" si="89"/>
        <v>10.483333333333333</v>
      </c>
      <c r="Z368">
        <f t="shared" si="90"/>
        <v>0</v>
      </c>
    </row>
    <row r="369" spans="11:26" x14ac:dyDescent="0.25">
      <c r="K369" s="105">
        <v>336</v>
      </c>
      <c r="L369">
        <f t="shared" si="91"/>
        <v>0</v>
      </c>
      <c r="M369">
        <f t="shared" si="91"/>
        <v>12</v>
      </c>
      <c r="N369">
        <f t="shared" si="91"/>
        <v>0</v>
      </c>
      <c r="O369">
        <f t="shared" si="91"/>
        <v>78</v>
      </c>
      <c r="P369">
        <f t="shared" si="91"/>
        <v>0</v>
      </c>
      <c r="Q369">
        <f t="shared" si="91"/>
        <v>117</v>
      </c>
      <c r="R369">
        <f t="shared" si="88"/>
        <v>0</v>
      </c>
      <c r="S369">
        <f t="shared" si="84"/>
        <v>0</v>
      </c>
      <c r="T369">
        <f t="shared" si="84"/>
        <v>0</v>
      </c>
      <c r="U369">
        <f t="shared" si="84"/>
        <v>0</v>
      </c>
      <c r="V369" s="108">
        <f t="shared" si="85"/>
        <v>207</v>
      </c>
      <c r="W369" s="26">
        <f t="shared" si="86"/>
        <v>1141</v>
      </c>
      <c r="X369">
        <f t="shared" si="87"/>
        <v>0</v>
      </c>
      <c r="Y369">
        <f t="shared" si="89"/>
        <v>9.5083333333333329</v>
      </c>
      <c r="Z369">
        <f t="shared" si="90"/>
        <v>0</v>
      </c>
    </row>
    <row r="370" spans="11:26" x14ac:dyDescent="0.25">
      <c r="K370" s="105">
        <v>337</v>
      </c>
      <c r="L370">
        <f t="shared" si="91"/>
        <v>0</v>
      </c>
      <c r="M370">
        <f t="shared" si="91"/>
        <v>12</v>
      </c>
      <c r="N370">
        <f t="shared" si="91"/>
        <v>0</v>
      </c>
      <c r="O370">
        <f t="shared" si="91"/>
        <v>78</v>
      </c>
      <c r="P370">
        <f t="shared" si="91"/>
        <v>0</v>
      </c>
      <c r="Q370">
        <f t="shared" si="91"/>
        <v>117</v>
      </c>
      <c r="R370">
        <f t="shared" si="88"/>
        <v>0</v>
      </c>
      <c r="S370">
        <f t="shared" si="84"/>
        <v>0</v>
      </c>
      <c r="T370">
        <f t="shared" si="84"/>
        <v>0</v>
      </c>
      <c r="U370">
        <f t="shared" si="84"/>
        <v>0</v>
      </c>
      <c r="V370" s="108">
        <f t="shared" si="85"/>
        <v>207</v>
      </c>
      <c r="W370" s="26">
        <f t="shared" si="86"/>
        <v>1141</v>
      </c>
      <c r="X370">
        <f t="shared" si="87"/>
        <v>0</v>
      </c>
      <c r="Y370">
        <f t="shared" si="89"/>
        <v>9.5083333333333329</v>
      </c>
      <c r="Z370">
        <f t="shared" si="90"/>
        <v>0</v>
      </c>
    </row>
    <row r="371" spans="11:26" x14ac:dyDescent="0.25">
      <c r="K371" s="105">
        <v>338</v>
      </c>
      <c r="L371">
        <f t="shared" si="91"/>
        <v>0</v>
      </c>
      <c r="M371">
        <f t="shared" si="91"/>
        <v>12</v>
      </c>
      <c r="N371">
        <f t="shared" si="91"/>
        <v>0</v>
      </c>
      <c r="O371">
        <f t="shared" si="91"/>
        <v>78</v>
      </c>
      <c r="P371">
        <f t="shared" si="91"/>
        <v>0</v>
      </c>
      <c r="Q371">
        <f t="shared" si="91"/>
        <v>117</v>
      </c>
      <c r="R371">
        <f t="shared" si="88"/>
        <v>0</v>
      </c>
      <c r="S371">
        <f t="shared" si="84"/>
        <v>0</v>
      </c>
      <c r="T371">
        <f t="shared" si="84"/>
        <v>0</v>
      </c>
      <c r="U371">
        <f t="shared" si="84"/>
        <v>0</v>
      </c>
      <c r="V371" s="108">
        <f t="shared" si="85"/>
        <v>207</v>
      </c>
      <c r="W371" s="26">
        <f t="shared" si="86"/>
        <v>1141</v>
      </c>
      <c r="X371">
        <f t="shared" si="87"/>
        <v>0</v>
      </c>
      <c r="Y371">
        <f t="shared" si="89"/>
        <v>9.5083333333333329</v>
      </c>
      <c r="Z371">
        <f t="shared" si="90"/>
        <v>0</v>
      </c>
    </row>
    <row r="372" spans="11:26" x14ac:dyDescent="0.25">
      <c r="K372" s="105">
        <v>339</v>
      </c>
      <c r="L372">
        <f t="shared" si="91"/>
        <v>0</v>
      </c>
      <c r="M372">
        <f t="shared" si="91"/>
        <v>12</v>
      </c>
      <c r="N372">
        <f t="shared" si="91"/>
        <v>0</v>
      </c>
      <c r="O372">
        <f t="shared" si="91"/>
        <v>78</v>
      </c>
      <c r="P372">
        <f t="shared" si="91"/>
        <v>0</v>
      </c>
      <c r="Q372">
        <f t="shared" si="91"/>
        <v>117</v>
      </c>
      <c r="R372">
        <f t="shared" si="88"/>
        <v>0</v>
      </c>
      <c r="S372">
        <f t="shared" si="84"/>
        <v>0</v>
      </c>
      <c r="T372">
        <f t="shared" si="84"/>
        <v>0</v>
      </c>
      <c r="U372">
        <f t="shared" si="84"/>
        <v>0</v>
      </c>
      <c r="V372" s="108">
        <f t="shared" si="85"/>
        <v>207</v>
      </c>
      <c r="W372" s="26">
        <f t="shared" si="86"/>
        <v>1141</v>
      </c>
      <c r="X372">
        <f t="shared" si="87"/>
        <v>0</v>
      </c>
      <c r="Y372">
        <f t="shared" si="89"/>
        <v>9.5083333333333329</v>
      </c>
      <c r="Z372">
        <f t="shared" si="90"/>
        <v>0</v>
      </c>
    </row>
    <row r="373" spans="11:26" x14ac:dyDescent="0.25">
      <c r="K373" s="105">
        <v>340</v>
      </c>
      <c r="L373">
        <f t="shared" si="91"/>
        <v>0</v>
      </c>
      <c r="M373">
        <f t="shared" si="91"/>
        <v>12</v>
      </c>
      <c r="N373">
        <f t="shared" si="91"/>
        <v>0</v>
      </c>
      <c r="O373">
        <f t="shared" si="91"/>
        <v>78</v>
      </c>
      <c r="P373">
        <f t="shared" si="91"/>
        <v>0</v>
      </c>
      <c r="Q373">
        <f t="shared" si="91"/>
        <v>117</v>
      </c>
      <c r="R373">
        <f t="shared" si="88"/>
        <v>0</v>
      </c>
      <c r="S373">
        <f t="shared" si="84"/>
        <v>0</v>
      </c>
      <c r="T373">
        <f t="shared" si="84"/>
        <v>0</v>
      </c>
      <c r="U373">
        <f t="shared" si="84"/>
        <v>0</v>
      </c>
      <c r="V373" s="108">
        <f t="shared" si="85"/>
        <v>207</v>
      </c>
      <c r="W373" s="26">
        <f t="shared" si="86"/>
        <v>1141</v>
      </c>
      <c r="X373">
        <f t="shared" si="87"/>
        <v>0</v>
      </c>
      <c r="Y373">
        <f t="shared" si="89"/>
        <v>9.5083333333333329</v>
      </c>
      <c r="Z373">
        <f t="shared" si="90"/>
        <v>0</v>
      </c>
    </row>
    <row r="374" spans="11:26" x14ac:dyDescent="0.25">
      <c r="K374" s="105">
        <v>341</v>
      </c>
      <c r="L374">
        <f t="shared" ref="L374:Q383" si="92">IF(MID(DEC2BIN($K374,10),L$32,1)="1",L$33,0)</f>
        <v>0</v>
      </c>
      <c r="M374">
        <f t="shared" si="92"/>
        <v>12</v>
      </c>
      <c r="N374">
        <f t="shared" si="92"/>
        <v>0</v>
      </c>
      <c r="O374">
        <f t="shared" si="92"/>
        <v>78</v>
      </c>
      <c r="P374">
        <f t="shared" si="92"/>
        <v>0</v>
      </c>
      <c r="Q374">
        <f t="shared" si="92"/>
        <v>117</v>
      </c>
      <c r="R374">
        <f t="shared" si="88"/>
        <v>0</v>
      </c>
      <c r="S374">
        <f t="shared" ref="S374:U393" si="93">IF(MID(DEC2BIN($K374,10),S$32,1)="1",S$33,0)</f>
        <v>0</v>
      </c>
      <c r="T374">
        <f t="shared" si="93"/>
        <v>0</v>
      </c>
      <c r="U374">
        <f t="shared" si="93"/>
        <v>0</v>
      </c>
      <c r="V374" s="108">
        <f t="shared" si="85"/>
        <v>207</v>
      </c>
      <c r="W374" s="26">
        <f t="shared" si="86"/>
        <v>1141</v>
      </c>
      <c r="X374">
        <f t="shared" si="87"/>
        <v>0</v>
      </c>
      <c r="Y374">
        <f t="shared" si="89"/>
        <v>9.5083333333333329</v>
      </c>
      <c r="Z374">
        <f t="shared" si="90"/>
        <v>0</v>
      </c>
    </row>
    <row r="375" spans="11:26" x14ac:dyDescent="0.25">
      <c r="K375" s="105">
        <v>342</v>
      </c>
      <c r="L375">
        <f t="shared" si="92"/>
        <v>0</v>
      </c>
      <c r="M375">
        <f t="shared" si="92"/>
        <v>12</v>
      </c>
      <c r="N375">
        <f t="shared" si="92"/>
        <v>0</v>
      </c>
      <c r="O375">
        <f t="shared" si="92"/>
        <v>78</v>
      </c>
      <c r="P375">
        <f t="shared" si="92"/>
        <v>0</v>
      </c>
      <c r="Q375">
        <f t="shared" si="92"/>
        <v>117</v>
      </c>
      <c r="R375">
        <f t="shared" si="88"/>
        <v>0</v>
      </c>
      <c r="S375">
        <f t="shared" si="93"/>
        <v>0</v>
      </c>
      <c r="T375">
        <f t="shared" si="93"/>
        <v>0</v>
      </c>
      <c r="U375">
        <f t="shared" si="93"/>
        <v>0</v>
      </c>
      <c r="V375" s="108">
        <f t="shared" si="85"/>
        <v>207</v>
      </c>
      <c r="W375" s="26">
        <f t="shared" si="86"/>
        <v>1141</v>
      </c>
      <c r="X375">
        <f t="shared" si="87"/>
        <v>0</v>
      </c>
      <c r="Y375">
        <f t="shared" si="89"/>
        <v>9.5083333333333329</v>
      </c>
      <c r="Z375">
        <f t="shared" si="90"/>
        <v>0</v>
      </c>
    </row>
    <row r="376" spans="11:26" x14ac:dyDescent="0.25">
      <c r="K376" s="105">
        <v>343</v>
      </c>
      <c r="L376">
        <f t="shared" si="92"/>
        <v>0</v>
      </c>
      <c r="M376">
        <f t="shared" si="92"/>
        <v>12</v>
      </c>
      <c r="N376">
        <f t="shared" si="92"/>
        <v>0</v>
      </c>
      <c r="O376">
        <f t="shared" si="92"/>
        <v>78</v>
      </c>
      <c r="P376">
        <f t="shared" si="92"/>
        <v>0</v>
      </c>
      <c r="Q376">
        <f t="shared" si="92"/>
        <v>117</v>
      </c>
      <c r="R376">
        <f t="shared" si="88"/>
        <v>0</v>
      </c>
      <c r="S376">
        <f t="shared" si="93"/>
        <v>0</v>
      </c>
      <c r="T376">
        <f t="shared" si="93"/>
        <v>0</v>
      </c>
      <c r="U376">
        <f t="shared" si="93"/>
        <v>0</v>
      </c>
      <c r="V376" s="108">
        <f t="shared" si="85"/>
        <v>207</v>
      </c>
      <c r="W376" s="26">
        <f t="shared" si="86"/>
        <v>1141</v>
      </c>
      <c r="X376">
        <f t="shared" si="87"/>
        <v>0</v>
      </c>
      <c r="Y376">
        <f t="shared" si="89"/>
        <v>9.5083333333333329</v>
      </c>
      <c r="Z376">
        <f t="shared" si="90"/>
        <v>0</v>
      </c>
    </row>
    <row r="377" spans="11:26" x14ac:dyDescent="0.25">
      <c r="K377" s="105">
        <v>344</v>
      </c>
      <c r="L377">
        <f t="shared" si="92"/>
        <v>0</v>
      </c>
      <c r="M377">
        <f t="shared" si="92"/>
        <v>12</v>
      </c>
      <c r="N377">
        <f t="shared" si="92"/>
        <v>0</v>
      </c>
      <c r="O377">
        <f t="shared" si="92"/>
        <v>78</v>
      </c>
      <c r="P377">
        <f t="shared" si="92"/>
        <v>0</v>
      </c>
      <c r="Q377">
        <f t="shared" si="92"/>
        <v>117</v>
      </c>
      <c r="R377">
        <f t="shared" si="88"/>
        <v>0</v>
      </c>
      <c r="S377">
        <f t="shared" si="93"/>
        <v>0</v>
      </c>
      <c r="T377">
        <f t="shared" si="93"/>
        <v>0</v>
      </c>
      <c r="U377">
        <f t="shared" si="93"/>
        <v>0</v>
      </c>
      <c r="V377" s="108">
        <f t="shared" si="85"/>
        <v>207</v>
      </c>
      <c r="W377" s="26">
        <f t="shared" si="86"/>
        <v>1141</v>
      </c>
      <c r="X377">
        <f t="shared" si="87"/>
        <v>0</v>
      </c>
      <c r="Y377">
        <f t="shared" si="89"/>
        <v>9.5083333333333329</v>
      </c>
      <c r="Z377">
        <f t="shared" si="90"/>
        <v>0</v>
      </c>
    </row>
    <row r="378" spans="11:26" x14ac:dyDescent="0.25">
      <c r="K378" s="105">
        <v>345</v>
      </c>
      <c r="L378">
        <f t="shared" si="92"/>
        <v>0</v>
      </c>
      <c r="M378">
        <f t="shared" si="92"/>
        <v>12</v>
      </c>
      <c r="N378">
        <f t="shared" si="92"/>
        <v>0</v>
      </c>
      <c r="O378">
        <f t="shared" si="92"/>
        <v>78</v>
      </c>
      <c r="P378">
        <f t="shared" si="92"/>
        <v>0</v>
      </c>
      <c r="Q378">
        <f t="shared" si="92"/>
        <v>117</v>
      </c>
      <c r="R378">
        <f t="shared" si="88"/>
        <v>0</v>
      </c>
      <c r="S378">
        <f t="shared" si="93"/>
        <v>0</v>
      </c>
      <c r="T378">
        <f t="shared" si="93"/>
        <v>0</v>
      </c>
      <c r="U378">
        <f t="shared" si="93"/>
        <v>0</v>
      </c>
      <c r="V378" s="108">
        <f t="shared" si="85"/>
        <v>207</v>
      </c>
      <c r="W378" s="26">
        <f t="shared" si="86"/>
        <v>1141</v>
      </c>
      <c r="X378">
        <f t="shared" si="87"/>
        <v>0</v>
      </c>
      <c r="Y378">
        <f t="shared" si="89"/>
        <v>9.5083333333333329</v>
      </c>
      <c r="Z378">
        <f t="shared" si="90"/>
        <v>0</v>
      </c>
    </row>
    <row r="379" spans="11:26" x14ac:dyDescent="0.25">
      <c r="K379" s="105">
        <v>346</v>
      </c>
      <c r="L379">
        <f t="shared" si="92"/>
        <v>0</v>
      </c>
      <c r="M379">
        <f t="shared" si="92"/>
        <v>12</v>
      </c>
      <c r="N379">
        <f t="shared" si="92"/>
        <v>0</v>
      </c>
      <c r="O379">
        <f t="shared" si="92"/>
        <v>78</v>
      </c>
      <c r="P379">
        <f t="shared" si="92"/>
        <v>0</v>
      </c>
      <c r="Q379">
        <f t="shared" si="92"/>
        <v>117</v>
      </c>
      <c r="R379">
        <f t="shared" si="88"/>
        <v>0</v>
      </c>
      <c r="S379">
        <f t="shared" si="93"/>
        <v>0</v>
      </c>
      <c r="T379">
        <f t="shared" si="93"/>
        <v>0</v>
      </c>
      <c r="U379">
        <f t="shared" si="93"/>
        <v>0</v>
      </c>
      <c r="V379" s="108">
        <f t="shared" si="85"/>
        <v>207</v>
      </c>
      <c r="W379" s="26">
        <f t="shared" si="86"/>
        <v>1141</v>
      </c>
      <c r="X379">
        <f t="shared" si="87"/>
        <v>0</v>
      </c>
      <c r="Y379">
        <f t="shared" si="89"/>
        <v>9.5083333333333329</v>
      </c>
      <c r="Z379">
        <f t="shared" si="90"/>
        <v>0</v>
      </c>
    </row>
    <row r="380" spans="11:26" x14ac:dyDescent="0.25">
      <c r="K380" s="105">
        <v>347</v>
      </c>
      <c r="L380">
        <f t="shared" si="92"/>
        <v>0</v>
      </c>
      <c r="M380">
        <f t="shared" si="92"/>
        <v>12</v>
      </c>
      <c r="N380">
        <f t="shared" si="92"/>
        <v>0</v>
      </c>
      <c r="O380">
        <f t="shared" si="92"/>
        <v>78</v>
      </c>
      <c r="P380">
        <f t="shared" si="92"/>
        <v>0</v>
      </c>
      <c r="Q380">
        <f t="shared" si="92"/>
        <v>117</v>
      </c>
      <c r="R380">
        <f t="shared" si="88"/>
        <v>0</v>
      </c>
      <c r="S380">
        <f t="shared" si="93"/>
        <v>0</v>
      </c>
      <c r="T380">
        <f t="shared" si="93"/>
        <v>0</v>
      </c>
      <c r="U380">
        <f t="shared" si="93"/>
        <v>0</v>
      </c>
      <c r="V380" s="108">
        <f t="shared" si="85"/>
        <v>207</v>
      </c>
      <c r="W380" s="26">
        <f t="shared" si="86"/>
        <v>1141</v>
      </c>
      <c r="X380">
        <f t="shared" si="87"/>
        <v>0</v>
      </c>
      <c r="Y380">
        <f t="shared" si="89"/>
        <v>9.5083333333333329</v>
      </c>
      <c r="Z380">
        <f t="shared" si="90"/>
        <v>0</v>
      </c>
    </row>
    <row r="381" spans="11:26" x14ac:dyDescent="0.25">
      <c r="K381" s="105">
        <v>348</v>
      </c>
      <c r="L381">
        <f t="shared" si="92"/>
        <v>0</v>
      </c>
      <c r="M381">
        <f t="shared" si="92"/>
        <v>12</v>
      </c>
      <c r="N381">
        <f t="shared" si="92"/>
        <v>0</v>
      </c>
      <c r="O381">
        <f t="shared" si="92"/>
        <v>78</v>
      </c>
      <c r="P381">
        <f t="shared" si="92"/>
        <v>0</v>
      </c>
      <c r="Q381">
        <f t="shared" si="92"/>
        <v>117</v>
      </c>
      <c r="R381">
        <f t="shared" si="88"/>
        <v>0</v>
      </c>
      <c r="S381">
        <f t="shared" si="93"/>
        <v>0</v>
      </c>
      <c r="T381">
        <f t="shared" si="93"/>
        <v>0</v>
      </c>
      <c r="U381">
        <f t="shared" si="93"/>
        <v>0</v>
      </c>
      <c r="V381" s="108">
        <f t="shared" si="85"/>
        <v>207</v>
      </c>
      <c r="W381" s="26">
        <f t="shared" si="86"/>
        <v>1141</v>
      </c>
      <c r="X381">
        <f t="shared" si="87"/>
        <v>0</v>
      </c>
      <c r="Y381">
        <f t="shared" si="89"/>
        <v>9.5083333333333329</v>
      </c>
      <c r="Z381">
        <f t="shared" si="90"/>
        <v>0</v>
      </c>
    </row>
    <row r="382" spans="11:26" x14ac:dyDescent="0.25">
      <c r="K382" s="105">
        <v>349</v>
      </c>
      <c r="L382">
        <f t="shared" si="92"/>
        <v>0</v>
      </c>
      <c r="M382">
        <f t="shared" si="92"/>
        <v>12</v>
      </c>
      <c r="N382">
        <f t="shared" si="92"/>
        <v>0</v>
      </c>
      <c r="O382">
        <f t="shared" si="92"/>
        <v>78</v>
      </c>
      <c r="P382">
        <f t="shared" si="92"/>
        <v>0</v>
      </c>
      <c r="Q382">
        <f t="shared" si="92"/>
        <v>117</v>
      </c>
      <c r="R382">
        <f t="shared" si="88"/>
        <v>0</v>
      </c>
      <c r="S382">
        <f t="shared" si="93"/>
        <v>0</v>
      </c>
      <c r="T382">
        <f t="shared" si="93"/>
        <v>0</v>
      </c>
      <c r="U382">
        <f t="shared" si="93"/>
        <v>0</v>
      </c>
      <c r="V382" s="108">
        <f t="shared" si="85"/>
        <v>207</v>
      </c>
      <c r="W382" s="26">
        <f t="shared" si="86"/>
        <v>1141</v>
      </c>
      <c r="X382">
        <f t="shared" si="87"/>
        <v>0</v>
      </c>
      <c r="Y382">
        <f t="shared" si="89"/>
        <v>9.5083333333333329</v>
      </c>
      <c r="Z382">
        <f t="shared" si="90"/>
        <v>0</v>
      </c>
    </row>
    <row r="383" spans="11:26" x14ac:dyDescent="0.25">
      <c r="K383" s="105">
        <v>350</v>
      </c>
      <c r="L383">
        <f t="shared" si="92"/>
        <v>0</v>
      </c>
      <c r="M383">
        <f t="shared" si="92"/>
        <v>12</v>
      </c>
      <c r="N383">
        <f t="shared" si="92"/>
        <v>0</v>
      </c>
      <c r="O383">
        <f t="shared" si="92"/>
        <v>78</v>
      </c>
      <c r="P383">
        <f t="shared" si="92"/>
        <v>0</v>
      </c>
      <c r="Q383">
        <f t="shared" si="92"/>
        <v>117</v>
      </c>
      <c r="R383">
        <f t="shared" si="88"/>
        <v>0</v>
      </c>
      <c r="S383">
        <f t="shared" si="93"/>
        <v>0</v>
      </c>
      <c r="T383">
        <f t="shared" si="93"/>
        <v>0</v>
      </c>
      <c r="U383">
        <f t="shared" si="93"/>
        <v>0</v>
      </c>
      <c r="V383" s="108">
        <f t="shared" si="85"/>
        <v>207</v>
      </c>
      <c r="W383" s="26">
        <f t="shared" si="86"/>
        <v>1141</v>
      </c>
      <c r="X383">
        <f t="shared" si="87"/>
        <v>0</v>
      </c>
      <c r="Y383">
        <f t="shared" si="89"/>
        <v>9.5083333333333329</v>
      </c>
      <c r="Z383">
        <f t="shared" si="90"/>
        <v>0</v>
      </c>
    </row>
    <row r="384" spans="11:26" x14ac:dyDescent="0.25">
      <c r="K384" s="105">
        <v>351</v>
      </c>
      <c r="L384">
        <f t="shared" ref="L384:Q393" si="94">IF(MID(DEC2BIN($K384,10),L$32,1)="1",L$33,0)</f>
        <v>0</v>
      </c>
      <c r="M384">
        <f t="shared" si="94"/>
        <v>12</v>
      </c>
      <c r="N384">
        <f t="shared" si="94"/>
        <v>0</v>
      </c>
      <c r="O384">
        <f t="shared" si="94"/>
        <v>78</v>
      </c>
      <c r="P384">
        <f t="shared" si="94"/>
        <v>0</v>
      </c>
      <c r="Q384">
        <f t="shared" si="94"/>
        <v>117</v>
      </c>
      <c r="R384">
        <f t="shared" si="88"/>
        <v>0</v>
      </c>
      <c r="S384">
        <f t="shared" si="93"/>
        <v>0</v>
      </c>
      <c r="T384">
        <f t="shared" si="93"/>
        <v>0</v>
      </c>
      <c r="U384">
        <f t="shared" si="93"/>
        <v>0</v>
      </c>
      <c r="V384" s="108">
        <f t="shared" si="85"/>
        <v>207</v>
      </c>
      <c r="W384" s="26">
        <f t="shared" si="86"/>
        <v>1141</v>
      </c>
      <c r="X384">
        <f t="shared" si="87"/>
        <v>0</v>
      </c>
      <c r="Y384">
        <f t="shared" si="89"/>
        <v>9.5083333333333329</v>
      </c>
      <c r="Z384">
        <f t="shared" si="90"/>
        <v>0</v>
      </c>
    </row>
    <row r="385" spans="11:26" x14ac:dyDescent="0.25">
      <c r="K385" s="105">
        <v>352</v>
      </c>
      <c r="L385">
        <f t="shared" si="94"/>
        <v>0</v>
      </c>
      <c r="M385">
        <f t="shared" si="94"/>
        <v>12</v>
      </c>
      <c r="N385">
        <f t="shared" si="94"/>
        <v>0</v>
      </c>
      <c r="O385">
        <f t="shared" si="94"/>
        <v>78</v>
      </c>
      <c r="P385">
        <f t="shared" si="94"/>
        <v>89</v>
      </c>
      <c r="Q385">
        <f t="shared" si="94"/>
        <v>0</v>
      </c>
      <c r="R385">
        <f t="shared" si="88"/>
        <v>0</v>
      </c>
      <c r="S385">
        <f t="shared" si="93"/>
        <v>0</v>
      </c>
      <c r="T385">
        <f t="shared" si="93"/>
        <v>0</v>
      </c>
      <c r="U385">
        <f t="shared" si="93"/>
        <v>0</v>
      </c>
      <c r="V385" s="108">
        <f t="shared" si="85"/>
        <v>179</v>
      </c>
      <c r="W385" s="26">
        <f t="shared" si="86"/>
        <v>1169</v>
      </c>
      <c r="X385">
        <f t="shared" si="87"/>
        <v>0</v>
      </c>
      <c r="Y385">
        <f t="shared" si="89"/>
        <v>9.7416666666666671</v>
      </c>
      <c r="Z385">
        <f t="shared" si="90"/>
        <v>0</v>
      </c>
    </row>
    <row r="386" spans="11:26" x14ac:dyDescent="0.25">
      <c r="K386" s="105">
        <v>353</v>
      </c>
      <c r="L386">
        <f t="shared" si="94"/>
        <v>0</v>
      </c>
      <c r="M386">
        <f t="shared" si="94"/>
        <v>12</v>
      </c>
      <c r="N386">
        <f t="shared" si="94"/>
        <v>0</v>
      </c>
      <c r="O386">
        <f t="shared" si="94"/>
        <v>78</v>
      </c>
      <c r="P386">
        <f t="shared" si="94"/>
        <v>89</v>
      </c>
      <c r="Q386">
        <f t="shared" si="94"/>
        <v>0</v>
      </c>
      <c r="R386">
        <f t="shared" si="88"/>
        <v>0</v>
      </c>
      <c r="S386">
        <f t="shared" si="93"/>
        <v>0</v>
      </c>
      <c r="T386">
        <f t="shared" si="93"/>
        <v>0</v>
      </c>
      <c r="U386">
        <f t="shared" si="93"/>
        <v>0</v>
      </c>
      <c r="V386" s="108">
        <f t="shared" si="85"/>
        <v>179</v>
      </c>
      <c r="W386" s="26">
        <f t="shared" si="86"/>
        <v>1169</v>
      </c>
      <c r="X386">
        <f t="shared" si="87"/>
        <v>0</v>
      </c>
      <c r="Y386">
        <f t="shared" si="89"/>
        <v>9.7416666666666671</v>
      </c>
      <c r="Z386">
        <f t="shared" si="90"/>
        <v>0</v>
      </c>
    </row>
    <row r="387" spans="11:26" x14ac:dyDescent="0.25">
      <c r="K387" s="105">
        <v>354</v>
      </c>
      <c r="L387">
        <f t="shared" si="94"/>
        <v>0</v>
      </c>
      <c r="M387">
        <f t="shared" si="94"/>
        <v>12</v>
      </c>
      <c r="N387">
        <f t="shared" si="94"/>
        <v>0</v>
      </c>
      <c r="O387">
        <f t="shared" si="94"/>
        <v>78</v>
      </c>
      <c r="P387">
        <f t="shared" si="94"/>
        <v>89</v>
      </c>
      <c r="Q387">
        <f t="shared" si="94"/>
        <v>0</v>
      </c>
      <c r="R387">
        <f t="shared" si="88"/>
        <v>0</v>
      </c>
      <c r="S387">
        <f t="shared" si="93"/>
        <v>0</v>
      </c>
      <c r="T387">
        <f t="shared" si="93"/>
        <v>0</v>
      </c>
      <c r="U387">
        <f t="shared" si="93"/>
        <v>0</v>
      </c>
      <c r="V387" s="108">
        <f t="shared" si="85"/>
        <v>179</v>
      </c>
      <c r="W387" s="26">
        <f t="shared" si="86"/>
        <v>1169</v>
      </c>
      <c r="X387">
        <f t="shared" si="87"/>
        <v>0</v>
      </c>
      <c r="Y387">
        <f t="shared" si="89"/>
        <v>9.7416666666666671</v>
      </c>
      <c r="Z387">
        <f t="shared" si="90"/>
        <v>0</v>
      </c>
    </row>
    <row r="388" spans="11:26" x14ac:dyDescent="0.25">
      <c r="K388" s="105">
        <v>355</v>
      </c>
      <c r="L388">
        <f t="shared" si="94"/>
        <v>0</v>
      </c>
      <c r="M388">
        <f t="shared" si="94"/>
        <v>12</v>
      </c>
      <c r="N388">
        <f t="shared" si="94"/>
        <v>0</v>
      </c>
      <c r="O388">
        <f t="shared" si="94"/>
        <v>78</v>
      </c>
      <c r="P388">
        <f t="shared" si="94"/>
        <v>89</v>
      </c>
      <c r="Q388">
        <f t="shared" si="94"/>
        <v>0</v>
      </c>
      <c r="R388">
        <f t="shared" si="88"/>
        <v>0</v>
      </c>
      <c r="S388">
        <f t="shared" si="93"/>
        <v>0</v>
      </c>
      <c r="T388">
        <f t="shared" si="93"/>
        <v>0</v>
      </c>
      <c r="U388">
        <f t="shared" si="93"/>
        <v>0</v>
      </c>
      <c r="V388" s="108">
        <f t="shared" si="85"/>
        <v>179</v>
      </c>
      <c r="W388" s="26">
        <f t="shared" si="86"/>
        <v>1169</v>
      </c>
      <c r="X388">
        <f t="shared" si="87"/>
        <v>0</v>
      </c>
      <c r="Y388">
        <f t="shared" si="89"/>
        <v>9.7416666666666671</v>
      </c>
      <c r="Z388">
        <f t="shared" si="90"/>
        <v>0</v>
      </c>
    </row>
    <row r="389" spans="11:26" x14ac:dyDescent="0.25">
      <c r="K389" s="105">
        <v>356</v>
      </c>
      <c r="L389">
        <f t="shared" si="94"/>
        <v>0</v>
      </c>
      <c r="M389">
        <f t="shared" si="94"/>
        <v>12</v>
      </c>
      <c r="N389">
        <f t="shared" si="94"/>
        <v>0</v>
      </c>
      <c r="O389">
        <f t="shared" si="94"/>
        <v>78</v>
      </c>
      <c r="P389">
        <f t="shared" si="94"/>
        <v>89</v>
      </c>
      <c r="Q389">
        <f t="shared" si="94"/>
        <v>0</v>
      </c>
      <c r="R389">
        <f t="shared" si="88"/>
        <v>0</v>
      </c>
      <c r="S389">
        <f t="shared" si="93"/>
        <v>0</v>
      </c>
      <c r="T389">
        <f t="shared" si="93"/>
        <v>0</v>
      </c>
      <c r="U389">
        <f t="shared" si="93"/>
        <v>0</v>
      </c>
      <c r="V389" s="108">
        <f t="shared" si="85"/>
        <v>179</v>
      </c>
      <c r="W389" s="26">
        <f t="shared" si="86"/>
        <v>1169</v>
      </c>
      <c r="X389">
        <f t="shared" si="87"/>
        <v>0</v>
      </c>
      <c r="Y389">
        <f t="shared" si="89"/>
        <v>9.7416666666666671</v>
      </c>
      <c r="Z389">
        <f t="shared" si="90"/>
        <v>0</v>
      </c>
    </row>
    <row r="390" spans="11:26" x14ac:dyDescent="0.25">
      <c r="K390" s="105">
        <v>357</v>
      </c>
      <c r="L390">
        <f t="shared" si="94"/>
        <v>0</v>
      </c>
      <c r="M390">
        <f t="shared" si="94"/>
        <v>12</v>
      </c>
      <c r="N390">
        <f t="shared" si="94"/>
        <v>0</v>
      </c>
      <c r="O390">
        <f t="shared" si="94"/>
        <v>78</v>
      </c>
      <c r="P390">
        <f t="shared" si="94"/>
        <v>89</v>
      </c>
      <c r="Q390">
        <f t="shared" si="94"/>
        <v>0</v>
      </c>
      <c r="R390">
        <f t="shared" si="88"/>
        <v>0</v>
      </c>
      <c r="S390">
        <f t="shared" si="93"/>
        <v>0</v>
      </c>
      <c r="T390">
        <f t="shared" si="93"/>
        <v>0</v>
      </c>
      <c r="U390">
        <f t="shared" si="93"/>
        <v>0</v>
      </c>
      <c r="V390" s="108">
        <f t="shared" si="85"/>
        <v>179</v>
      </c>
      <c r="W390" s="26">
        <f t="shared" si="86"/>
        <v>1169</v>
      </c>
      <c r="X390">
        <f t="shared" si="87"/>
        <v>0</v>
      </c>
      <c r="Y390">
        <f t="shared" si="89"/>
        <v>9.7416666666666671</v>
      </c>
      <c r="Z390">
        <f t="shared" si="90"/>
        <v>0</v>
      </c>
    </row>
    <row r="391" spans="11:26" x14ac:dyDescent="0.25">
      <c r="K391" s="105">
        <v>358</v>
      </c>
      <c r="L391">
        <f t="shared" si="94"/>
        <v>0</v>
      </c>
      <c r="M391">
        <f t="shared" si="94"/>
        <v>12</v>
      </c>
      <c r="N391">
        <f t="shared" si="94"/>
        <v>0</v>
      </c>
      <c r="O391">
        <f t="shared" si="94"/>
        <v>78</v>
      </c>
      <c r="P391">
        <f t="shared" si="94"/>
        <v>89</v>
      </c>
      <c r="Q391">
        <f t="shared" si="94"/>
        <v>0</v>
      </c>
      <c r="R391">
        <f t="shared" si="88"/>
        <v>0</v>
      </c>
      <c r="S391">
        <f t="shared" si="93"/>
        <v>0</v>
      </c>
      <c r="T391">
        <f t="shared" si="93"/>
        <v>0</v>
      </c>
      <c r="U391">
        <f t="shared" si="93"/>
        <v>0</v>
      </c>
      <c r="V391" s="108">
        <f t="shared" si="85"/>
        <v>179</v>
      </c>
      <c r="W391" s="26">
        <f t="shared" si="86"/>
        <v>1169</v>
      </c>
      <c r="X391">
        <f t="shared" si="87"/>
        <v>0</v>
      </c>
      <c r="Y391">
        <f t="shared" si="89"/>
        <v>9.7416666666666671</v>
      </c>
      <c r="Z391">
        <f t="shared" si="90"/>
        <v>0</v>
      </c>
    </row>
    <row r="392" spans="11:26" x14ac:dyDescent="0.25">
      <c r="K392" s="105">
        <v>359</v>
      </c>
      <c r="L392">
        <f t="shared" si="94"/>
        <v>0</v>
      </c>
      <c r="M392">
        <f t="shared" si="94"/>
        <v>12</v>
      </c>
      <c r="N392">
        <f t="shared" si="94"/>
        <v>0</v>
      </c>
      <c r="O392">
        <f t="shared" si="94"/>
        <v>78</v>
      </c>
      <c r="P392">
        <f t="shared" si="94"/>
        <v>89</v>
      </c>
      <c r="Q392">
        <f t="shared" si="94"/>
        <v>0</v>
      </c>
      <c r="R392">
        <f t="shared" si="88"/>
        <v>0</v>
      </c>
      <c r="S392">
        <f t="shared" si="93"/>
        <v>0</v>
      </c>
      <c r="T392">
        <f t="shared" si="93"/>
        <v>0</v>
      </c>
      <c r="U392">
        <f t="shared" si="93"/>
        <v>0</v>
      </c>
      <c r="V392" s="108">
        <f t="shared" si="85"/>
        <v>179</v>
      </c>
      <c r="W392" s="26">
        <f t="shared" si="86"/>
        <v>1169</v>
      </c>
      <c r="X392">
        <f t="shared" si="87"/>
        <v>0</v>
      </c>
      <c r="Y392">
        <f t="shared" si="89"/>
        <v>9.7416666666666671</v>
      </c>
      <c r="Z392">
        <f t="shared" si="90"/>
        <v>0</v>
      </c>
    </row>
    <row r="393" spans="11:26" x14ac:dyDescent="0.25">
      <c r="K393" s="105">
        <v>360</v>
      </c>
      <c r="L393">
        <f t="shared" si="94"/>
        <v>0</v>
      </c>
      <c r="M393">
        <f t="shared" si="94"/>
        <v>12</v>
      </c>
      <c r="N393">
        <f t="shared" si="94"/>
        <v>0</v>
      </c>
      <c r="O393">
        <f t="shared" si="94"/>
        <v>78</v>
      </c>
      <c r="P393">
        <f t="shared" si="94"/>
        <v>89</v>
      </c>
      <c r="Q393">
        <f t="shared" si="94"/>
        <v>0</v>
      </c>
      <c r="R393">
        <f t="shared" si="88"/>
        <v>0</v>
      </c>
      <c r="S393">
        <f t="shared" si="93"/>
        <v>0</v>
      </c>
      <c r="T393">
        <f t="shared" si="93"/>
        <v>0</v>
      </c>
      <c r="U393">
        <f t="shared" si="93"/>
        <v>0</v>
      </c>
      <c r="V393" s="108">
        <f t="shared" si="85"/>
        <v>179</v>
      </c>
      <c r="W393" s="26">
        <f t="shared" si="86"/>
        <v>1169</v>
      </c>
      <c r="X393">
        <f t="shared" si="87"/>
        <v>0</v>
      </c>
      <c r="Y393">
        <f t="shared" si="89"/>
        <v>9.7416666666666671</v>
      </c>
      <c r="Z393">
        <f t="shared" si="90"/>
        <v>0</v>
      </c>
    </row>
    <row r="394" spans="11:26" x14ac:dyDescent="0.25">
      <c r="K394" s="105">
        <v>361</v>
      </c>
      <c r="L394">
        <f t="shared" ref="L394:Q403" si="95">IF(MID(DEC2BIN($K394,10),L$32,1)="1",L$33,0)</f>
        <v>0</v>
      </c>
      <c r="M394">
        <f t="shared" si="95"/>
        <v>12</v>
      </c>
      <c r="N394">
        <f t="shared" si="95"/>
        <v>0</v>
      </c>
      <c r="O394">
        <f t="shared" si="95"/>
        <v>78</v>
      </c>
      <c r="P394">
        <f t="shared" si="95"/>
        <v>89</v>
      </c>
      <c r="Q394">
        <f t="shared" si="95"/>
        <v>0</v>
      </c>
      <c r="R394">
        <f t="shared" si="88"/>
        <v>0</v>
      </c>
      <c r="S394">
        <f t="shared" ref="S394:U413" si="96">IF(MID(DEC2BIN($K394,10),S$32,1)="1",S$33,0)</f>
        <v>0</v>
      </c>
      <c r="T394">
        <f t="shared" si="96"/>
        <v>0</v>
      </c>
      <c r="U394">
        <f t="shared" si="96"/>
        <v>0</v>
      </c>
      <c r="V394" s="108">
        <f t="shared" si="85"/>
        <v>179</v>
      </c>
      <c r="W394" s="26">
        <f t="shared" si="86"/>
        <v>1169</v>
      </c>
      <c r="X394">
        <f t="shared" si="87"/>
        <v>0</v>
      </c>
      <c r="Y394">
        <f t="shared" si="89"/>
        <v>9.7416666666666671</v>
      </c>
      <c r="Z394">
        <f t="shared" si="90"/>
        <v>0</v>
      </c>
    </row>
    <row r="395" spans="11:26" x14ac:dyDescent="0.25">
      <c r="K395" s="105">
        <v>362</v>
      </c>
      <c r="L395">
        <f t="shared" si="95"/>
        <v>0</v>
      </c>
      <c r="M395">
        <f t="shared" si="95"/>
        <v>12</v>
      </c>
      <c r="N395">
        <f t="shared" si="95"/>
        <v>0</v>
      </c>
      <c r="O395">
        <f t="shared" si="95"/>
        <v>78</v>
      </c>
      <c r="P395">
        <f t="shared" si="95"/>
        <v>89</v>
      </c>
      <c r="Q395">
        <f t="shared" si="95"/>
        <v>0</v>
      </c>
      <c r="R395">
        <f t="shared" si="88"/>
        <v>0</v>
      </c>
      <c r="S395">
        <f t="shared" si="96"/>
        <v>0</v>
      </c>
      <c r="T395">
        <f t="shared" si="96"/>
        <v>0</v>
      </c>
      <c r="U395">
        <f t="shared" si="96"/>
        <v>0</v>
      </c>
      <c r="V395" s="108">
        <f t="shared" si="85"/>
        <v>179</v>
      </c>
      <c r="W395" s="26">
        <f t="shared" si="86"/>
        <v>1169</v>
      </c>
      <c r="X395">
        <f t="shared" si="87"/>
        <v>0</v>
      </c>
      <c r="Y395">
        <f t="shared" si="89"/>
        <v>9.7416666666666671</v>
      </c>
      <c r="Z395">
        <f t="shared" si="90"/>
        <v>0</v>
      </c>
    </row>
    <row r="396" spans="11:26" x14ac:dyDescent="0.25">
      <c r="K396" s="105">
        <v>363</v>
      </c>
      <c r="L396">
        <f t="shared" si="95"/>
        <v>0</v>
      </c>
      <c r="M396">
        <f t="shared" si="95"/>
        <v>12</v>
      </c>
      <c r="N396">
        <f t="shared" si="95"/>
        <v>0</v>
      </c>
      <c r="O396">
        <f t="shared" si="95"/>
        <v>78</v>
      </c>
      <c r="P396">
        <f t="shared" si="95"/>
        <v>89</v>
      </c>
      <c r="Q396">
        <f t="shared" si="95"/>
        <v>0</v>
      </c>
      <c r="R396">
        <f t="shared" si="88"/>
        <v>0</v>
      </c>
      <c r="S396">
        <f t="shared" si="96"/>
        <v>0</v>
      </c>
      <c r="T396">
        <f t="shared" si="96"/>
        <v>0</v>
      </c>
      <c r="U396">
        <f t="shared" si="96"/>
        <v>0</v>
      </c>
      <c r="V396" s="108">
        <f t="shared" si="85"/>
        <v>179</v>
      </c>
      <c r="W396" s="26">
        <f t="shared" si="86"/>
        <v>1169</v>
      </c>
      <c r="X396">
        <f t="shared" si="87"/>
        <v>0</v>
      </c>
      <c r="Y396">
        <f t="shared" si="89"/>
        <v>9.7416666666666671</v>
      </c>
      <c r="Z396">
        <f t="shared" si="90"/>
        <v>0</v>
      </c>
    </row>
    <row r="397" spans="11:26" x14ac:dyDescent="0.25">
      <c r="K397" s="105">
        <v>364</v>
      </c>
      <c r="L397">
        <f t="shared" si="95"/>
        <v>0</v>
      </c>
      <c r="M397">
        <f t="shared" si="95"/>
        <v>12</v>
      </c>
      <c r="N397">
        <f t="shared" si="95"/>
        <v>0</v>
      </c>
      <c r="O397">
        <f t="shared" si="95"/>
        <v>78</v>
      </c>
      <c r="P397">
        <f t="shared" si="95"/>
        <v>89</v>
      </c>
      <c r="Q397">
        <f t="shared" si="95"/>
        <v>0</v>
      </c>
      <c r="R397">
        <f t="shared" si="88"/>
        <v>0</v>
      </c>
      <c r="S397">
        <f t="shared" si="96"/>
        <v>0</v>
      </c>
      <c r="T397">
        <f t="shared" si="96"/>
        <v>0</v>
      </c>
      <c r="U397">
        <f t="shared" si="96"/>
        <v>0</v>
      </c>
      <c r="V397" s="108">
        <f t="shared" si="85"/>
        <v>179</v>
      </c>
      <c r="W397" s="26">
        <f t="shared" si="86"/>
        <v>1169</v>
      </c>
      <c r="X397">
        <f t="shared" si="87"/>
        <v>0</v>
      </c>
      <c r="Y397">
        <f t="shared" si="89"/>
        <v>9.7416666666666671</v>
      </c>
      <c r="Z397">
        <f t="shared" si="90"/>
        <v>0</v>
      </c>
    </row>
    <row r="398" spans="11:26" x14ac:dyDescent="0.25">
      <c r="K398" s="105">
        <v>365</v>
      </c>
      <c r="L398">
        <f t="shared" si="95"/>
        <v>0</v>
      </c>
      <c r="M398">
        <f t="shared" si="95"/>
        <v>12</v>
      </c>
      <c r="N398">
        <f t="shared" si="95"/>
        <v>0</v>
      </c>
      <c r="O398">
        <f t="shared" si="95"/>
        <v>78</v>
      </c>
      <c r="P398">
        <f t="shared" si="95"/>
        <v>89</v>
      </c>
      <c r="Q398">
        <f t="shared" si="95"/>
        <v>0</v>
      </c>
      <c r="R398">
        <f t="shared" si="88"/>
        <v>0</v>
      </c>
      <c r="S398">
        <f t="shared" si="96"/>
        <v>0</v>
      </c>
      <c r="T398">
        <f t="shared" si="96"/>
        <v>0</v>
      </c>
      <c r="U398">
        <f t="shared" si="96"/>
        <v>0</v>
      </c>
      <c r="V398" s="108">
        <f t="shared" si="85"/>
        <v>179</v>
      </c>
      <c r="W398" s="26">
        <f t="shared" si="86"/>
        <v>1169</v>
      </c>
      <c r="X398">
        <f t="shared" si="87"/>
        <v>0</v>
      </c>
      <c r="Y398">
        <f t="shared" si="89"/>
        <v>9.7416666666666671</v>
      </c>
      <c r="Z398">
        <f t="shared" si="90"/>
        <v>0</v>
      </c>
    </row>
    <row r="399" spans="11:26" x14ac:dyDescent="0.25">
      <c r="K399" s="105">
        <v>366</v>
      </c>
      <c r="L399">
        <f t="shared" si="95"/>
        <v>0</v>
      </c>
      <c r="M399">
        <f t="shared" si="95"/>
        <v>12</v>
      </c>
      <c r="N399">
        <f t="shared" si="95"/>
        <v>0</v>
      </c>
      <c r="O399">
        <f t="shared" si="95"/>
        <v>78</v>
      </c>
      <c r="P399">
        <f t="shared" si="95"/>
        <v>89</v>
      </c>
      <c r="Q399">
        <f t="shared" si="95"/>
        <v>0</v>
      </c>
      <c r="R399">
        <f t="shared" si="88"/>
        <v>0</v>
      </c>
      <c r="S399">
        <f t="shared" si="96"/>
        <v>0</v>
      </c>
      <c r="T399">
        <f t="shared" si="96"/>
        <v>0</v>
      </c>
      <c r="U399">
        <f t="shared" si="96"/>
        <v>0</v>
      </c>
      <c r="V399" s="108">
        <f t="shared" si="85"/>
        <v>179</v>
      </c>
      <c r="W399" s="26">
        <f t="shared" si="86"/>
        <v>1169</v>
      </c>
      <c r="X399">
        <f t="shared" si="87"/>
        <v>0</v>
      </c>
      <c r="Y399">
        <f t="shared" si="89"/>
        <v>9.7416666666666671</v>
      </c>
      <c r="Z399">
        <f t="shared" si="90"/>
        <v>0</v>
      </c>
    </row>
    <row r="400" spans="11:26" x14ac:dyDescent="0.25">
      <c r="K400" s="105">
        <v>367</v>
      </c>
      <c r="L400">
        <f t="shared" si="95"/>
        <v>0</v>
      </c>
      <c r="M400">
        <f t="shared" si="95"/>
        <v>12</v>
      </c>
      <c r="N400">
        <f t="shared" si="95"/>
        <v>0</v>
      </c>
      <c r="O400">
        <f t="shared" si="95"/>
        <v>78</v>
      </c>
      <c r="P400">
        <f t="shared" si="95"/>
        <v>89</v>
      </c>
      <c r="Q400">
        <f t="shared" si="95"/>
        <v>0</v>
      </c>
      <c r="R400">
        <f t="shared" si="88"/>
        <v>0</v>
      </c>
      <c r="S400">
        <f t="shared" si="96"/>
        <v>0</v>
      </c>
      <c r="T400">
        <f t="shared" si="96"/>
        <v>0</v>
      </c>
      <c r="U400">
        <f t="shared" si="96"/>
        <v>0</v>
      </c>
      <c r="V400" s="108">
        <f t="shared" si="85"/>
        <v>179</v>
      </c>
      <c r="W400" s="26">
        <f t="shared" si="86"/>
        <v>1169</v>
      </c>
      <c r="X400">
        <f t="shared" si="87"/>
        <v>0</v>
      </c>
      <c r="Y400">
        <f t="shared" si="89"/>
        <v>9.7416666666666671</v>
      </c>
      <c r="Z400">
        <f t="shared" si="90"/>
        <v>0</v>
      </c>
    </row>
    <row r="401" spans="11:26" x14ac:dyDescent="0.25">
      <c r="K401" s="105">
        <v>368</v>
      </c>
      <c r="L401">
        <f t="shared" si="95"/>
        <v>0</v>
      </c>
      <c r="M401">
        <f t="shared" si="95"/>
        <v>12</v>
      </c>
      <c r="N401">
        <f t="shared" si="95"/>
        <v>0</v>
      </c>
      <c r="O401">
        <f t="shared" si="95"/>
        <v>78</v>
      </c>
      <c r="P401">
        <f t="shared" si="95"/>
        <v>89</v>
      </c>
      <c r="Q401">
        <f t="shared" si="95"/>
        <v>117</v>
      </c>
      <c r="R401">
        <f t="shared" si="88"/>
        <v>0</v>
      </c>
      <c r="S401">
        <f t="shared" si="96"/>
        <v>0</v>
      </c>
      <c r="T401">
        <f t="shared" si="96"/>
        <v>0</v>
      </c>
      <c r="U401">
        <f t="shared" si="96"/>
        <v>0</v>
      </c>
      <c r="V401" s="108">
        <f t="shared" si="85"/>
        <v>296</v>
      </c>
      <c r="W401" s="26">
        <f t="shared" si="86"/>
        <v>1052</v>
      </c>
      <c r="X401">
        <f t="shared" si="87"/>
        <v>0</v>
      </c>
      <c r="Y401">
        <f t="shared" si="89"/>
        <v>8.7666666666666675</v>
      </c>
      <c r="Z401">
        <f t="shared" si="90"/>
        <v>0</v>
      </c>
    </row>
    <row r="402" spans="11:26" x14ac:dyDescent="0.25">
      <c r="K402" s="105">
        <v>369</v>
      </c>
      <c r="L402">
        <f t="shared" si="95"/>
        <v>0</v>
      </c>
      <c r="M402">
        <f t="shared" si="95"/>
        <v>12</v>
      </c>
      <c r="N402">
        <f t="shared" si="95"/>
        <v>0</v>
      </c>
      <c r="O402">
        <f t="shared" si="95"/>
        <v>78</v>
      </c>
      <c r="P402">
        <f t="shared" si="95"/>
        <v>89</v>
      </c>
      <c r="Q402">
        <f t="shared" si="95"/>
        <v>117</v>
      </c>
      <c r="R402">
        <f t="shared" si="88"/>
        <v>0</v>
      </c>
      <c r="S402">
        <f t="shared" si="96"/>
        <v>0</v>
      </c>
      <c r="T402">
        <f t="shared" si="96"/>
        <v>0</v>
      </c>
      <c r="U402">
        <f t="shared" si="96"/>
        <v>0</v>
      </c>
      <c r="V402" s="108">
        <f t="shared" si="85"/>
        <v>296</v>
      </c>
      <c r="W402" s="26">
        <f t="shared" si="86"/>
        <v>1052</v>
      </c>
      <c r="X402">
        <f t="shared" si="87"/>
        <v>0</v>
      </c>
      <c r="Y402">
        <f t="shared" si="89"/>
        <v>8.7666666666666675</v>
      </c>
      <c r="Z402">
        <f t="shared" si="90"/>
        <v>0</v>
      </c>
    </row>
    <row r="403" spans="11:26" x14ac:dyDescent="0.25">
      <c r="K403" s="105">
        <v>370</v>
      </c>
      <c r="L403">
        <f t="shared" si="95"/>
        <v>0</v>
      </c>
      <c r="M403">
        <f t="shared" si="95"/>
        <v>12</v>
      </c>
      <c r="N403">
        <f t="shared" si="95"/>
        <v>0</v>
      </c>
      <c r="O403">
        <f t="shared" si="95"/>
        <v>78</v>
      </c>
      <c r="P403">
        <f t="shared" si="95"/>
        <v>89</v>
      </c>
      <c r="Q403">
        <f t="shared" si="95"/>
        <v>117</v>
      </c>
      <c r="R403">
        <f t="shared" si="88"/>
        <v>0</v>
      </c>
      <c r="S403">
        <f t="shared" si="96"/>
        <v>0</v>
      </c>
      <c r="T403">
        <f t="shared" si="96"/>
        <v>0</v>
      </c>
      <c r="U403">
        <f t="shared" si="96"/>
        <v>0</v>
      </c>
      <c r="V403" s="108">
        <f t="shared" si="85"/>
        <v>296</v>
      </c>
      <c r="W403" s="26">
        <f t="shared" si="86"/>
        <v>1052</v>
      </c>
      <c r="X403">
        <f t="shared" si="87"/>
        <v>0</v>
      </c>
      <c r="Y403">
        <f t="shared" si="89"/>
        <v>8.7666666666666675</v>
      </c>
      <c r="Z403">
        <f t="shared" si="90"/>
        <v>0</v>
      </c>
    </row>
    <row r="404" spans="11:26" x14ac:dyDescent="0.25">
      <c r="K404" s="105">
        <v>371</v>
      </c>
      <c r="L404">
        <f t="shared" ref="L404:Q413" si="97">IF(MID(DEC2BIN($K404,10),L$32,1)="1",L$33,0)</f>
        <v>0</v>
      </c>
      <c r="M404">
        <f t="shared" si="97"/>
        <v>12</v>
      </c>
      <c r="N404">
        <f t="shared" si="97"/>
        <v>0</v>
      </c>
      <c r="O404">
        <f t="shared" si="97"/>
        <v>78</v>
      </c>
      <c r="P404">
        <f t="shared" si="97"/>
        <v>89</v>
      </c>
      <c r="Q404">
        <f t="shared" si="97"/>
        <v>117</v>
      </c>
      <c r="R404">
        <f t="shared" si="88"/>
        <v>0</v>
      </c>
      <c r="S404">
        <f t="shared" si="96"/>
        <v>0</v>
      </c>
      <c r="T404">
        <f t="shared" si="96"/>
        <v>0</v>
      </c>
      <c r="U404">
        <f t="shared" si="96"/>
        <v>0</v>
      </c>
      <c r="V404" s="108">
        <f t="shared" si="85"/>
        <v>296</v>
      </c>
      <c r="W404" s="26">
        <f t="shared" si="86"/>
        <v>1052</v>
      </c>
      <c r="X404">
        <f t="shared" si="87"/>
        <v>0</v>
      </c>
      <c r="Y404">
        <f t="shared" si="89"/>
        <v>8.7666666666666675</v>
      </c>
      <c r="Z404">
        <f t="shared" si="90"/>
        <v>0</v>
      </c>
    </row>
    <row r="405" spans="11:26" x14ac:dyDescent="0.25">
      <c r="K405" s="105">
        <v>372</v>
      </c>
      <c r="L405">
        <f t="shared" si="97"/>
        <v>0</v>
      </c>
      <c r="M405">
        <f t="shared" si="97"/>
        <v>12</v>
      </c>
      <c r="N405">
        <f t="shared" si="97"/>
        <v>0</v>
      </c>
      <c r="O405">
        <f t="shared" si="97"/>
        <v>78</v>
      </c>
      <c r="P405">
        <f t="shared" si="97"/>
        <v>89</v>
      </c>
      <c r="Q405">
        <f t="shared" si="97"/>
        <v>117</v>
      </c>
      <c r="R405">
        <f t="shared" si="88"/>
        <v>0</v>
      </c>
      <c r="S405">
        <f t="shared" si="96"/>
        <v>0</v>
      </c>
      <c r="T405">
        <f t="shared" si="96"/>
        <v>0</v>
      </c>
      <c r="U405">
        <f t="shared" si="96"/>
        <v>0</v>
      </c>
      <c r="V405" s="108">
        <f t="shared" si="85"/>
        <v>296</v>
      </c>
      <c r="W405" s="26">
        <f t="shared" si="86"/>
        <v>1052</v>
      </c>
      <c r="X405">
        <f t="shared" si="87"/>
        <v>0</v>
      </c>
      <c r="Y405">
        <f t="shared" si="89"/>
        <v>8.7666666666666675</v>
      </c>
      <c r="Z405">
        <f t="shared" si="90"/>
        <v>0</v>
      </c>
    </row>
    <row r="406" spans="11:26" x14ac:dyDescent="0.25">
      <c r="K406" s="105">
        <v>373</v>
      </c>
      <c r="L406">
        <f t="shared" si="97"/>
        <v>0</v>
      </c>
      <c r="M406">
        <f t="shared" si="97"/>
        <v>12</v>
      </c>
      <c r="N406">
        <f t="shared" si="97"/>
        <v>0</v>
      </c>
      <c r="O406">
        <f t="shared" si="97"/>
        <v>78</v>
      </c>
      <c r="P406">
        <f t="shared" si="97"/>
        <v>89</v>
      </c>
      <c r="Q406">
        <f t="shared" si="97"/>
        <v>117</v>
      </c>
      <c r="R406">
        <f t="shared" si="88"/>
        <v>0</v>
      </c>
      <c r="S406">
        <f t="shared" si="96"/>
        <v>0</v>
      </c>
      <c r="T406">
        <f t="shared" si="96"/>
        <v>0</v>
      </c>
      <c r="U406">
        <f t="shared" si="96"/>
        <v>0</v>
      </c>
      <c r="V406" s="108">
        <f t="shared" si="85"/>
        <v>296</v>
      </c>
      <c r="W406" s="26">
        <f t="shared" si="86"/>
        <v>1052</v>
      </c>
      <c r="X406">
        <f t="shared" si="87"/>
        <v>0</v>
      </c>
      <c r="Y406">
        <f t="shared" si="89"/>
        <v>8.7666666666666675</v>
      </c>
      <c r="Z406">
        <f t="shared" si="90"/>
        <v>0</v>
      </c>
    </row>
    <row r="407" spans="11:26" x14ac:dyDescent="0.25">
      <c r="K407" s="105">
        <v>374</v>
      </c>
      <c r="L407">
        <f t="shared" si="97"/>
        <v>0</v>
      </c>
      <c r="M407">
        <f t="shared" si="97"/>
        <v>12</v>
      </c>
      <c r="N407">
        <f t="shared" si="97"/>
        <v>0</v>
      </c>
      <c r="O407">
        <f t="shared" si="97"/>
        <v>78</v>
      </c>
      <c r="P407">
        <f t="shared" si="97"/>
        <v>89</v>
      </c>
      <c r="Q407">
        <f t="shared" si="97"/>
        <v>117</v>
      </c>
      <c r="R407">
        <f t="shared" si="88"/>
        <v>0</v>
      </c>
      <c r="S407">
        <f t="shared" si="96"/>
        <v>0</v>
      </c>
      <c r="T407">
        <f t="shared" si="96"/>
        <v>0</v>
      </c>
      <c r="U407">
        <f t="shared" si="96"/>
        <v>0</v>
      </c>
      <c r="V407" s="108">
        <f t="shared" si="85"/>
        <v>296</v>
      </c>
      <c r="W407" s="26">
        <f t="shared" si="86"/>
        <v>1052</v>
      </c>
      <c r="X407">
        <f t="shared" si="87"/>
        <v>0</v>
      </c>
      <c r="Y407">
        <f t="shared" si="89"/>
        <v>8.7666666666666675</v>
      </c>
      <c r="Z407">
        <f t="shared" si="90"/>
        <v>0</v>
      </c>
    </row>
    <row r="408" spans="11:26" x14ac:dyDescent="0.25">
      <c r="K408" s="105">
        <v>375</v>
      </c>
      <c r="L408">
        <f t="shared" si="97"/>
        <v>0</v>
      </c>
      <c r="M408">
        <f t="shared" si="97"/>
        <v>12</v>
      </c>
      <c r="N408">
        <f t="shared" si="97"/>
        <v>0</v>
      </c>
      <c r="O408">
        <f t="shared" si="97"/>
        <v>78</v>
      </c>
      <c r="P408">
        <f t="shared" si="97"/>
        <v>89</v>
      </c>
      <c r="Q408">
        <f t="shared" si="97"/>
        <v>117</v>
      </c>
      <c r="R408">
        <f t="shared" si="88"/>
        <v>0</v>
      </c>
      <c r="S408">
        <f t="shared" si="96"/>
        <v>0</v>
      </c>
      <c r="T408">
        <f t="shared" si="96"/>
        <v>0</v>
      </c>
      <c r="U408">
        <f t="shared" si="96"/>
        <v>0</v>
      </c>
      <c r="V408" s="108">
        <f t="shared" si="85"/>
        <v>296</v>
      </c>
      <c r="W408" s="26">
        <f t="shared" si="86"/>
        <v>1052</v>
      </c>
      <c r="X408">
        <f t="shared" si="87"/>
        <v>0</v>
      </c>
      <c r="Y408">
        <f t="shared" si="89"/>
        <v>8.7666666666666675</v>
      </c>
      <c r="Z408">
        <f t="shared" si="90"/>
        <v>0</v>
      </c>
    </row>
    <row r="409" spans="11:26" x14ac:dyDescent="0.25">
      <c r="K409" s="105">
        <v>376</v>
      </c>
      <c r="L409">
        <f t="shared" si="97"/>
        <v>0</v>
      </c>
      <c r="M409">
        <f t="shared" si="97"/>
        <v>12</v>
      </c>
      <c r="N409">
        <f t="shared" si="97"/>
        <v>0</v>
      </c>
      <c r="O409">
        <f t="shared" si="97"/>
        <v>78</v>
      </c>
      <c r="P409">
        <f t="shared" si="97"/>
        <v>89</v>
      </c>
      <c r="Q409">
        <f t="shared" si="97"/>
        <v>117</v>
      </c>
      <c r="R409">
        <f t="shared" si="88"/>
        <v>0</v>
      </c>
      <c r="S409">
        <f t="shared" si="96"/>
        <v>0</v>
      </c>
      <c r="T409">
        <f t="shared" si="96"/>
        <v>0</v>
      </c>
      <c r="U409">
        <f t="shared" si="96"/>
        <v>0</v>
      </c>
      <c r="V409" s="108">
        <f t="shared" si="85"/>
        <v>296</v>
      </c>
      <c r="W409" s="26">
        <f t="shared" si="86"/>
        <v>1052</v>
      </c>
      <c r="X409">
        <f t="shared" si="87"/>
        <v>0</v>
      </c>
      <c r="Y409">
        <f t="shared" si="89"/>
        <v>8.7666666666666675</v>
      </c>
      <c r="Z409">
        <f t="shared" si="90"/>
        <v>0</v>
      </c>
    </row>
    <row r="410" spans="11:26" x14ac:dyDescent="0.25">
      <c r="K410" s="105">
        <v>377</v>
      </c>
      <c r="L410">
        <f t="shared" si="97"/>
        <v>0</v>
      </c>
      <c r="M410">
        <f t="shared" si="97"/>
        <v>12</v>
      </c>
      <c r="N410">
        <f t="shared" si="97"/>
        <v>0</v>
      </c>
      <c r="O410">
        <f t="shared" si="97"/>
        <v>78</v>
      </c>
      <c r="P410">
        <f t="shared" si="97"/>
        <v>89</v>
      </c>
      <c r="Q410">
        <f t="shared" si="97"/>
        <v>117</v>
      </c>
      <c r="R410">
        <f t="shared" si="88"/>
        <v>0</v>
      </c>
      <c r="S410">
        <f t="shared" si="96"/>
        <v>0</v>
      </c>
      <c r="T410">
        <f t="shared" si="96"/>
        <v>0</v>
      </c>
      <c r="U410">
        <f t="shared" si="96"/>
        <v>0</v>
      </c>
      <c r="V410" s="108">
        <f t="shared" si="85"/>
        <v>296</v>
      </c>
      <c r="W410" s="26">
        <f t="shared" si="86"/>
        <v>1052</v>
      </c>
      <c r="X410">
        <f t="shared" si="87"/>
        <v>0</v>
      </c>
      <c r="Y410">
        <f t="shared" si="89"/>
        <v>8.7666666666666675</v>
      </c>
      <c r="Z410">
        <f t="shared" si="90"/>
        <v>0</v>
      </c>
    </row>
    <row r="411" spans="11:26" x14ac:dyDescent="0.25">
      <c r="K411" s="105">
        <v>378</v>
      </c>
      <c r="L411">
        <f t="shared" si="97"/>
        <v>0</v>
      </c>
      <c r="M411">
        <f t="shared" si="97"/>
        <v>12</v>
      </c>
      <c r="N411">
        <f t="shared" si="97"/>
        <v>0</v>
      </c>
      <c r="O411">
        <f t="shared" si="97"/>
        <v>78</v>
      </c>
      <c r="P411">
        <f t="shared" si="97"/>
        <v>89</v>
      </c>
      <c r="Q411">
        <f t="shared" si="97"/>
        <v>117</v>
      </c>
      <c r="R411">
        <f t="shared" si="88"/>
        <v>0</v>
      </c>
      <c r="S411">
        <f t="shared" si="96"/>
        <v>0</v>
      </c>
      <c r="T411">
        <f t="shared" si="96"/>
        <v>0</v>
      </c>
      <c r="U411">
        <f t="shared" si="96"/>
        <v>0</v>
      </c>
      <c r="V411" s="108">
        <f t="shared" si="85"/>
        <v>296</v>
      </c>
      <c r="W411" s="26">
        <f t="shared" si="86"/>
        <v>1052</v>
      </c>
      <c r="X411">
        <f t="shared" si="87"/>
        <v>0</v>
      </c>
      <c r="Y411">
        <f t="shared" si="89"/>
        <v>8.7666666666666675</v>
      </c>
      <c r="Z411">
        <f t="shared" si="90"/>
        <v>0</v>
      </c>
    </row>
    <row r="412" spans="11:26" x14ac:dyDescent="0.25">
      <c r="K412" s="105">
        <v>379</v>
      </c>
      <c r="L412">
        <f t="shared" si="97"/>
        <v>0</v>
      </c>
      <c r="M412">
        <f t="shared" si="97"/>
        <v>12</v>
      </c>
      <c r="N412">
        <f t="shared" si="97"/>
        <v>0</v>
      </c>
      <c r="O412">
        <f t="shared" si="97"/>
        <v>78</v>
      </c>
      <c r="P412">
        <f t="shared" si="97"/>
        <v>89</v>
      </c>
      <c r="Q412">
        <f t="shared" si="97"/>
        <v>117</v>
      </c>
      <c r="R412">
        <f t="shared" si="88"/>
        <v>0</v>
      </c>
      <c r="S412">
        <f t="shared" si="96"/>
        <v>0</v>
      </c>
      <c r="T412">
        <f t="shared" si="96"/>
        <v>0</v>
      </c>
      <c r="U412">
        <f t="shared" si="96"/>
        <v>0</v>
      </c>
      <c r="V412" s="108">
        <f t="shared" si="85"/>
        <v>296</v>
      </c>
      <c r="W412" s="26">
        <f t="shared" si="86"/>
        <v>1052</v>
      </c>
      <c r="X412">
        <f t="shared" si="87"/>
        <v>0</v>
      </c>
      <c r="Y412">
        <f t="shared" si="89"/>
        <v>8.7666666666666675</v>
      </c>
      <c r="Z412">
        <f t="shared" si="90"/>
        <v>0</v>
      </c>
    </row>
    <row r="413" spans="11:26" x14ac:dyDescent="0.25">
      <c r="K413" s="105">
        <v>380</v>
      </c>
      <c r="L413">
        <f t="shared" si="97"/>
        <v>0</v>
      </c>
      <c r="M413">
        <f t="shared" si="97"/>
        <v>12</v>
      </c>
      <c r="N413">
        <f t="shared" si="97"/>
        <v>0</v>
      </c>
      <c r="O413">
        <f t="shared" si="97"/>
        <v>78</v>
      </c>
      <c r="P413">
        <f t="shared" si="97"/>
        <v>89</v>
      </c>
      <c r="Q413">
        <f t="shared" si="97"/>
        <v>117</v>
      </c>
      <c r="R413">
        <f t="shared" si="88"/>
        <v>0</v>
      </c>
      <c r="S413">
        <f t="shared" si="96"/>
        <v>0</v>
      </c>
      <c r="T413">
        <f t="shared" si="96"/>
        <v>0</v>
      </c>
      <c r="U413">
        <f t="shared" si="96"/>
        <v>0</v>
      </c>
      <c r="V413" s="108">
        <f t="shared" si="85"/>
        <v>296</v>
      </c>
      <c r="W413" s="26">
        <f t="shared" si="86"/>
        <v>1052</v>
      </c>
      <c r="X413">
        <f t="shared" si="87"/>
        <v>0</v>
      </c>
      <c r="Y413">
        <f t="shared" si="89"/>
        <v>8.7666666666666675</v>
      </c>
      <c r="Z413">
        <f t="shared" si="90"/>
        <v>0</v>
      </c>
    </row>
    <row r="414" spans="11:26" x14ac:dyDescent="0.25">
      <c r="K414" s="105">
        <v>381</v>
      </c>
      <c r="L414">
        <f t="shared" ref="L414:Q423" si="98">IF(MID(DEC2BIN($K414,10),L$32,1)="1",L$33,0)</f>
        <v>0</v>
      </c>
      <c r="M414">
        <f t="shared" si="98"/>
        <v>12</v>
      </c>
      <c r="N414">
        <f t="shared" si="98"/>
        <v>0</v>
      </c>
      <c r="O414">
        <f t="shared" si="98"/>
        <v>78</v>
      </c>
      <c r="P414">
        <f t="shared" si="98"/>
        <v>89</v>
      </c>
      <c r="Q414">
        <f t="shared" si="98"/>
        <v>117</v>
      </c>
      <c r="R414">
        <f t="shared" si="88"/>
        <v>0</v>
      </c>
      <c r="S414">
        <f t="shared" ref="S414:U433" si="99">IF(MID(DEC2BIN($K414,10),S$32,1)="1",S$33,0)</f>
        <v>0</v>
      </c>
      <c r="T414">
        <f t="shared" si="99"/>
        <v>0</v>
      </c>
      <c r="U414">
        <f t="shared" si="99"/>
        <v>0</v>
      </c>
      <c r="V414" s="108">
        <f t="shared" si="85"/>
        <v>296</v>
      </c>
      <c r="W414" s="26">
        <f t="shared" si="86"/>
        <v>1052</v>
      </c>
      <c r="X414">
        <f t="shared" si="87"/>
        <v>0</v>
      </c>
      <c r="Y414">
        <f t="shared" si="89"/>
        <v>8.7666666666666675</v>
      </c>
      <c r="Z414">
        <f t="shared" si="90"/>
        <v>0</v>
      </c>
    </row>
    <row r="415" spans="11:26" x14ac:dyDescent="0.25">
      <c r="K415" s="105">
        <v>382</v>
      </c>
      <c r="L415">
        <f t="shared" si="98"/>
        <v>0</v>
      </c>
      <c r="M415">
        <f t="shared" si="98"/>
        <v>12</v>
      </c>
      <c r="N415">
        <f t="shared" si="98"/>
        <v>0</v>
      </c>
      <c r="O415">
        <f t="shared" si="98"/>
        <v>78</v>
      </c>
      <c r="P415">
        <f t="shared" si="98"/>
        <v>89</v>
      </c>
      <c r="Q415">
        <f t="shared" si="98"/>
        <v>117</v>
      </c>
      <c r="R415">
        <f t="shared" si="88"/>
        <v>0</v>
      </c>
      <c r="S415">
        <f t="shared" si="99"/>
        <v>0</v>
      </c>
      <c r="T415">
        <f t="shared" si="99"/>
        <v>0</v>
      </c>
      <c r="U415">
        <f t="shared" si="99"/>
        <v>0</v>
      </c>
      <c r="V415" s="108">
        <f t="shared" si="85"/>
        <v>296</v>
      </c>
      <c r="W415" s="26">
        <f t="shared" si="86"/>
        <v>1052</v>
      </c>
      <c r="X415">
        <f t="shared" si="87"/>
        <v>0</v>
      </c>
      <c r="Y415">
        <f t="shared" si="89"/>
        <v>8.7666666666666675</v>
      </c>
      <c r="Z415">
        <f t="shared" si="90"/>
        <v>0</v>
      </c>
    </row>
    <row r="416" spans="11:26" x14ac:dyDescent="0.25">
      <c r="K416" s="105">
        <v>383</v>
      </c>
      <c r="L416">
        <f t="shared" si="98"/>
        <v>0</v>
      </c>
      <c r="M416">
        <f t="shared" si="98"/>
        <v>12</v>
      </c>
      <c r="N416">
        <f t="shared" si="98"/>
        <v>0</v>
      </c>
      <c r="O416">
        <f t="shared" si="98"/>
        <v>78</v>
      </c>
      <c r="P416">
        <f t="shared" si="98"/>
        <v>89</v>
      </c>
      <c r="Q416">
        <f t="shared" si="98"/>
        <v>117</v>
      </c>
      <c r="R416">
        <f t="shared" si="88"/>
        <v>0</v>
      </c>
      <c r="S416">
        <f t="shared" si="99"/>
        <v>0</v>
      </c>
      <c r="T416">
        <f t="shared" si="99"/>
        <v>0</v>
      </c>
      <c r="U416">
        <f t="shared" si="99"/>
        <v>0</v>
      </c>
      <c r="V416" s="108">
        <f t="shared" si="85"/>
        <v>296</v>
      </c>
      <c r="W416" s="26">
        <f t="shared" si="86"/>
        <v>1052</v>
      </c>
      <c r="X416">
        <f t="shared" si="87"/>
        <v>0</v>
      </c>
      <c r="Y416">
        <f t="shared" si="89"/>
        <v>8.7666666666666675</v>
      </c>
      <c r="Z416">
        <f t="shared" si="90"/>
        <v>0</v>
      </c>
    </row>
    <row r="417" spans="11:26" x14ac:dyDescent="0.25">
      <c r="K417" s="105">
        <v>384</v>
      </c>
      <c r="L417">
        <f t="shared" si="98"/>
        <v>0</v>
      </c>
      <c r="M417">
        <f t="shared" si="98"/>
        <v>12</v>
      </c>
      <c r="N417">
        <f t="shared" si="98"/>
        <v>104</v>
      </c>
      <c r="O417">
        <f t="shared" si="98"/>
        <v>0</v>
      </c>
      <c r="P417">
        <f t="shared" si="98"/>
        <v>0</v>
      </c>
      <c r="Q417">
        <f t="shared" si="98"/>
        <v>0</v>
      </c>
      <c r="R417">
        <f t="shared" si="88"/>
        <v>0</v>
      </c>
      <c r="S417">
        <f t="shared" si="99"/>
        <v>0</v>
      </c>
      <c r="T417">
        <f t="shared" si="99"/>
        <v>0</v>
      </c>
      <c r="U417">
        <f t="shared" si="99"/>
        <v>0</v>
      </c>
      <c r="V417" s="108">
        <f t="shared" si="85"/>
        <v>116</v>
      </c>
      <c r="W417" s="26">
        <f t="shared" si="86"/>
        <v>1232</v>
      </c>
      <c r="X417">
        <f t="shared" si="87"/>
        <v>0</v>
      </c>
      <c r="Y417">
        <f t="shared" si="89"/>
        <v>10.266666666666667</v>
      </c>
      <c r="Z417">
        <f t="shared" si="90"/>
        <v>0</v>
      </c>
    </row>
    <row r="418" spans="11:26" x14ac:dyDescent="0.25">
      <c r="K418" s="105">
        <v>385</v>
      </c>
      <c r="L418">
        <f t="shared" si="98"/>
        <v>0</v>
      </c>
      <c r="M418">
        <f t="shared" si="98"/>
        <v>12</v>
      </c>
      <c r="N418">
        <f t="shared" si="98"/>
        <v>104</v>
      </c>
      <c r="O418">
        <f t="shared" si="98"/>
        <v>0</v>
      </c>
      <c r="P418">
        <f t="shared" si="98"/>
        <v>0</v>
      </c>
      <c r="Q418">
        <f t="shared" si="98"/>
        <v>0</v>
      </c>
      <c r="R418">
        <f t="shared" si="88"/>
        <v>0</v>
      </c>
      <c r="S418">
        <f t="shared" si="99"/>
        <v>0</v>
      </c>
      <c r="T418">
        <f t="shared" si="99"/>
        <v>0</v>
      </c>
      <c r="U418">
        <f t="shared" si="99"/>
        <v>0</v>
      </c>
      <c r="V418" s="108">
        <f t="shared" ref="V418:V481" si="100">SUM(L418:U418)</f>
        <v>116</v>
      </c>
      <c r="W418" s="26">
        <f t="shared" ref="W418:W481" si="101">$M$31-V418</f>
        <v>1232</v>
      </c>
      <c r="X418">
        <f t="shared" ref="X418:X481" si="102">IF(W418=0,1,0)</f>
        <v>0</v>
      </c>
      <c r="Y418">
        <f t="shared" si="89"/>
        <v>10.266666666666667</v>
      </c>
      <c r="Z418">
        <f t="shared" si="90"/>
        <v>0</v>
      </c>
    </row>
    <row r="419" spans="11:26" x14ac:dyDescent="0.25">
      <c r="K419" s="105">
        <v>386</v>
      </c>
      <c r="L419">
        <f t="shared" si="98"/>
        <v>0</v>
      </c>
      <c r="M419">
        <f t="shared" si="98"/>
        <v>12</v>
      </c>
      <c r="N419">
        <f t="shared" si="98"/>
        <v>104</v>
      </c>
      <c r="O419">
        <f t="shared" si="98"/>
        <v>0</v>
      </c>
      <c r="P419">
        <f t="shared" si="98"/>
        <v>0</v>
      </c>
      <c r="Q419">
        <f t="shared" si="98"/>
        <v>0</v>
      </c>
      <c r="R419">
        <f t="shared" ref="R419:R482" si="103">IF(MID(DEC2BIN($K419,10),R$32,1)="1",R$33,0)</f>
        <v>0</v>
      </c>
      <c r="S419">
        <f t="shared" si="99"/>
        <v>0</v>
      </c>
      <c r="T419">
        <f t="shared" si="99"/>
        <v>0</v>
      </c>
      <c r="U419">
        <f t="shared" si="99"/>
        <v>0</v>
      </c>
      <c r="V419" s="108">
        <f t="shared" si="100"/>
        <v>116</v>
      </c>
      <c r="W419" s="26">
        <f t="shared" si="101"/>
        <v>1232</v>
      </c>
      <c r="X419">
        <f t="shared" si="102"/>
        <v>0</v>
      </c>
      <c r="Y419">
        <f t="shared" ref="Y419:Y482" si="104">W419/$Y$32</f>
        <v>10.266666666666667</v>
      </c>
      <c r="Z419">
        <f t="shared" ref="Z419:Z482" si="105">IF(INT(Y419)=Y419,1,0)</f>
        <v>0</v>
      </c>
    </row>
    <row r="420" spans="11:26" x14ac:dyDescent="0.25">
      <c r="K420" s="105">
        <v>387</v>
      </c>
      <c r="L420">
        <f t="shared" si="98"/>
        <v>0</v>
      </c>
      <c r="M420">
        <f t="shared" si="98"/>
        <v>12</v>
      </c>
      <c r="N420">
        <f t="shared" si="98"/>
        <v>104</v>
      </c>
      <c r="O420">
        <f t="shared" si="98"/>
        <v>0</v>
      </c>
      <c r="P420">
        <f t="shared" si="98"/>
        <v>0</v>
      </c>
      <c r="Q420">
        <f t="shared" si="98"/>
        <v>0</v>
      </c>
      <c r="R420">
        <f t="shared" si="103"/>
        <v>0</v>
      </c>
      <c r="S420">
        <f t="shared" si="99"/>
        <v>0</v>
      </c>
      <c r="T420">
        <f t="shared" si="99"/>
        <v>0</v>
      </c>
      <c r="U420">
        <f t="shared" si="99"/>
        <v>0</v>
      </c>
      <c r="V420" s="108">
        <f t="shared" si="100"/>
        <v>116</v>
      </c>
      <c r="W420" s="26">
        <f t="shared" si="101"/>
        <v>1232</v>
      </c>
      <c r="X420">
        <f t="shared" si="102"/>
        <v>0</v>
      </c>
      <c r="Y420">
        <f t="shared" si="104"/>
        <v>10.266666666666667</v>
      </c>
      <c r="Z420">
        <f t="shared" si="105"/>
        <v>0</v>
      </c>
    </row>
    <row r="421" spans="11:26" x14ac:dyDescent="0.25">
      <c r="K421" s="105">
        <v>388</v>
      </c>
      <c r="L421">
        <f t="shared" si="98"/>
        <v>0</v>
      </c>
      <c r="M421">
        <f t="shared" si="98"/>
        <v>12</v>
      </c>
      <c r="N421">
        <f t="shared" si="98"/>
        <v>104</v>
      </c>
      <c r="O421">
        <f t="shared" si="98"/>
        <v>0</v>
      </c>
      <c r="P421">
        <f t="shared" si="98"/>
        <v>0</v>
      </c>
      <c r="Q421">
        <f t="shared" si="98"/>
        <v>0</v>
      </c>
      <c r="R421">
        <f t="shared" si="103"/>
        <v>0</v>
      </c>
      <c r="S421">
        <f t="shared" si="99"/>
        <v>0</v>
      </c>
      <c r="T421">
        <f t="shared" si="99"/>
        <v>0</v>
      </c>
      <c r="U421">
        <f t="shared" si="99"/>
        <v>0</v>
      </c>
      <c r="V421" s="108">
        <f t="shared" si="100"/>
        <v>116</v>
      </c>
      <c r="W421" s="26">
        <f t="shared" si="101"/>
        <v>1232</v>
      </c>
      <c r="X421">
        <f t="shared" si="102"/>
        <v>0</v>
      </c>
      <c r="Y421">
        <f t="shared" si="104"/>
        <v>10.266666666666667</v>
      </c>
      <c r="Z421">
        <f t="shared" si="105"/>
        <v>0</v>
      </c>
    </row>
    <row r="422" spans="11:26" x14ac:dyDescent="0.25">
      <c r="K422" s="105">
        <v>389</v>
      </c>
      <c r="L422">
        <f t="shared" si="98"/>
        <v>0</v>
      </c>
      <c r="M422">
        <f t="shared" si="98"/>
        <v>12</v>
      </c>
      <c r="N422">
        <f t="shared" si="98"/>
        <v>104</v>
      </c>
      <c r="O422">
        <f t="shared" si="98"/>
        <v>0</v>
      </c>
      <c r="P422">
        <f t="shared" si="98"/>
        <v>0</v>
      </c>
      <c r="Q422">
        <f t="shared" si="98"/>
        <v>0</v>
      </c>
      <c r="R422">
        <f t="shared" si="103"/>
        <v>0</v>
      </c>
      <c r="S422">
        <f t="shared" si="99"/>
        <v>0</v>
      </c>
      <c r="T422">
        <f t="shared" si="99"/>
        <v>0</v>
      </c>
      <c r="U422">
        <f t="shared" si="99"/>
        <v>0</v>
      </c>
      <c r="V422" s="108">
        <f t="shared" si="100"/>
        <v>116</v>
      </c>
      <c r="W422" s="26">
        <f t="shared" si="101"/>
        <v>1232</v>
      </c>
      <c r="X422">
        <f t="shared" si="102"/>
        <v>0</v>
      </c>
      <c r="Y422">
        <f t="shared" si="104"/>
        <v>10.266666666666667</v>
      </c>
      <c r="Z422">
        <f t="shared" si="105"/>
        <v>0</v>
      </c>
    </row>
    <row r="423" spans="11:26" x14ac:dyDescent="0.25">
      <c r="K423" s="105">
        <v>390</v>
      </c>
      <c r="L423">
        <f t="shared" si="98"/>
        <v>0</v>
      </c>
      <c r="M423">
        <f t="shared" si="98"/>
        <v>12</v>
      </c>
      <c r="N423">
        <f t="shared" si="98"/>
        <v>104</v>
      </c>
      <c r="O423">
        <f t="shared" si="98"/>
        <v>0</v>
      </c>
      <c r="P423">
        <f t="shared" si="98"/>
        <v>0</v>
      </c>
      <c r="Q423">
        <f t="shared" si="98"/>
        <v>0</v>
      </c>
      <c r="R423">
        <f t="shared" si="103"/>
        <v>0</v>
      </c>
      <c r="S423">
        <f t="shared" si="99"/>
        <v>0</v>
      </c>
      <c r="T423">
        <f t="shared" si="99"/>
        <v>0</v>
      </c>
      <c r="U423">
        <f t="shared" si="99"/>
        <v>0</v>
      </c>
      <c r="V423" s="108">
        <f t="shared" si="100"/>
        <v>116</v>
      </c>
      <c r="W423" s="26">
        <f t="shared" si="101"/>
        <v>1232</v>
      </c>
      <c r="X423">
        <f t="shared" si="102"/>
        <v>0</v>
      </c>
      <c r="Y423">
        <f t="shared" si="104"/>
        <v>10.266666666666667</v>
      </c>
      <c r="Z423">
        <f t="shared" si="105"/>
        <v>0</v>
      </c>
    </row>
    <row r="424" spans="11:26" x14ac:dyDescent="0.25">
      <c r="K424" s="105">
        <v>391</v>
      </c>
      <c r="L424">
        <f t="shared" ref="L424:Q433" si="106">IF(MID(DEC2BIN($K424,10),L$32,1)="1",L$33,0)</f>
        <v>0</v>
      </c>
      <c r="M424">
        <f t="shared" si="106"/>
        <v>12</v>
      </c>
      <c r="N424">
        <f t="shared" si="106"/>
        <v>104</v>
      </c>
      <c r="O424">
        <f t="shared" si="106"/>
        <v>0</v>
      </c>
      <c r="P424">
        <f t="shared" si="106"/>
        <v>0</v>
      </c>
      <c r="Q424">
        <f t="shared" si="106"/>
        <v>0</v>
      </c>
      <c r="R424">
        <f t="shared" si="103"/>
        <v>0</v>
      </c>
      <c r="S424">
        <f t="shared" si="99"/>
        <v>0</v>
      </c>
      <c r="T424">
        <f t="shared" si="99"/>
        <v>0</v>
      </c>
      <c r="U424">
        <f t="shared" si="99"/>
        <v>0</v>
      </c>
      <c r="V424" s="108">
        <f t="shared" si="100"/>
        <v>116</v>
      </c>
      <c r="W424" s="26">
        <f t="shared" si="101"/>
        <v>1232</v>
      </c>
      <c r="X424">
        <f t="shared" si="102"/>
        <v>0</v>
      </c>
      <c r="Y424">
        <f t="shared" si="104"/>
        <v>10.266666666666667</v>
      </c>
      <c r="Z424">
        <f t="shared" si="105"/>
        <v>0</v>
      </c>
    </row>
    <row r="425" spans="11:26" x14ac:dyDescent="0.25">
      <c r="K425" s="105">
        <v>392</v>
      </c>
      <c r="L425">
        <f t="shared" si="106"/>
        <v>0</v>
      </c>
      <c r="M425">
        <f t="shared" si="106"/>
        <v>12</v>
      </c>
      <c r="N425">
        <f t="shared" si="106"/>
        <v>104</v>
      </c>
      <c r="O425">
        <f t="shared" si="106"/>
        <v>0</v>
      </c>
      <c r="P425">
        <f t="shared" si="106"/>
        <v>0</v>
      </c>
      <c r="Q425">
        <f t="shared" si="106"/>
        <v>0</v>
      </c>
      <c r="R425">
        <f t="shared" si="103"/>
        <v>0</v>
      </c>
      <c r="S425">
        <f t="shared" si="99"/>
        <v>0</v>
      </c>
      <c r="T425">
        <f t="shared" si="99"/>
        <v>0</v>
      </c>
      <c r="U425">
        <f t="shared" si="99"/>
        <v>0</v>
      </c>
      <c r="V425" s="108">
        <f t="shared" si="100"/>
        <v>116</v>
      </c>
      <c r="W425" s="26">
        <f t="shared" si="101"/>
        <v>1232</v>
      </c>
      <c r="X425">
        <f t="shared" si="102"/>
        <v>0</v>
      </c>
      <c r="Y425">
        <f t="shared" si="104"/>
        <v>10.266666666666667</v>
      </c>
      <c r="Z425">
        <f t="shared" si="105"/>
        <v>0</v>
      </c>
    </row>
    <row r="426" spans="11:26" x14ac:dyDescent="0.25">
      <c r="K426" s="105">
        <v>393</v>
      </c>
      <c r="L426">
        <f t="shared" si="106"/>
        <v>0</v>
      </c>
      <c r="M426">
        <f t="shared" si="106"/>
        <v>12</v>
      </c>
      <c r="N426">
        <f t="shared" si="106"/>
        <v>104</v>
      </c>
      <c r="O426">
        <f t="shared" si="106"/>
        <v>0</v>
      </c>
      <c r="P426">
        <f t="shared" si="106"/>
        <v>0</v>
      </c>
      <c r="Q426">
        <f t="shared" si="106"/>
        <v>0</v>
      </c>
      <c r="R426">
        <f t="shared" si="103"/>
        <v>0</v>
      </c>
      <c r="S426">
        <f t="shared" si="99"/>
        <v>0</v>
      </c>
      <c r="T426">
        <f t="shared" si="99"/>
        <v>0</v>
      </c>
      <c r="U426">
        <f t="shared" si="99"/>
        <v>0</v>
      </c>
      <c r="V426" s="108">
        <f t="shared" si="100"/>
        <v>116</v>
      </c>
      <c r="W426" s="26">
        <f t="shared" si="101"/>
        <v>1232</v>
      </c>
      <c r="X426">
        <f t="shared" si="102"/>
        <v>0</v>
      </c>
      <c r="Y426">
        <f t="shared" si="104"/>
        <v>10.266666666666667</v>
      </c>
      <c r="Z426">
        <f t="shared" si="105"/>
        <v>0</v>
      </c>
    </row>
    <row r="427" spans="11:26" x14ac:dyDescent="0.25">
      <c r="K427" s="105">
        <v>394</v>
      </c>
      <c r="L427">
        <f t="shared" si="106"/>
        <v>0</v>
      </c>
      <c r="M427">
        <f t="shared" si="106"/>
        <v>12</v>
      </c>
      <c r="N427">
        <f t="shared" si="106"/>
        <v>104</v>
      </c>
      <c r="O427">
        <f t="shared" si="106"/>
        <v>0</v>
      </c>
      <c r="P427">
        <f t="shared" si="106"/>
        <v>0</v>
      </c>
      <c r="Q427">
        <f t="shared" si="106"/>
        <v>0</v>
      </c>
      <c r="R427">
        <f t="shared" si="103"/>
        <v>0</v>
      </c>
      <c r="S427">
        <f t="shared" si="99"/>
        <v>0</v>
      </c>
      <c r="T427">
        <f t="shared" si="99"/>
        <v>0</v>
      </c>
      <c r="U427">
        <f t="shared" si="99"/>
        <v>0</v>
      </c>
      <c r="V427" s="108">
        <f t="shared" si="100"/>
        <v>116</v>
      </c>
      <c r="W427" s="26">
        <f t="shared" si="101"/>
        <v>1232</v>
      </c>
      <c r="X427">
        <f t="shared" si="102"/>
        <v>0</v>
      </c>
      <c r="Y427">
        <f t="shared" si="104"/>
        <v>10.266666666666667</v>
      </c>
      <c r="Z427">
        <f t="shared" si="105"/>
        <v>0</v>
      </c>
    </row>
    <row r="428" spans="11:26" x14ac:dyDescent="0.25">
      <c r="K428" s="105">
        <v>395</v>
      </c>
      <c r="L428">
        <f t="shared" si="106"/>
        <v>0</v>
      </c>
      <c r="M428">
        <f t="shared" si="106"/>
        <v>12</v>
      </c>
      <c r="N428">
        <f t="shared" si="106"/>
        <v>104</v>
      </c>
      <c r="O428">
        <f t="shared" si="106"/>
        <v>0</v>
      </c>
      <c r="P428">
        <f t="shared" si="106"/>
        <v>0</v>
      </c>
      <c r="Q428">
        <f t="shared" si="106"/>
        <v>0</v>
      </c>
      <c r="R428">
        <f t="shared" si="103"/>
        <v>0</v>
      </c>
      <c r="S428">
        <f t="shared" si="99"/>
        <v>0</v>
      </c>
      <c r="T428">
        <f t="shared" si="99"/>
        <v>0</v>
      </c>
      <c r="U428">
        <f t="shared" si="99"/>
        <v>0</v>
      </c>
      <c r="V428" s="108">
        <f t="shared" si="100"/>
        <v>116</v>
      </c>
      <c r="W428" s="26">
        <f t="shared" si="101"/>
        <v>1232</v>
      </c>
      <c r="X428">
        <f t="shared" si="102"/>
        <v>0</v>
      </c>
      <c r="Y428">
        <f t="shared" si="104"/>
        <v>10.266666666666667</v>
      </c>
      <c r="Z428">
        <f t="shared" si="105"/>
        <v>0</v>
      </c>
    </row>
    <row r="429" spans="11:26" x14ac:dyDescent="0.25">
      <c r="K429" s="105">
        <v>396</v>
      </c>
      <c r="L429">
        <f t="shared" si="106"/>
        <v>0</v>
      </c>
      <c r="M429">
        <f t="shared" si="106"/>
        <v>12</v>
      </c>
      <c r="N429">
        <f t="shared" si="106"/>
        <v>104</v>
      </c>
      <c r="O429">
        <f t="shared" si="106"/>
        <v>0</v>
      </c>
      <c r="P429">
        <f t="shared" si="106"/>
        <v>0</v>
      </c>
      <c r="Q429">
        <f t="shared" si="106"/>
        <v>0</v>
      </c>
      <c r="R429">
        <f t="shared" si="103"/>
        <v>0</v>
      </c>
      <c r="S429">
        <f t="shared" si="99"/>
        <v>0</v>
      </c>
      <c r="T429">
        <f t="shared" si="99"/>
        <v>0</v>
      </c>
      <c r="U429">
        <f t="shared" si="99"/>
        <v>0</v>
      </c>
      <c r="V429" s="108">
        <f t="shared" si="100"/>
        <v>116</v>
      </c>
      <c r="W429" s="26">
        <f t="shared" si="101"/>
        <v>1232</v>
      </c>
      <c r="X429">
        <f t="shared" si="102"/>
        <v>0</v>
      </c>
      <c r="Y429">
        <f t="shared" si="104"/>
        <v>10.266666666666667</v>
      </c>
      <c r="Z429">
        <f t="shared" si="105"/>
        <v>0</v>
      </c>
    </row>
    <row r="430" spans="11:26" x14ac:dyDescent="0.25">
      <c r="K430" s="105">
        <v>397</v>
      </c>
      <c r="L430">
        <f t="shared" si="106"/>
        <v>0</v>
      </c>
      <c r="M430">
        <f t="shared" si="106"/>
        <v>12</v>
      </c>
      <c r="N430">
        <f t="shared" si="106"/>
        <v>104</v>
      </c>
      <c r="O430">
        <f t="shared" si="106"/>
        <v>0</v>
      </c>
      <c r="P430">
        <f t="shared" si="106"/>
        <v>0</v>
      </c>
      <c r="Q430">
        <f t="shared" si="106"/>
        <v>0</v>
      </c>
      <c r="R430">
        <f t="shared" si="103"/>
        <v>0</v>
      </c>
      <c r="S430">
        <f t="shared" si="99"/>
        <v>0</v>
      </c>
      <c r="T430">
        <f t="shared" si="99"/>
        <v>0</v>
      </c>
      <c r="U430">
        <f t="shared" si="99"/>
        <v>0</v>
      </c>
      <c r="V430" s="108">
        <f t="shared" si="100"/>
        <v>116</v>
      </c>
      <c r="W430" s="26">
        <f t="shared" si="101"/>
        <v>1232</v>
      </c>
      <c r="X430">
        <f t="shared" si="102"/>
        <v>0</v>
      </c>
      <c r="Y430">
        <f t="shared" si="104"/>
        <v>10.266666666666667</v>
      </c>
      <c r="Z430">
        <f t="shared" si="105"/>
        <v>0</v>
      </c>
    </row>
    <row r="431" spans="11:26" x14ac:dyDescent="0.25">
      <c r="K431" s="105">
        <v>398</v>
      </c>
      <c r="L431">
        <f t="shared" si="106"/>
        <v>0</v>
      </c>
      <c r="M431">
        <f t="shared" si="106"/>
        <v>12</v>
      </c>
      <c r="N431">
        <f t="shared" si="106"/>
        <v>104</v>
      </c>
      <c r="O431">
        <f t="shared" si="106"/>
        <v>0</v>
      </c>
      <c r="P431">
        <f t="shared" si="106"/>
        <v>0</v>
      </c>
      <c r="Q431">
        <f t="shared" si="106"/>
        <v>0</v>
      </c>
      <c r="R431">
        <f t="shared" si="103"/>
        <v>0</v>
      </c>
      <c r="S431">
        <f t="shared" si="99"/>
        <v>0</v>
      </c>
      <c r="T431">
        <f t="shared" si="99"/>
        <v>0</v>
      </c>
      <c r="U431">
        <f t="shared" si="99"/>
        <v>0</v>
      </c>
      <c r="V431" s="108">
        <f t="shared" si="100"/>
        <v>116</v>
      </c>
      <c r="W431" s="26">
        <f t="shared" si="101"/>
        <v>1232</v>
      </c>
      <c r="X431">
        <f t="shared" si="102"/>
        <v>0</v>
      </c>
      <c r="Y431">
        <f t="shared" si="104"/>
        <v>10.266666666666667</v>
      </c>
      <c r="Z431">
        <f t="shared" si="105"/>
        <v>0</v>
      </c>
    </row>
    <row r="432" spans="11:26" x14ac:dyDescent="0.25">
      <c r="K432" s="105">
        <v>399</v>
      </c>
      <c r="L432">
        <f t="shared" si="106"/>
        <v>0</v>
      </c>
      <c r="M432">
        <f t="shared" si="106"/>
        <v>12</v>
      </c>
      <c r="N432">
        <f t="shared" si="106"/>
        <v>104</v>
      </c>
      <c r="O432">
        <f t="shared" si="106"/>
        <v>0</v>
      </c>
      <c r="P432">
        <f t="shared" si="106"/>
        <v>0</v>
      </c>
      <c r="Q432">
        <f t="shared" si="106"/>
        <v>0</v>
      </c>
      <c r="R432">
        <f t="shared" si="103"/>
        <v>0</v>
      </c>
      <c r="S432">
        <f t="shared" si="99"/>
        <v>0</v>
      </c>
      <c r="T432">
        <f t="shared" si="99"/>
        <v>0</v>
      </c>
      <c r="U432">
        <f t="shared" si="99"/>
        <v>0</v>
      </c>
      <c r="V432" s="108">
        <f t="shared" si="100"/>
        <v>116</v>
      </c>
      <c r="W432" s="26">
        <f t="shared" si="101"/>
        <v>1232</v>
      </c>
      <c r="X432">
        <f t="shared" si="102"/>
        <v>0</v>
      </c>
      <c r="Y432">
        <f t="shared" si="104"/>
        <v>10.266666666666667</v>
      </c>
      <c r="Z432">
        <f t="shared" si="105"/>
        <v>0</v>
      </c>
    </row>
    <row r="433" spans="11:26" x14ac:dyDescent="0.25">
      <c r="K433" s="105">
        <v>400</v>
      </c>
      <c r="L433">
        <f t="shared" si="106"/>
        <v>0</v>
      </c>
      <c r="M433">
        <f t="shared" si="106"/>
        <v>12</v>
      </c>
      <c r="N433">
        <f t="shared" si="106"/>
        <v>104</v>
      </c>
      <c r="O433">
        <f t="shared" si="106"/>
        <v>0</v>
      </c>
      <c r="P433">
        <f t="shared" si="106"/>
        <v>0</v>
      </c>
      <c r="Q433">
        <f t="shared" si="106"/>
        <v>117</v>
      </c>
      <c r="R433">
        <f t="shared" si="103"/>
        <v>0</v>
      </c>
      <c r="S433">
        <f t="shared" si="99"/>
        <v>0</v>
      </c>
      <c r="T433">
        <f t="shared" si="99"/>
        <v>0</v>
      </c>
      <c r="U433">
        <f t="shared" si="99"/>
        <v>0</v>
      </c>
      <c r="V433" s="108">
        <f t="shared" si="100"/>
        <v>233</v>
      </c>
      <c r="W433" s="26">
        <f t="shared" si="101"/>
        <v>1115</v>
      </c>
      <c r="X433">
        <f t="shared" si="102"/>
        <v>0</v>
      </c>
      <c r="Y433">
        <f t="shared" si="104"/>
        <v>9.2916666666666661</v>
      </c>
      <c r="Z433">
        <f t="shared" si="105"/>
        <v>0</v>
      </c>
    </row>
    <row r="434" spans="11:26" x14ac:dyDescent="0.25">
      <c r="K434" s="105">
        <v>401</v>
      </c>
      <c r="L434">
        <f t="shared" ref="L434:Q443" si="107">IF(MID(DEC2BIN($K434,10),L$32,1)="1",L$33,0)</f>
        <v>0</v>
      </c>
      <c r="M434">
        <f t="shared" si="107"/>
        <v>12</v>
      </c>
      <c r="N434">
        <f t="shared" si="107"/>
        <v>104</v>
      </c>
      <c r="O434">
        <f t="shared" si="107"/>
        <v>0</v>
      </c>
      <c r="P434">
        <f t="shared" si="107"/>
        <v>0</v>
      </c>
      <c r="Q434">
        <f t="shared" si="107"/>
        <v>117</v>
      </c>
      <c r="R434">
        <f t="shared" si="103"/>
        <v>0</v>
      </c>
      <c r="S434">
        <f t="shared" ref="S434:U453" si="108">IF(MID(DEC2BIN($K434,10),S$32,1)="1",S$33,0)</f>
        <v>0</v>
      </c>
      <c r="T434">
        <f t="shared" si="108"/>
        <v>0</v>
      </c>
      <c r="U434">
        <f t="shared" si="108"/>
        <v>0</v>
      </c>
      <c r="V434" s="108">
        <f t="shared" si="100"/>
        <v>233</v>
      </c>
      <c r="W434" s="26">
        <f t="shared" si="101"/>
        <v>1115</v>
      </c>
      <c r="X434">
        <f t="shared" si="102"/>
        <v>0</v>
      </c>
      <c r="Y434">
        <f t="shared" si="104"/>
        <v>9.2916666666666661</v>
      </c>
      <c r="Z434">
        <f t="shared" si="105"/>
        <v>0</v>
      </c>
    </row>
    <row r="435" spans="11:26" x14ac:dyDescent="0.25">
      <c r="K435" s="105">
        <v>402</v>
      </c>
      <c r="L435">
        <f t="shared" si="107"/>
        <v>0</v>
      </c>
      <c r="M435">
        <f t="shared" si="107"/>
        <v>12</v>
      </c>
      <c r="N435">
        <f t="shared" si="107"/>
        <v>104</v>
      </c>
      <c r="O435">
        <f t="shared" si="107"/>
        <v>0</v>
      </c>
      <c r="P435">
        <f t="shared" si="107"/>
        <v>0</v>
      </c>
      <c r="Q435">
        <f t="shared" si="107"/>
        <v>117</v>
      </c>
      <c r="R435">
        <f t="shared" si="103"/>
        <v>0</v>
      </c>
      <c r="S435">
        <f t="shared" si="108"/>
        <v>0</v>
      </c>
      <c r="T435">
        <f t="shared" si="108"/>
        <v>0</v>
      </c>
      <c r="U435">
        <f t="shared" si="108"/>
        <v>0</v>
      </c>
      <c r="V435" s="108">
        <f t="shared" si="100"/>
        <v>233</v>
      </c>
      <c r="W435" s="26">
        <f t="shared" si="101"/>
        <v>1115</v>
      </c>
      <c r="X435">
        <f t="shared" si="102"/>
        <v>0</v>
      </c>
      <c r="Y435">
        <f t="shared" si="104"/>
        <v>9.2916666666666661</v>
      </c>
      <c r="Z435">
        <f t="shared" si="105"/>
        <v>0</v>
      </c>
    </row>
    <row r="436" spans="11:26" x14ac:dyDescent="0.25">
      <c r="K436" s="105">
        <v>403</v>
      </c>
      <c r="L436">
        <f t="shared" si="107"/>
        <v>0</v>
      </c>
      <c r="M436">
        <f t="shared" si="107"/>
        <v>12</v>
      </c>
      <c r="N436">
        <f t="shared" si="107"/>
        <v>104</v>
      </c>
      <c r="O436">
        <f t="shared" si="107"/>
        <v>0</v>
      </c>
      <c r="P436">
        <f t="shared" si="107"/>
        <v>0</v>
      </c>
      <c r="Q436">
        <f t="shared" si="107"/>
        <v>117</v>
      </c>
      <c r="R436">
        <f t="shared" si="103"/>
        <v>0</v>
      </c>
      <c r="S436">
        <f t="shared" si="108"/>
        <v>0</v>
      </c>
      <c r="T436">
        <f t="shared" si="108"/>
        <v>0</v>
      </c>
      <c r="U436">
        <f t="shared" si="108"/>
        <v>0</v>
      </c>
      <c r="V436" s="108">
        <f t="shared" si="100"/>
        <v>233</v>
      </c>
      <c r="W436" s="26">
        <f t="shared" si="101"/>
        <v>1115</v>
      </c>
      <c r="X436">
        <f t="shared" si="102"/>
        <v>0</v>
      </c>
      <c r="Y436">
        <f t="shared" si="104"/>
        <v>9.2916666666666661</v>
      </c>
      <c r="Z436">
        <f t="shared" si="105"/>
        <v>0</v>
      </c>
    </row>
    <row r="437" spans="11:26" x14ac:dyDescent="0.25">
      <c r="K437" s="105">
        <v>404</v>
      </c>
      <c r="L437">
        <f t="shared" si="107"/>
        <v>0</v>
      </c>
      <c r="M437">
        <f t="shared" si="107"/>
        <v>12</v>
      </c>
      <c r="N437">
        <f t="shared" si="107"/>
        <v>104</v>
      </c>
      <c r="O437">
        <f t="shared" si="107"/>
        <v>0</v>
      </c>
      <c r="P437">
        <f t="shared" si="107"/>
        <v>0</v>
      </c>
      <c r="Q437">
        <f t="shared" si="107"/>
        <v>117</v>
      </c>
      <c r="R437">
        <f t="shared" si="103"/>
        <v>0</v>
      </c>
      <c r="S437">
        <f t="shared" si="108"/>
        <v>0</v>
      </c>
      <c r="T437">
        <f t="shared" si="108"/>
        <v>0</v>
      </c>
      <c r="U437">
        <f t="shared" si="108"/>
        <v>0</v>
      </c>
      <c r="V437" s="108">
        <f t="shared" si="100"/>
        <v>233</v>
      </c>
      <c r="W437" s="26">
        <f t="shared" si="101"/>
        <v>1115</v>
      </c>
      <c r="X437">
        <f t="shared" si="102"/>
        <v>0</v>
      </c>
      <c r="Y437">
        <f t="shared" si="104"/>
        <v>9.2916666666666661</v>
      </c>
      <c r="Z437">
        <f t="shared" si="105"/>
        <v>0</v>
      </c>
    </row>
    <row r="438" spans="11:26" x14ac:dyDescent="0.25">
      <c r="K438" s="105">
        <v>405</v>
      </c>
      <c r="L438">
        <f t="shared" si="107"/>
        <v>0</v>
      </c>
      <c r="M438">
        <f t="shared" si="107"/>
        <v>12</v>
      </c>
      <c r="N438">
        <f t="shared" si="107"/>
        <v>104</v>
      </c>
      <c r="O438">
        <f t="shared" si="107"/>
        <v>0</v>
      </c>
      <c r="P438">
        <f t="shared" si="107"/>
        <v>0</v>
      </c>
      <c r="Q438">
        <f t="shared" si="107"/>
        <v>117</v>
      </c>
      <c r="R438">
        <f t="shared" si="103"/>
        <v>0</v>
      </c>
      <c r="S438">
        <f t="shared" si="108"/>
        <v>0</v>
      </c>
      <c r="T438">
        <f t="shared" si="108"/>
        <v>0</v>
      </c>
      <c r="U438">
        <f t="shared" si="108"/>
        <v>0</v>
      </c>
      <c r="V438" s="108">
        <f t="shared" si="100"/>
        <v>233</v>
      </c>
      <c r="W438" s="26">
        <f t="shared" si="101"/>
        <v>1115</v>
      </c>
      <c r="X438">
        <f t="shared" si="102"/>
        <v>0</v>
      </c>
      <c r="Y438">
        <f t="shared" si="104"/>
        <v>9.2916666666666661</v>
      </c>
      <c r="Z438">
        <f t="shared" si="105"/>
        <v>0</v>
      </c>
    </row>
    <row r="439" spans="11:26" x14ac:dyDescent="0.25">
      <c r="K439" s="105">
        <v>406</v>
      </c>
      <c r="L439">
        <f t="shared" si="107"/>
        <v>0</v>
      </c>
      <c r="M439">
        <f t="shared" si="107"/>
        <v>12</v>
      </c>
      <c r="N439">
        <f t="shared" si="107"/>
        <v>104</v>
      </c>
      <c r="O439">
        <f t="shared" si="107"/>
        <v>0</v>
      </c>
      <c r="P439">
        <f t="shared" si="107"/>
        <v>0</v>
      </c>
      <c r="Q439">
        <f t="shared" si="107"/>
        <v>117</v>
      </c>
      <c r="R439">
        <f t="shared" si="103"/>
        <v>0</v>
      </c>
      <c r="S439">
        <f t="shared" si="108"/>
        <v>0</v>
      </c>
      <c r="T439">
        <f t="shared" si="108"/>
        <v>0</v>
      </c>
      <c r="U439">
        <f t="shared" si="108"/>
        <v>0</v>
      </c>
      <c r="V439" s="108">
        <f t="shared" si="100"/>
        <v>233</v>
      </c>
      <c r="W439" s="26">
        <f t="shared" si="101"/>
        <v>1115</v>
      </c>
      <c r="X439">
        <f t="shared" si="102"/>
        <v>0</v>
      </c>
      <c r="Y439">
        <f t="shared" si="104"/>
        <v>9.2916666666666661</v>
      </c>
      <c r="Z439">
        <f t="shared" si="105"/>
        <v>0</v>
      </c>
    </row>
    <row r="440" spans="11:26" x14ac:dyDescent="0.25">
      <c r="K440" s="105">
        <v>407</v>
      </c>
      <c r="L440">
        <f t="shared" si="107"/>
        <v>0</v>
      </c>
      <c r="M440">
        <f t="shared" si="107"/>
        <v>12</v>
      </c>
      <c r="N440">
        <f t="shared" si="107"/>
        <v>104</v>
      </c>
      <c r="O440">
        <f t="shared" si="107"/>
        <v>0</v>
      </c>
      <c r="P440">
        <f t="shared" si="107"/>
        <v>0</v>
      </c>
      <c r="Q440">
        <f t="shared" si="107"/>
        <v>117</v>
      </c>
      <c r="R440">
        <f t="shared" si="103"/>
        <v>0</v>
      </c>
      <c r="S440">
        <f t="shared" si="108"/>
        <v>0</v>
      </c>
      <c r="T440">
        <f t="shared" si="108"/>
        <v>0</v>
      </c>
      <c r="U440">
        <f t="shared" si="108"/>
        <v>0</v>
      </c>
      <c r="V440" s="108">
        <f t="shared" si="100"/>
        <v>233</v>
      </c>
      <c r="W440" s="26">
        <f t="shared" si="101"/>
        <v>1115</v>
      </c>
      <c r="X440">
        <f t="shared" si="102"/>
        <v>0</v>
      </c>
      <c r="Y440">
        <f t="shared" si="104"/>
        <v>9.2916666666666661</v>
      </c>
      <c r="Z440">
        <f t="shared" si="105"/>
        <v>0</v>
      </c>
    </row>
    <row r="441" spans="11:26" x14ac:dyDescent="0.25">
      <c r="K441" s="105">
        <v>408</v>
      </c>
      <c r="L441">
        <f t="shared" si="107"/>
        <v>0</v>
      </c>
      <c r="M441">
        <f t="shared" si="107"/>
        <v>12</v>
      </c>
      <c r="N441">
        <f t="shared" si="107"/>
        <v>104</v>
      </c>
      <c r="O441">
        <f t="shared" si="107"/>
        <v>0</v>
      </c>
      <c r="P441">
        <f t="shared" si="107"/>
        <v>0</v>
      </c>
      <c r="Q441">
        <f t="shared" si="107"/>
        <v>117</v>
      </c>
      <c r="R441">
        <f t="shared" si="103"/>
        <v>0</v>
      </c>
      <c r="S441">
        <f t="shared" si="108"/>
        <v>0</v>
      </c>
      <c r="T441">
        <f t="shared" si="108"/>
        <v>0</v>
      </c>
      <c r="U441">
        <f t="shared" si="108"/>
        <v>0</v>
      </c>
      <c r="V441" s="108">
        <f t="shared" si="100"/>
        <v>233</v>
      </c>
      <c r="W441" s="26">
        <f t="shared" si="101"/>
        <v>1115</v>
      </c>
      <c r="X441">
        <f t="shared" si="102"/>
        <v>0</v>
      </c>
      <c r="Y441">
        <f t="shared" si="104"/>
        <v>9.2916666666666661</v>
      </c>
      <c r="Z441">
        <f t="shared" si="105"/>
        <v>0</v>
      </c>
    </row>
    <row r="442" spans="11:26" x14ac:dyDescent="0.25">
      <c r="K442" s="105">
        <v>409</v>
      </c>
      <c r="L442">
        <f t="shared" si="107"/>
        <v>0</v>
      </c>
      <c r="M442">
        <f t="shared" si="107"/>
        <v>12</v>
      </c>
      <c r="N442">
        <f t="shared" si="107"/>
        <v>104</v>
      </c>
      <c r="O442">
        <f t="shared" si="107"/>
        <v>0</v>
      </c>
      <c r="P442">
        <f t="shared" si="107"/>
        <v>0</v>
      </c>
      <c r="Q442">
        <f t="shared" si="107"/>
        <v>117</v>
      </c>
      <c r="R442">
        <f t="shared" si="103"/>
        <v>0</v>
      </c>
      <c r="S442">
        <f t="shared" si="108"/>
        <v>0</v>
      </c>
      <c r="T442">
        <f t="shared" si="108"/>
        <v>0</v>
      </c>
      <c r="U442">
        <f t="shared" si="108"/>
        <v>0</v>
      </c>
      <c r="V442" s="108">
        <f t="shared" si="100"/>
        <v>233</v>
      </c>
      <c r="W442" s="26">
        <f t="shared" si="101"/>
        <v>1115</v>
      </c>
      <c r="X442">
        <f t="shared" si="102"/>
        <v>0</v>
      </c>
      <c r="Y442">
        <f t="shared" si="104"/>
        <v>9.2916666666666661</v>
      </c>
      <c r="Z442">
        <f t="shared" si="105"/>
        <v>0</v>
      </c>
    </row>
    <row r="443" spans="11:26" x14ac:dyDescent="0.25">
      <c r="K443" s="105">
        <v>410</v>
      </c>
      <c r="L443">
        <f t="shared" si="107"/>
        <v>0</v>
      </c>
      <c r="M443">
        <f t="shared" si="107"/>
        <v>12</v>
      </c>
      <c r="N443">
        <f t="shared" si="107"/>
        <v>104</v>
      </c>
      <c r="O443">
        <f t="shared" si="107"/>
        <v>0</v>
      </c>
      <c r="P443">
        <f t="shared" si="107"/>
        <v>0</v>
      </c>
      <c r="Q443">
        <f t="shared" si="107"/>
        <v>117</v>
      </c>
      <c r="R443">
        <f t="shared" si="103"/>
        <v>0</v>
      </c>
      <c r="S443">
        <f t="shared" si="108"/>
        <v>0</v>
      </c>
      <c r="T443">
        <f t="shared" si="108"/>
        <v>0</v>
      </c>
      <c r="U443">
        <f t="shared" si="108"/>
        <v>0</v>
      </c>
      <c r="V443" s="108">
        <f t="shared" si="100"/>
        <v>233</v>
      </c>
      <c r="W443" s="26">
        <f t="shared" si="101"/>
        <v>1115</v>
      </c>
      <c r="X443">
        <f t="shared" si="102"/>
        <v>0</v>
      </c>
      <c r="Y443">
        <f t="shared" si="104"/>
        <v>9.2916666666666661</v>
      </c>
      <c r="Z443">
        <f t="shared" si="105"/>
        <v>0</v>
      </c>
    </row>
    <row r="444" spans="11:26" x14ac:dyDescent="0.25">
      <c r="K444" s="105">
        <v>411</v>
      </c>
      <c r="L444">
        <f t="shared" ref="L444:Q453" si="109">IF(MID(DEC2BIN($K444,10),L$32,1)="1",L$33,0)</f>
        <v>0</v>
      </c>
      <c r="M444">
        <f t="shared" si="109"/>
        <v>12</v>
      </c>
      <c r="N444">
        <f t="shared" si="109"/>
        <v>104</v>
      </c>
      <c r="O444">
        <f t="shared" si="109"/>
        <v>0</v>
      </c>
      <c r="P444">
        <f t="shared" si="109"/>
        <v>0</v>
      </c>
      <c r="Q444">
        <f t="shared" si="109"/>
        <v>117</v>
      </c>
      <c r="R444">
        <f t="shared" si="103"/>
        <v>0</v>
      </c>
      <c r="S444">
        <f t="shared" si="108"/>
        <v>0</v>
      </c>
      <c r="T444">
        <f t="shared" si="108"/>
        <v>0</v>
      </c>
      <c r="U444">
        <f t="shared" si="108"/>
        <v>0</v>
      </c>
      <c r="V444" s="108">
        <f t="shared" si="100"/>
        <v>233</v>
      </c>
      <c r="W444" s="26">
        <f t="shared" si="101"/>
        <v>1115</v>
      </c>
      <c r="X444">
        <f t="shared" si="102"/>
        <v>0</v>
      </c>
      <c r="Y444">
        <f t="shared" si="104"/>
        <v>9.2916666666666661</v>
      </c>
      <c r="Z444">
        <f t="shared" si="105"/>
        <v>0</v>
      </c>
    </row>
    <row r="445" spans="11:26" x14ac:dyDescent="0.25">
      <c r="K445" s="105">
        <v>412</v>
      </c>
      <c r="L445">
        <f t="shared" si="109"/>
        <v>0</v>
      </c>
      <c r="M445">
        <f t="shared" si="109"/>
        <v>12</v>
      </c>
      <c r="N445">
        <f t="shared" si="109"/>
        <v>104</v>
      </c>
      <c r="O445">
        <f t="shared" si="109"/>
        <v>0</v>
      </c>
      <c r="P445">
        <f t="shared" si="109"/>
        <v>0</v>
      </c>
      <c r="Q445">
        <f t="shared" si="109"/>
        <v>117</v>
      </c>
      <c r="R445">
        <f t="shared" si="103"/>
        <v>0</v>
      </c>
      <c r="S445">
        <f t="shared" si="108"/>
        <v>0</v>
      </c>
      <c r="T445">
        <f t="shared" si="108"/>
        <v>0</v>
      </c>
      <c r="U445">
        <f t="shared" si="108"/>
        <v>0</v>
      </c>
      <c r="V445" s="108">
        <f t="shared" si="100"/>
        <v>233</v>
      </c>
      <c r="W445" s="26">
        <f t="shared" si="101"/>
        <v>1115</v>
      </c>
      <c r="X445">
        <f t="shared" si="102"/>
        <v>0</v>
      </c>
      <c r="Y445">
        <f t="shared" si="104"/>
        <v>9.2916666666666661</v>
      </c>
      <c r="Z445">
        <f t="shared" si="105"/>
        <v>0</v>
      </c>
    </row>
    <row r="446" spans="11:26" x14ac:dyDescent="0.25">
      <c r="K446" s="105">
        <v>413</v>
      </c>
      <c r="L446">
        <f t="shared" si="109"/>
        <v>0</v>
      </c>
      <c r="M446">
        <f t="shared" si="109"/>
        <v>12</v>
      </c>
      <c r="N446">
        <f t="shared" si="109"/>
        <v>104</v>
      </c>
      <c r="O446">
        <f t="shared" si="109"/>
        <v>0</v>
      </c>
      <c r="P446">
        <f t="shared" si="109"/>
        <v>0</v>
      </c>
      <c r="Q446">
        <f t="shared" si="109"/>
        <v>117</v>
      </c>
      <c r="R446">
        <f t="shared" si="103"/>
        <v>0</v>
      </c>
      <c r="S446">
        <f t="shared" si="108"/>
        <v>0</v>
      </c>
      <c r="T446">
        <f t="shared" si="108"/>
        <v>0</v>
      </c>
      <c r="U446">
        <f t="shared" si="108"/>
        <v>0</v>
      </c>
      <c r="V446" s="108">
        <f t="shared" si="100"/>
        <v>233</v>
      </c>
      <c r="W446" s="26">
        <f t="shared" si="101"/>
        <v>1115</v>
      </c>
      <c r="X446">
        <f t="shared" si="102"/>
        <v>0</v>
      </c>
      <c r="Y446">
        <f t="shared" si="104"/>
        <v>9.2916666666666661</v>
      </c>
      <c r="Z446">
        <f t="shared" si="105"/>
        <v>0</v>
      </c>
    </row>
    <row r="447" spans="11:26" x14ac:dyDescent="0.25">
      <c r="K447" s="105">
        <v>414</v>
      </c>
      <c r="L447">
        <f t="shared" si="109"/>
        <v>0</v>
      </c>
      <c r="M447">
        <f t="shared" si="109"/>
        <v>12</v>
      </c>
      <c r="N447">
        <f t="shared" si="109"/>
        <v>104</v>
      </c>
      <c r="O447">
        <f t="shared" si="109"/>
        <v>0</v>
      </c>
      <c r="P447">
        <f t="shared" si="109"/>
        <v>0</v>
      </c>
      <c r="Q447">
        <f t="shared" si="109"/>
        <v>117</v>
      </c>
      <c r="R447">
        <f t="shared" si="103"/>
        <v>0</v>
      </c>
      <c r="S447">
        <f t="shared" si="108"/>
        <v>0</v>
      </c>
      <c r="T447">
        <f t="shared" si="108"/>
        <v>0</v>
      </c>
      <c r="U447">
        <f t="shared" si="108"/>
        <v>0</v>
      </c>
      <c r="V447" s="108">
        <f t="shared" si="100"/>
        <v>233</v>
      </c>
      <c r="W447" s="26">
        <f t="shared" si="101"/>
        <v>1115</v>
      </c>
      <c r="X447">
        <f t="shared" si="102"/>
        <v>0</v>
      </c>
      <c r="Y447">
        <f t="shared" si="104"/>
        <v>9.2916666666666661</v>
      </c>
      <c r="Z447">
        <f t="shared" si="105"/>
        <v>0</v>
      </c>
    </row>
    <row r="448" spans="11:26" x14ac:dyDescent="0.25">
      <c r="K448" s="105">
        <v>415</v>
      </c>
      <c r="L448">
        <f t="shared" si="109"/>
        <v>0</v>
      </c>
      <c r="M448">
        <f t="shared" si="109"/>
        <v>12</v>
      </c>
      <c r="N448">
        <f t="shared" si="109"/>
        <v>104</v>
      </c>
      <c r="O448">
        <f t="shared" si="109"/>
        <v>0</v>
      </c>
      <c r="P448">
        <f t="shared" si="109"/>
        <v>0</v>
      </c>
      <c r="Q448">
        <f t="shared" si="109"/>
        <v>117</v>
      </c>
      <c r="R448">
        <f t="shared" si="103"/>
        <v>0</v>
      </c>
      <c r="S448">
        <f t="shared" si="108"/>
        <v>0</v>
      </c>
      <c r="T448">
        <f t="shared" si="108"/>
        <v>0</v>
      </c>
      <c r="U448">
        <f t="shared" si="108"/>
        <v>0</v>
      </c>
      <c r="V448" s="108">
        <f t="shared" si="100"/>
        <v>233</v>
      </c>
      <c r="W448" s="26">
        <f t="shared" si="101"/>
        <v>1115</v>
      </c>
      <c r="X448">
        <f t="shared" si="102"/>
        <v>0</v>
      </c>
      <c r="Y448">
        <f t="shared" si="104"/>
        <v>9.2916666666666661</v>
      </c>
      <c r="Z448">
        <f t="shared" si="105"/>
        <v>0</v>
      </c>
    </row>
    <row r="449" spans="11:26" x14ac:dyDescent="0.25">
      <c r="K449" s="105">
        <v>416</v>
      </c>
      <c r="L449">
        <f t="shared" si="109"/>
        <v>0</v>
      </c>
      <c r="M449">
        <f t="shared" si="109"/>
        <v>12</v>
      </c>
      <c r="N449">
        <f t="shared" si="109"/>
        <v>104</v>
      </c>
      <c r="O449">
        <f t="shared" si="109"/>
        <v>0</v>
      </c>
      <c r="P449">
        <f t="shared" si="109"/>
        <v>89</v>
      </c>
      <c r="Q449">
        <f t="shared" si="109"/>
        <v>0</v>
      </c>
      <c r="R449">
        <f t="shared" si="103"/>
        <v>0</v>
      </c>
      <c r="S449">
        <f t="shared" si="108"/>
        <v>0</v>
      </c>
      <c r="T449">
        <f t="shared" si="108"/>
        <v>0</v>
      </c>
      <c r="U449">
        <f t="shared" si="108"/>
        <v>0</v>
      </c>
      <c r="V449" s="108">
        <f t="shared" si="100"/>
        <v>205</v>
      </c>
      <c r="W449" s="26">
        <f t="shared" si="101"/>
        <v>1143</v>
      </c>
      <c r="X449">
        <f t="shared" si="102"/>
        <v>0</v>
      </c>
      <c r="Y449">
        <f t="shared" si="104"/>
        <v>9.5250000000000004</v>
      </c>
      <c r="Z449">
        <f t="shared" si="105"/>
        <v>0</v>
      </c>
    </row>
    <row r="450" spans="11:26" x14ac:dyDescent="0.25">
      <c r="K450" s="105">
        <v>417</v>
      </c>
      <c r="L450">
        <f t="shared" si="109"/>
        <v>0</v>
      </c>
      <c r="M450">
        <f t="shared" si="109"/>
        <v>12</v>
      </c>
      <c r="N450">
        <f t="shared" si="109"/>
        <v>104</v>
      </c>
      <c r="O450">
        <f t="shared" si="109"/>
        <v>0</v>
      </c>
      <c r="P450">
        <f t="shared" si="109"/>
        <v>89</v>
      </c>
      <c r="Q450">
        <f t="shared" si="109"/>
        <v>0</v>
      </c>
      <c r="R450">
        <f t="shared" si="103"/>
        <v>0</v>
      </c>
      <c r="S450">
        <f t="shared" si="108"/>
        <v>0</v>
      </c>
      <c r="T450">
        <f t="shared" si="108"/>
        <v>0</v>
      </c>
      <c r="U450">
        <f t="shared" si="108"/>
        <v>0</v>
      </c>
      <c r="V450" s="108">
        <f t="shared" si="100"/>
        <v>205</v>
      </c>
      <c r="W450" s="26">
        <f t="shared" si="101"/>
        <v>1143</v>
      </c>
      <c r="X450">
        <f t="shared" si="102"/>
        <v>0</v>
      </c>
      <c r="Y450">
        <f t="shared" si="104"/>
        <v>9.5250000000000004</v>
      </c>
      <c r="Z450">
        <f t="shared" si="105"/>
        <v>0</v>
      </c>
    </row>
    <row r="451" spans="11:26" x14ac:dyDescent="0.25">
      <c r="K451" s="105">
        <v>418</v>
      </c>
      <c r="L451">
        <f t="shared" si="109"/>
        <v>0</v>
      </c>
      <c r="M451">
        <f t="shared" si="109"/>
        <v>12</v>
      </c>
      <c r="N451">
        <f t="shared" si="109"/>
        <v>104</v>
      </c>
      <c r="O451">
        <f t="shared" si="109"/>
        <v>0</v>
      </c>
      <c r="P451">
        <f t="shared" si="109"/>
        <v>89</v>
      </c>
      <c r="Q451">
        <f t="shared" si="109"/>
        <v>0</v>
      </c>
      <c r="R451">
        <f t="shared" si="103"/>
        <v>0</v>
      </c>
      <c r="S451">
        <f t="shared" si="108"/>
        <v>0</v>
      </c>
      <c r="T451">
        <f t="shared" si="108"/>
        <v>0</v>
      </c>
      <c r="U451">
        <f t="shared" si="108"/>
        <v>0</v>
      </c>
      <c r="V451" s="108">
        <f t="shared" si="100"/>
        <v>205</v>
      </c>
      <c r="W451" s="26">
        <f t="shared" si="101"/>
        <v>1143</v>
      </c>
      <c r="X451">
        <f t="shared" si="102"/>
        <v>0</v>
      </c>
      <c r="Y451">
        <f t="shared" si="104"/>
        <v>9.5250000000000004</v>
      </c>
      <c r="Z451">
        <f t="shared" si="105"/>
        <v>0</v>
      </c>
    </row>
    <row r="452" spans="11:26" x14ac:dyDescent="0.25">
      <c r="K452" s="105">
        <v>419</v>
      </c>
      <c r="L452">
        <f t="shared" si="109"/>
        <v>0</v>
      </c>
      <c r="M452">
        <f t="shared" si="109"/>
        <v>12</v>
      </c>
      <c r="N452">
        <f t="shared" si="109"/>
        <v>104</v>
      </c>
      <c r="O452">
        <f t="shared" si="109"/>
        <v>0</v>
      </c>
      <c r="P452">
        <f t="shared" si="109"/>
        <v>89</v>
      </c>
      <c r="Q452">
        <f t="shared" si="109"/>
        <v>0</v>
      </c>
      <c r="R452">
        <f t="shared" si="103"/>
        <v>0</v>
      </c>
      <c r="S452">
        <f t="shared" si="108"/>
        <v>0</v>
      </c>
      <c r="T452">
        <f t="shared" si="108"/>
        <v>0</v>
      </c>
      <c r="U452">
        <f t="shared" si="108"/>
        <v>0</v>
      </c>
      <c r="V452" s="108">
        <f t="shared" si="100"/>
        <v>205</v>
      </c>
      <c r="W452" s="26">
        <f t="shared" si="101"/>
        <v>1143</v>
      </c>
      <c r="X452">
        <f t="shared" si="102"/>
        <v>0</v>
      </c>
      <c r="Y452">
        <f t="shared" si="104"/>
        <v>9.5250000000000004</v>
      </c>
      <c r="Z452">
        <f t="shared" si="105"/>
        <v>0</v>
      </c>
    </row>
    <row r="453" spans="11:26" x14ac:dyDescent="0.25">
      <c r="K453" s="105">
        <v>420</v>
      </c>
      <c r="L453">
        <f t="shared" si="109"/>
        <v>0</v>
      </c>
      <c r="M453">
        <f t="shared" si="109"/>
        <v>12</v>
      </c>
      <c r="N453">
        <f t="shared" si="109"/>
        <v>104</v>
      </c>
      <c r="O453">
        <f t="shared" si="109"/>
        <v>0</v>
      </c>
      <c r="P453">
        <f t="shared" si="109"/>
        <v>89</v>
      </c>
      <c r="Q453">
        <f t="shared" si="109"/>
        <v>0</v>
      </c>
      <c r="R453">
        <f t="shared" si="103"/>
        <v>0</v>
      </c>
      <c r="S453">
        <f t="shared" si="108"/>
        <v>0</v>
      </c>
      <c r="T453">
        <f t="shared" si="108"/>
        <v>0</v>
      </c>
      <c r="U453">
        <f t="shared" si="108"/>
        <v>0</v>
      </c>
      <c r="V453" s="108">
        <f t="shared" si="100"/>
        <v>205</v>
      </c>
      <c r="W453" s="26">
        <f t="shared" si="101"/>
        <v>1143</v>
      </c>
      <c r="X453">
        <f t="shared" si="102"/>
        <v>0</v>
      </c>
      <c r="Y453">
        <f t="shared" si="104"/>
        <v>9.5250000000000004</v>
      </c>
      <c r="Z453">
        <f t="shared" si="105"/>
        <v>0</v>
      </c>
    </row>
    <row r="454" spans="11:26" x14ac:dyDescent="0.25">
      <c r="K454" s="105">
        <v>421</v>
      </c>
      <c r="L454">
        <f t="shared" ref="L454:Q463" si="110">IF(MID(DEC2BIN($K454,10),L$32,1)="1",L$33,0)</f>
        <v>0</v>
      </c>
      <c r="M454">
        <f t="shared" si="110"/>
        <v>12</v>
      </c>
      <c r="N454">
        <f t="shared" si="110"/>
        <v>104</v>
      </c>
      <c r="O454">
        <f t="shared" si="110"/>
        <v>0</v>
      </c>
      <c r="P454">
        <f t="shared" si="110"/>
        <v>89</v>
      </c>
      <c r="Q454">
        <f t="shared" si="110"/>
        <v>0</v>
      </c>
      <c r="R454">
        <f t="shared" si="103"/>
        <v>0</v>
      </c>
      <c r="S454">
        <f t="shared" ref="S454:U473" si="111">IF(MID(DEC2BIN($K454,10),S$32,1)="1",S$33,0)</f>
        <v>0</v>
      </c>
      <c r="T454">
        <f t="shared" si="111"/>
        <v>0</v>
      </c>
      <c r="U454">
        <f t="shared" si="111"/>
        <v>0</v>
      </c>
      <c r="V454" s="108">
        <f t="shared" si="100"/>
        <v>205</v>
      </c>
      <c r="W454" s="26">
        <f t="shared" si="101"/>
        <v>1143</v>
      </c>
      <c r="X454">
        <f t="shared" si="102"/>
        <v>0</v>
      </c>
      <c r="Y454">
        <f t="shared" si="104"/>
        <v>9.5250000000000004</v>
      </c>
      <c r="Z454">
        <f t="shared" si="105"/>
        <v>0</v>
      </c>
    </row>
    <row r="455" spans="11:26" x14ac:dyDescent="0.25">
      <c r="K455" s="105">
        <v>422</v>
      </c>
      <c r="L455">
        <f t="shared" si="110"/>
        <v>0</v>
      </c>
      <c r="M455">
        <f t="shared" si="110"/>
        <v>12</v>
      </c>
      <c r="N455">
        <f t="shared" si="110"/>
        <v>104</v>
      </c>
      <c r="O455">
        <f t="shared" si="110"/>
        <v>0</v>
      </c>
      <c r="P455">
        <f t="shared" si="110"/>
        <v>89</v>
      </c>
      <c r="Q455">
        <f t="shared" si="110"/>
        <v>0</v>
      </c>
      <c r="R455">
        <f t="shared" si="103"/>
        <v>0</v>
      </c>
      <c r="S455">
        <f t="shared" si="111"/>
        <v>0</v>
      </c>
      <c r="T455">
        <f t="shared" si="111"/>
        <v>0</v>
      </c>
      <c r="U455">
        <f t="shared" si="111"/>
        <v>0</v>
      </c>
      <c r="V455" s="108">
        <f t="shared" si="100"/>
        <v>205</v>
      </c>
      <c r="W455" s="26">
        <f t="shared" si="101"/>
        <v>1143</v>
      </c>
      <c r="X455">
        <f t="shared" si="102"/>
        <v>0</v>
      </c>
      <c r="Y455">
        <f t="shared" si="104"/>
        <v>9.5250000000000004</v>
      </c>
      <c r="Z455">
        <f t="shared" si="105"/>
        <v>0</v>
      </c>
    </row>
    <row r="456" spans="11:26" x14ac:dyDescent="0.25">
      <c r="K456" s="105">
        <v>423</v>
      </c>
      <c r="L456">
        <f t="shared" si="110"/>
        <v>0</v>
      </c>
      <c r="M456">
        <f t="shared" si="110"/>
        <v>12</v>
      </c>
      <c r="N456">
        <f t="shared" si="110"/>
        <v>104</v>
      </c>
      <c r="O456">
        <f t="shared" si="110"/>
        <v>0</v>
      </c>
      <c r="P456">
        <f t="shared" si="110"/>
        <v>89</v>
      </c>
      <c r="Q456">
        <f t="shared" si="110"/>
        <v>0</v>
      </c>
      <c r="R456">
        <f t="shared" si="103"/>
        <v>0</v>
      </c>
      <c r="S456">
        <f t="shared" si="111"/>
        <v>0</v>
      </c>
      <c r="T456">
        <f t="shared" si="111"/>
        <v>0</v>
      </c>
      <c r="U456">
        <f t="shared" si="111"/>
        <v>0</v>
      </c>
      <c r="V456" s="108">
        <f t="shared" si="100"/>
        <v>205</v>
      </c>
      <c r="W456" s="26">
        <f t="shared" si="101"/>
        <v>1143</v>
      </c>
      <c r="X456">
        <f t="shared" si="102"/>
        <v>0</v>
      </c>
      <c r="Y456">
        <f t="shared" si="104"/>
        <v>9.5250000000000004</v>
      </c>
      <c r="Z456">
        <f t="shared" si="105"/>
        <v>0</v>
      </c>
    </row>
    <row r="457" spans="11:26" x14ac:dyDescent="0.25">
      <c r="K457" s="105">
        <v>424</v>
      </c>
      <c r="L457">
        <f t="shared" si="110"/>
        <v>0</v>
      </c>
      <c r="M457">
        <f t="shared" si="110"/>
        <v>12</v>
      </c>
      <c r="N457">
        <f t="shared" si="110"/>
        <v>104</v>
      </c>
      <c r="O457">
        <f t="shared" si="110"/>
        <v>0</v>
      </c>
      <c r="P457">
        <f t="shared" si="110"/>
        <v>89</v>
      </c>
      <c r="Q457">
        <f t="shared" si="110"/>
        <v>0</v>
      </c>
      <c r="R457">
        <f t="shared" si="103"/>
        <v>0</v>
      </c>
      <c r="S457">
        <f t="shared" si="111"/>
        <v>0</v>
      </c>
      <c r="T457">
        <f t="shared" si="111"/>
        <v>0</v>
      </c>
      <c r="U457">
        <f t="shared" si="111"/>
        <v>0</v>
      </c>
      <c r="V457" s="108">
        <f t="shared" si="100"/>
        <v>205</v>
      </c>
      <c r="W457" s="26">
        <f t="shared" si="101"/>
        <v>1143</v>
      </c>
      <c r="X457">
        <f t="shared" si="102"/>
        <v>0</v>
      </c>
      <c r="Y457">
        <f t="shared" si="104"/>
        <v>9.5250000000000004</v>
      </c>
      <c r="Z457">
        <f t="shared" si="105"/>
        <v>0</v>
      </c>
    </row>
    <row r="458" spans="11:26" x14ac:dyDescent="0.25">
      <c r="K458" s="105">
        <v>425</v>
      </c>
      <c r="L458">
        <f t="shared" si="110"/>
        <v>0</v>
      </c>
      <c r="M458">
        <f t="shared" si="110"/>
        <v>12</v>
      </c>
      <c r="N458">
        <f t="shared" si="110"/>
        <v>104</v>
      </c>
      <c r="O458">
        <f t="shared" si="110"/>
        <v>0</v>
      </c>
      <c r="P458">
        <f t="shared" si="110"/>
        <v>89</v>
      </c>
      <c r="Q458">
        <f t="shared" si="110"/>
        <v>0</v>
      </c>
      <c r="R458">
        <f t="shared" si="103"/>
        <v>0</v>
      </c>
      <c r="S458">
        <f t="shared" si="111"/>
        <v>0</v>
      </c>
      <c r="T458">
        <f t="shared" si="111"/>
        <v>0</v>
      </c>
      <c r="U458">
        <f t="shared" si="111"/>
        <v>0</v>
      </c>
      <c r="V458" s="108">
        <f t="shared" si="100"/>
        <v>205</v>
      </c>
      <c r="W458" s="26">
        <f t="shared" si="101"/>
        <v>1143</v>
      </c>
      <c r="X458">
        <f t="shared" si="102"/>
        <v>0</v>
      </c>
      <c r="Y458">
        <f t="shared" si="104"/>
        <v>9.5250000000000004</v>
      </c>
      <c r="Z458">
        <f t="shared" si="105"/>
        <v>0</v>
      </c>
    </row>
    <row r="459" spans="11:26" x14ac:dyDescent="0.25">
      <c r="K459" s="105">
        <v>426</v>
      </c>
      <c r="L459">
        <f t="shared" si="110"/>
        <v>0</v>
      </c>
      <c r="M459">
        <f t="shared" si="110"/>
        <v>12</v>
      </c>
      <c r="N459">
        <f t="shared" si="110"/>
        <v>104</v>
      </c>
      <c r="O459">
        <f t="shared" si="110"/>
        <v>0</v>
      </c>
      <c r="P459">
        <f t="shared" si="110"/>
        <v>89</v>
      </c>
      <c r="Q459">
        <f t="shared" si="110"/>
        <v>0</v>
      </c>
      <c r="R459">
        <f t="shared" si="103"/>
        <v>0</v>
      </c>
      <c r="S459">
        <f t="shared" si="111"/>
        <v>0</v>
      </c>
      <c r="T459">
        <f t="shared" si="111"/>
        <v>0</v>
      </c>
      <c r="U459">
        <f t="shared" si="111"/>
        <v>0</v>
      </c>
      <c r="V459" s="108">
        <f t="shared" si="100"/>
        <v>205</v>
      </c>
      <c r="W459" s="26">
        <f t="shared" si="101"/>
        <v>1143</v>
      </c>
      <c r="X459">
        <f t="shared" si="102"/>
        <v>0</v>
      </c>
      <c r="Y459">
        <f t="shared" si="104"/>
        <v>9.5250000000000004</v>
      </c>
      <c r="Z459">
        <f t="shared" si="105"/>
        <v>0</v>
      </c>
    </row>
    <row r="460" spans="11:26" x14ac:dyDescent="0.25">
      <c r="K460" s="105">
        <v>427</v>
      </c>
      <c r="L460">
        <f t="shared" si="110"/>
        <v>0</v>
      </c>
      <c r="M460">
        <f t="shared" si="110"/>
        <v>12</v>
      </c>
      <c r="N460">
        <f t="shared" si="110"/>
        <v>104</v>
      </c>
      <c r="O460">
        <f t="shared" si="110"/>
        <v>0</v>
      </c>
      <c r="P460">
        <f t="shared" si="110"/>
        <v>89</v>
      </c>
      <c r="Q460">
        <f t="shared" si="110"/>
        <v>0</v>
      </c>
      <c r="R460">
        <f t="shared" si="103"/>
        <v>0</v>
      </c>
      <c r="S460">
        <f t="shared" si="111"/>
        <v>0</v>
      </c>
      <c r="T460">
        <f t="shared" si="111"/>
        <v>0</v>
      </c>
      <c r="U460">
        <f t="shared" si="111"/>
        <v>0</v>
      </c>
      <c r="V460" s="108">
        <f t="shared" si="100"/>
        <v>205</v>
      </c>
      <c r="W460" s="26">
        <f t="shared" si="101"/>
        <v>1143</v>
      </c>
      <c r="X460">
        <f t="shared" si="102"/>
        <v>0</v>
      </c>
      <c r="Y460">
        <f t="shared" si="104"/>
        <v>9.5250000000000004</v>
      </c>
      <c r="Z460">
        <f t="shared" si="105"/>
        <v>0</v>
      </c>
    </row>
    <row r="461" spans="11:26" x14ac:dyDescent="0.25">
      <c r="K461" s="105">
        <v>428</v>
      </c>
      <c r="L461">
        <f t="shared" si="110"/>
        <v>0</v>
      </c>
      <c r="M461">
        <f t="shared" si="110"/>
        <v>12</v>
      </c>
      <c r="N461">
        <f t="shared" si="110"/>
        <v>104</v>
      </c>
      <c r="O461">
        <f t="shared" si="110"/>
        <v>0</v>
      </c>
      <c r="P461">
        <f t="shared" si="110"/>
        <v>89</v>
      </c>
      <c r="Q461">
        <f t="shared" si="110"/>
        <v>0</v>
      </c>
      <c r="R461">
        <f t="shared" si="103"/>
        <v>0</v>
      </c>
      <c r="S461">
        <f t="shared" si="111"/>
        <v>0</v>
      </c>
      <c r="T461">
        <f t="shared" si="111"/>
        <v>0</v>
      </c>
      <c r="U461">
        <f t="shared" si="111"/>
        <v>0</v>
      </c>
      <c r="V461" s="108">
        <f t="shared" si="100"/>
        <v>205</v>
      </c>
      <c r="W461" s="26">
        <f t="shared" si="101"/>
        <v>1143</v>
      </c>
      <c r="X461">
        <f t="shared" si="102"/>
        <v>0</v>
      </c>
      <c r="Y461">
        <f t="shared" si="104"/>
        <v>9.5250000000000004</v>
      </c>
      <c r="Z461">
        <f t="shared" si="105"/>
        <v>0</v>
      </c>
    </row>
    <row r="462" spans="11:26" x14ac:dyDescent="0.25">
      <c r="K462" s="105">
        <v>429</v>
      </c>
      <c r="L462">
        <f t="shared" si="110"/>
        <v>0</v>
      </c>
      <c r="M462">
        <f t="shared" si="110"/>
        <v>12</v>
      </c>
      <c r="N462">
        <f t="shared" si="110"/>
        <v>104</v>
      </c>
      <c r="O462">
        <f t="shared" si="110"/>
        <v>0</v>
      </c>
      <c r="P462">
        <f t="shared" si="110"/>
        <v>89</v>
      </c>
      <c r="Q462">
        <f t="shared" si="110"/>
        <v>0</v>
      </c>
      <c r="R462">
        <f t="shared" si="103"/>
        <v>0</v>
      </c>
      <c r="S462">
        <f t="shared" si="111"/>
        <v>0</v>
      </c>
      <c r="T462">
        <f t="shared" si="111"/>
        <v>0</v>
      </c>
      <c r="U462">
        <f t="shared" si="111"/>
        <v>0</v>
      </c>
      <c r="V462" s="108">
        <f t="shared" si="100"/>
        <v>205</v>
      </c>
      <c r="W462" s="26">
        <f t="shared" si="101"/>
        <v>1143</v>
      </c>
      <c r="X462">
        <f t="shared" si="102"/>
        <v>0</v>
      </c>
      <c r="Y462">
        <f t="shared" si="104"/>
        <v>9.5250000000000004</v>
      </c>
      <c r="Z462">
        <f t="shared" si="105"/>
        <v>0</v>
      </c>
    </row>
    <row r="463" spans="11:26" x14ac:dyDescent="0.25">
      <c r="K463" s="105">
        <v>430</v>
      </c>
      <c r="L463">
        <f t="shared" si="110"/>
        <v>0</v>
      </c>
      <c r="M463">
        <f t="shared" si="110"/>
        <v>12</v>
      </c>
      <c r="N463">
        <f t="shared" si="110"/>
        <v>104</v>
      </c>
      <c r="O463">
        <f t="shared" si="110"/>
        <v>0</v>
      </c>
      <c r="P463">
        <f t="shared" si="110"/>
        <v>89</v>
      </c>
      <c r="Q463">
        <f t="shared" si="110"/>
        <v>0</v>
      </c>
      <c r="R463">
        <f t="shared" si="103"/>
        <v>0</v>
      </c>
      <c r="S463">
        <f t="shared" si="111"/>
        <v>0</v>
      </c>
      <c r="T463">
        <f t="shared" si="111"/>
        <v>0</v>
      </c>
      <c r="U463">
        <f t="shared" si="111"/>
        <v>0</v>
      </c>
      <c r="V463" s="108">
        <f t="shared" si="100"/>
        <v>205</v>
      </c>
      <c r="W463" s="26">
        <f t="shared" si="101"/>
        <v>1143</v>
      </c>
      <c r="X463">
        <f t="shared" si="102"/>
        <v>0</v>
      </c>
      <c r="Y463">
        <f t="shared" si="104"/>
        <v>9.5250000000000004</v>
      </c>
      <c r="Z463">
        <f t="shared" si="105"/>
        <v>0</v>
      </c>
    </row>
    <row r="464" spans="11:26" x14ac:dyDescent="0.25">
      <c r="K464" s="105">
        <v>431</v>
      </c>
      <c r="L464">
        <f t="shared" ref="L464:Q473" si="112">IF(MID(DEC2BIN($K464,10),L$32,1)="1",L$33,0)</f>
        <v>0</v>
      </c>
      <c r="M464">
        <f t="shared" si="112"/>
        <v>12</v>
      </c>
      <c r="N464">
        <f t="shared" si="112"/>
        <v>104</v>
      </c>
      <c r="O464">
        <f t="shared" si="112"/>
        <v>0</v>
      </c>
      <c r="P464">
        <f t="shared" si="112"/>
        <v>89</v>
      </c>
      <c r="Q464">
        <f t="shared" si="112"/>
        <v>0</v>
      </c>
      <c r="R464">
        <f t="shared" si="103"/>
        <v>0</v>
      </c>
      <c r="S464">
        <f t="shared" si="111"/>
        <v>0</v>
      </c>
      <c r="T464">
        <f t="shared" si="111"/>
        <v>0</v>
      </c>
      <c r="U464">
        <f t="shared" si="111"/>
        <v>0</v>
      </c>
      <c r="V464" s="108">
        <f t="shared" si="100"/>
        <v>205</v>
      </c>
      <c r="W464" s="26">
        <f t="shared" si="101"/>
        <v>1143</v>
      </c>
      <c r="X464">
        <f t="shared" si="102"/>
        <v>0</v>
      </c>
      <c r="Y464">
        <f t="shared" si="104"/>
        <v>9.5250000000000004</v>
      </c>
      <c r="Z464">
        <f t="shared" si="105"/>
        <v>0</v>
      </c>
    </row>
    <row r="465" spans="11:26" x14ac:dyDescent="0.25">
      <c r="K465" s="105">
        <v>432</v>
      </c>
      <c r="L465">
        <f t="shared" si="112"/>
        <v>0</v>
      </c>
      <c r="M465">
        <f t="shared" si="112"/>
        <v>12</v>
      </c>
      <c r="N465">
        <f t="shared" si="112"/>
        <v>104</v>
      </c>
      <c r="O465">
        <f t="shared" si="112"/>
        <v>0</v>
      </c>
      <c r="P465">
        <f t="shared" si="112"/>
        <v>89</v>
      </c>
      <c r="Q465">
        <f t="shared" si="112"/>
        <v>117</v>
      </c>
      <c r="R465">
        <f t="shared" si="103"/>
        <v>0</v>
      </c>
      <c r="S465">
        <f t="shared" si="111"/>
        <v>0</v>
      </c>
      <c r="T465">
        <f t="shared" si="111"/>
        <v>0</v>
      </c>
      <c r="U465">
        <f t="shared" si="111"/>
        <v>0</v>
      </c>
      <c r="V465" s="108">
        <f t="shared" si="100"/>
        <v>322</v>
      </c>
      <c r="W465" s="26">
        <f t="shared" si="101"/>
        <v>1026</v>
      </c>
      <c r="X465">
        <f t="shared" si="102"/>
        <v>0</v>
      </c>
      <c r="Y465">
        <f t="shared" si="104"/>
        <v>8.5500000000000007</v>
      </c>
      <c r="Z465">
        <f t="shared" si="105"/>
        <v>0</v>
      </c>
    </row>
    <row r="466" spans="11:26" x14ac:dyDescent="0.25">
      <c r="K466" s="105">
        <v>433</v>
      </c>
      <c r="L466">
        <f t="shared" si="112"/>
        <v>0</v>
      </c>
      <c r="M466">
        <f t="shared" si="112"/>
        <v>12</v>
      </c>
      <c r="N466">
        <f t="shared" si="112"/>
        <v>104</v>
      </c>
      <c r="O466">
        <f t="shared" si="112"/>
        <v>0</v>
      </c>
      <c r="P466">
        <f t="shared" si="112"/>
        <v>89</v>
      </c>
      <c r="Q466">
        <f t="shared" si="112"/>
        <v>117</v>
      </c>
      <c r="R466">
        <f t="shared" si="103"/>
        <v>0</v>
      </c>
      <c r="S466">
        <f t="shared" si="111"/>
        <v>0</v>
      </c>
      <c r="T466">
        <f t="shared" si="111"/>
        <v>0</v>
      </c>
      <c r="U466">
        <f t="shared" si="111"/>
        <v>0</v>
      </c>
      <c r="V466" s="108">
        <f t="shared" si="100"/>
        <v>322</v>
      </c>
      <c r="W466" s="26">
        <f t="shared" si="101"/>
        <v>1026</v>
      </c>
      <c r="X466">
        <f t="shared" si="102"/>
        <v>0</v>
      </c>
      <c r="Y466">
        <f t="shared" si="104"/>
        <v>8.5500000000000007</v>
      </c>
      <c r="Z466">
        <f t="shared" si="105"/>
        <v>0</v>
      </c>
    </row>
    <row r="467" spans="11:26" x14ac:dyDescent="0.25">
      <c r="K467" s="105">
        <v>434</v>
      </c>
      <c r="L467">
        <f t="shared" si="112"/>
        <v>0</v>
      </c>
      <c r="M467">
        <f t="shared" si="112"/>
        <v>12</v>
      </c>
      <c r="N467">
        <f t="shared" si="112"/>
        <v>104</v>
      </c>
      <c r="O467">
        <f t="shared" si="112"/>
        <v>0</v>
      </c>
      <c r="P467">
        <f t="shared" si="112"/>
        <v>89</v>
      </c>
      <c r="Q467">
        <f t="shared" si="112"/>
        <v>117</v>
      </c>
      <c r="R467">
        <f t="shared" si="103"/>
        <v>0</v>
      </c>
      <c r="S467">
        <f t="shared" si="111"/>
        <v>0</v>
      </c>
      <c r="T467">
        <f t="shared" si="111"/>
        <v>0</v>
      </c>
      <c r="U467">
        <f t="shared" si="111"/>
        <v>0</v>
      </c>
      <c r="V467" s="108">
        <f t="shared" si="100"/>
        <v>322</v>
      </c>
      <c r="W467" s="26">
        <f t="shared" si="101"/>
        <v>1026</v>
      </c>
      <c r="X467">
        <f t="shared" si="102"/>
        <v>0</v>
      </c>
      <c r="Y467">
        <f t="shared" si="104"/>
        <v>8.5500000000000007</v>
      </c>
      <c r="Z467">
        <f t="shared" si="105"/>
        <v>0</v>
      </c>
    </row>
    <row r="468" spans="11:26" x14ac:dyDescent="0.25">
      <c r="K468" s="105">
        <v>435</v>
      </c>
      <c r="L468">
        <f t="shared" si="112"/>
        <v>0</v>
      </c>
      <c r="M468">
        <f t="shared" si="112"/>
        <v>12</v>
      </c>
      <c r="N468">
        <f t="shared" si="112"/>
        <v>104</v>
      </c>
      <c r="O468">
        <f t="shared" si="112"/>
        <v>0</v>
      </c>
      <c r="P468">
        <f t="shared" si="112"/>
        <v>89</v>
      </c>
      <c r="Q468">
        <f t="shared" si="112"/>
        <v>117</v>
      </c>
      <c r="R468">
        <f t="shared" si="103"/>
        <v>0</v>
      </c>
      <c r="S468">
        <f t="shared" si="111"/>
        <v>0</v>
      </c>
      <c r="T468">
        <f t="shared" si="111"/>
        <v>0</v>
      </c>
      <c r="U468">
        <f t="shared" si="111"/>
        <v>0</v>
      </c>
      <c r="V468" s="108">
        <f t="shared" si="100"/>
        <v>322</v>
      </c>
      <c r="W468" s="26">
        <f t="shared" si="101"/>
        <v>1026</v>
      </c>
      <c r="X468">
        <f t="shared" si="102"/>
        <v>0</v>
      </c>
      <c r="Y468">
        <f t="shared" si="104"/>
        <v>8.5500000000000007</v>
      </c>
      <c r="Z468">
        <f t="shared" si="105"/>
        <v>0</v>
      </c>
    </row>
    <row r="469" spans="11:26" x14ac:dyDescent="0.25">
      <c r="K469" s="105">
        <v>436</v>
      </c>
      <c r="L469">
        <f t="shared" si="112"/>
        <v>0</v>
      </c>
      <c r="M469">
        <f t="shared" si="112"/>
        <v>12</v>
      </c>
      <c r="N469">
        <f t="shared" si="112"/>
        <v>104</v>
      </c>
      <c r="O469">
        <f t="shared" si="112"/>
        <v>0</v>
      </c>
      <c r="P469">
        <f t="shared" si="112"/>
        <v>89</v>
      </c>
      <c r="Q469">
        <f t="shared" si="112"/>
        <v>117</v>
      </c>
      <c r="R469">
        <f t="shared" si="103"/>
        <v>0</v>
      </c>
      <c r="S469">
        <f t="shared" si="111"/>
        <v>0</v>
      </c>
      <c r="T469">
        <f t="shared" si="111"/>
        <v>0</v>
      </c>
      <c r="U469">
        <f t="shared" si="111"/>
        <v>0</v>
      </c>
      <c r="V469" s="108">
        <f t="shared" si="100"/>
        <v>322</v>
      </c>
      <c r="W469" s="26">
        <f t="shared" si="101"/>
        <v>1026</v>
      </c>
      <c r="X469">
        <f t="shared" si="102"/>
        <v>0</v>
      </c>
      <c r="Y469">
        <f t="shared" si="104"/>
        <v>8.5500000000000007</v>
      </c>
      <c r="Z469">
        <f t="shared" si="105"/>
        <v>0</v>
      </c>
    </row>
    <row r="470" spans="11:26" x14ac:dyDescent="0.25">
      <c r="K470" s="105">
        <v>437</v>
      </c>
      <c r="L470">
        <f t="shared" si="112"/>
        <v>0</v>
      </c>
      <c r="M470">
        <f t="shared" si="112"/>
        <v>12</v>
      </c>
      <c r="N470">
        <f t="shared" si="112"/>
        <v>104</v>
      </c>
      <c r="O470">
        <f t="shared" si="112"/>
        <v>0</v>
      </c>
      <c r="P470">
        <f t="shared" si="112"/>
        <v>89</v>
      </c>
      <c r="Q470">
        <f t="shared" si="112"/>
        <v>117</v>
      </c>
      <c r="R470">
        <f t="shared" si="103"/>
        <v>0</v>
      </c>
      <c r="S470">
        <f t="shared" si="111"/>
        <v>0</v>
      </c>
      <c r="T470">
        <f t="shared" si="111"/>
        <v>0</v>
      </c>
      <c r="U470">
        <f t="shared" si="111"/>
        <v>0</v>
      </c>
      <c r="V470" s="108">
        <f t="shared" si="100"/>
        <v>322</v>
      </c>
      <c r="W470" s="26">
        <f t="shared" si="101"/>
        <v>1026</v>
      </c>
      <c r="X470">
        <f t="shared" si="102"/>
        <v>0</v>
      </c>
      <c r="Y470">
        <f t="shared" si="104"/>
        <v>8.5500000000000007</v>
      </c>
      <c r="Z470">
        <f t="shared" si="105"/>
        <v>0</v>
      </c>
    </row>
    <row r="471" spans="11:26" x14ac:dyDescent="0.25">
      <c r="K471" s="105">
        <v>438</v>
      </c>
      <c r="L471">
        <f t="shared" si="112"/>
        <v>0</v>
      </c>
      <c r="M471">
        <f t="shared" si="112"/>
        <v>12</v>
      </c>
      <c r="N471">
        <f t="shared" si="112"/>
        <v>104</v>
      </c>
      <c r="O471">
        <f t="shared" si="112"/>
        <v>0</v>
      </c>
      <c r="P471">
        <f t="shared" si="112"/>
        <v>89</v>
      </c>
      <c r="Q471">
        <f t="shared" si="112"/>
        <v>117</v>
      </c>
      <c r="R471">
        <f t="shared" si="103"/>
        <v>0</v>
      </c>
      <c r="S471">
        <f t="shared" si="111"/>
        <v>0</v>
      </c>
      <c r="T471">
        <f t="shared" si="111"/>
        <v>0</v>
      </c>
      <c r="U471">
        <f t="shared" si="111"/>
        <v>0</v>
      </c>
      <c r="V471" s="108">
        <f t="shared" si="100"/>
        <v>322</v>
      </c>
      <c r="W471" s="26">
        <f t="shared" si="101"/>
        <v>1026</v>
      </c>
      <c r="X471">
        <f t="shared" si="102"/>
        <v>0</v>
      </c>
      <c r="Y471">
        <f t="shared" si="104"/>
        <v>8.5500000000000007</v>
      </c>
      <c r="Z471">
        <f t="shared" si="105"/>
        <v>0</v>
      </c>
    </row>
    <row r="472" spans="11:26" x14ac:dyDescent="0.25">
      <c r="K472" s="105">
        <v>439</v>
      </c>
      <c r="L472">
        <f t="shared" si="112"/>
        <v>0</v>
      </c>
      <c r="M472">
        <f t="shared" si="112"/>
        <v>12</v>
      </c>
      <c r="N472">
        <f t="shared" si="112"/>
        <v>104</v>
      </c>
      <c r="O472">
        <f t="shared" si="112"/>
        <v>0</v>
      </c>
      <c r="P472">
        <f t="shared" si="112"/>
        <v>89</v>
      </c>
      <c r="Q472">
        <f t="shared" si="112"/>
        <v>117</v>
      </c>
      <c r="R472">
        <f t="shared" si="103"/>
        <v>0</v>
      </c>
      <c r="S472">
        <f t="shared" si="111"/>
        <v>0</v>
      </c>
      <c r="T472">
        <f t="shared" si="111"/>
        <v>0</v>
      </c>
      <c r="U472">
        <f t="shared" si="111"/>
        <v>0</v>
      </c>
      <c r="V472" s="108">
        <f t="shared" si="100"/>
        <v>322</v>
      </c>
      <c r="W472" s="26">
        <f t="shared" si="101"/>
        <v>1026</v>
      </c>
      <c r="X472">
        <f t="shared" si="102"/>
        <v>0</v>
      </c>
      <c r="Y472">
        <f t="shared" si="104"/>
        <v>8.5500000000000007</v>
      </c>
      <c r="Z472">
        <f t="shared" si="105"/>
        <v>0</v>
      </c>
    </row>
    <row r="473" spans="11:26" x14ac:dyDescent="0.25">
      <c r="K473" s="105">
        <v>440</v>
      </c>
      <c r="L473">
        <f t="shared" si="112"/>
        <v>0</v>
      </c>
      <c r="M473">
        <f t="shared" si="112"/>
        <v>12</v>
      </c>
      <c r="N473">
        <f t="shared" si="112"/>
        <v>104</v>
      </c>
      <c r="O473">
        <f t="shared" si="112"/>
        <v>0</v>
      </c>
      <c r="P473">
        <f t="shared" si="112"/>
        <v>89</v>
      </c>
      <c r="Q473">
        <f t="shared" si="112"/>
        <v>117</v>
      </c>
      <c r="R473">
        <f t="shared" si="103"/>
        <v>0</v>
      </c>
      <c r="S473">
        <f t="shared" si="111"/>
        <v>0</v>
      </c>
      <c r="T473">
        <f t="shared" si="111"/>
        <v>0</v>
      </c>
      <c r="U473">
        <f t="shared" si="111"/>
        <v>0</v>
      </c>
      <c r="V473" s="108">
        <f t="shared" si="100"/>
        <v>322</v>
      </c>
      <c r="W473" s="26">
        <f t="shared" si="101"/>
        <v>1026</v>
      </c>
      <c r="X473">
        <f t="shared" si="102"/>
        <v>0</v>
      </c>
      <c r="Y473">
        <f t="shared" si="104"/>
        <v>8.5500000000000007</v>
      </c>
      <c r="Z473">
        <f t="shared" si="105"/>
        <v>0</v>
      </c>
    </row>
    <row r="474" spans="11:26" x14ac:dyDescent="0.25">
      <c r="K474" s="105">
        <v>441</v>
      </c>
      <c r="L474">
        <f t="shared" ref="L474:Q483" si="113">IF(MID(DEC2BIN($K474,10),L$32,1)="1",L$33,0)</f>
        <v>0</v>
      </c>
      <c r="M474">
        <f t="shared" si="113"/>
        <v>12</v>
      </c>
      <c r="N474">
        <f t="shared" si="113"/>
        <v>104</v>
      </c>
      <c r="O474">
        <f t="shared" si="113"/>
        <v>0</v>
      </c>
      <c r="P474">
        <f t="shared" si="113"/>
        <v>89</v>
      </c>
      <c r="Q474">
        <f t="shared" si="113"/>
        <v>117</v>
      </c>
      <c r="R474">
        <f t="shared" si="103"/>
        <v>0</v>
      </c>
      <c r="S474">
        <f t="shared" ref="S474:U493" si="114">IF(MID(DEC2BIN($K474,10),S$32,1)="1",S$33,0)</f>
        <v>0</v>
      </c>
      <c r="T474">
        <f t="shared" si="114"/>
        <v>0</v>
      </c>
      <c r="U474">
        <f t="shared" si="114"/>
        <v>0</v>
      </c>
      <c r="V474" s="108">
        <f t="shared" si="100"/>
        <v>322</v>
      </c>
      <c r="W474" s="26">
        <f t="shared" si="101"/>
        <v>1026</v>
      </c>
      <c r="X474">
        <f t="shared" si="102"/>
        <v>0</v>
      </c>
      <c r="Y474">
        <f t="shared" si="104"/>
        <v>8.5500000000000007</v>
      </c>
      <c r="Z474">
        <f t="shared" si="105"/>
        <v>0</v>
      </c>
    </row>
    <row r="475" spans="11:26" x14ac:dyDescent="0.25">
      <c r="K475" s="105">
        <v>442</v>
      </c>
      <c r="L475">
        <f t="shared" si="113"/>
        <v>0</v>
      </c>
      <c r="M475">
        <f t="shared" si="113"/>
        <v>12</v>
      </c>
      <c r="N475">
        <f t="shared" si="113"/>
        <v>104</v>
      </c>
      <c r="O475">
        <f t="shared" si="113"/>
        <v>0</v>
      </c>
      <c r="P475">
        <f t="shared" si="113"/>
        <v>89</v>
      </c>
      <c r="Q475">
        <f t="shared" si="113"/>
        <v>117</v>
      </c>
      <c r="R475">
        <f t="shared" si="103"/>
        <v>0</v>
      </c>
      <c r="S475">
        <f t="shared" si="114"/>
        <v>0</v>
      </c>
      <c r="T475">
        <f t="shared" si="114"/>
        <v>0</v>
      </c>
      <c r="U475">
        <f t="shared" si="114"/>
        <v>0</v>
      </c>
      <c r="V475" s="108">
        <f t="shared" si="100"/>
        <v>322</v>
      </c>
      <c r="W475" s="26">
        <f t="shared" si="101"/>
        <v>1026</v>
      </c>
      <c r="X475">
        <f t="shared" si="102"/>
        <v>0</v>
      </c>
      <c r="Y475">
        <f t="shared" si="104"/>
        <v>8.5500000000000007</v>
      </c>
      <c r="Z475">
        <f t="shared" si="105"/>
        <v>0</v>
      </c>
    </row>
    <row r="476" spans="11:26" x14ac:dyDescent="0.25">
      <c r="K476" s="105">
        <v>443</v>
      </c>
      <c r="L476">
        <f t="shared" si="113"/>
        <v>0</v>
      </c>
      <c r="M476">
        <f t="shared" si="113"/>
        <v>12</v>
      </c>
      <c r="N476">
        <f t="shared" si="113"/>
        <v>104</v>
      </c>
      <c r="O476">
        <f t="shared" si="113"/>
        <v>0</v>
      </c>
      <c r="P476">
        <f t="shared" si="113"/>
        <v>89</v>
      </c>
      <c r="Q476">
        <f t="shared" si="113"/>
        <v>117</v>
      </c>
      <c r="R476">
        <f t="shared" si="103"/>
        <v>0</v>
      </c>
      <c r="S476">
        <f t="shared" si="114"/>
        <v>0</v>
      </c>
      <c r="T476">
        <f t="shared" si="114"/>
        <v>0</v>
      </c>
      <c r="U476">
        <f t="shared" si="114"/>
        <v>0</v>
      </c>
      <c r="V476" s="108">
        <f t="shared" si="100"/>
        <v>322</v>
      </c>
      <c r="W476" s="26">
        <f t="shared" si="101"/>
        <v>1026</v>
      </c>
      <c r="X476">
        <f t="shared" si="102"/>
        <v>0</v>
      </c>
      <c r="Y476">
        <f t="shared" si="104"/>
        <v>8.5500000000000007</v>
      </c>
      <c r="Z476">
        <f t="shared" si="105"/>
        <v>0</v>
      </c>
    </row>
    <row r="477" spans="11:26" x14ac:dyDescent="0.25">
      <c r="K477" s="105">
        <v>444</v>
      </c>
      <c r="L477">
        <f t="shared" si="113"/>
        <v>0</v>
      </c>
      <c r="M477">
        <f t="shared" si="113"/>
        <v>12</v>
      </c>
      <c r="N477">
        <f t="shared" si="113"/>
        <v>104</v>
      </c>
      <c r="O477">
        <f t="shared" si="113"/>
        <v>0</v>
      </c>
      <c r="P477">
        <f t="shared" si="113"/>
        <v>89</v>
      </c>
      <c r="Q477">
        <f t="shared" si="113"/>
        <v>117</v>
      </c>
      <c r="R477">
        <f t="shared" si="103"/>
        <v>0</v>
      </c>
      <c r="S477">
        <f t="shared" si="114"/>
        <v>0</v>
      </c>
      <c r="T477">
        <f t="shared" si="114"/>
        <v>0</v>
      </c>
      <c r="U477">
        <f t="shared" si="114"/>
        <v>0</v>
      </c>
      <c r="V477" s="108">
        <f t="shared" si="100"/>
        <v>322</v>
      </c>
      <c r="W477" s="26">
        <f t="shared" si="101"/>
        <v>1026</v>
      </c>
      <c r="X477">
        <f t="shared" si="102"/>
        <v>0</v>
      </c>
      <c r="Y477">
        <f t="shared" si="104"/>
        <v>8.5500000000000007</v>
      </c>
      <c r="Z477">
        <f t="shared" si="105"/>
        <v>0</v>
      </c>
    </row>
    <row r="478" spans="11:26" x14ac:dyDescent="0.25">
      <c r="K478" s="105">
        <v>445</v>
      </c>
      <c r="L478">
        <f t="shared" si="113"/>
        <v>0</v>
      </c>
      <c r="M478">
        <f t="shared" si="113"/>
        <v>12</v>
      </c>
      <c r="N478">
        <f t="shared" si="113"/>
        <v>104</v>
      </c>
      <c r="O478">
        <f t="shared" si="113"/>
        <v>0</v>
      </c>
      <c r="P478">
        <f t="shared" si="113"/>
        <v>89</v>
      </c>
      <c r="Q478">
        <f t="shared" si="113"/>
        <v>117</v>
      </c>
      <c r="R478">
        <f t="shared" si="103"/>
        <v>0</v>
      </c>
      <c r="S478">
        <f t="shared" si="114"/>
        <v>0</v>
      </c>
      <c r="T478">
        <f t="shared" si="114"/>
        <v>0</v>
      </c>
      <c r="U478">
        <f t="shared" si="114"/>
        <v>0</v>
      </c>
      <c r="V478" s="108">
        <f t="shared" si="100"/>
        <v>322</v>
      </c>
      <c r="W478" s="26">
        <f t="shared" si="101"/>
        <v>1026</v>
      </c>
      <c r="X478">
        <f t="shared" si="102"/>
        <v>0</v>
      </c>
      <c r="Y478">
        <f t="shared" si="104"/>
        <v>8.5500000000000007</v>
      </c>
      <c r="Z478">
        <f t="shared" si="105"/>
        <v>0</v>
      </c>
    </row>
    <row r="479" spans="11:26" x14ac:dyDescent="0.25">
      <c r="K479" s="105">
        <v>446</v>
      </c>
      <c r="L479">
        <f t="shared" si="113"/>
        <v>0</v>
      </c>
      <c r="M479">
        <f t="shared" si="113"/>
        <v>12</v>
      </c>
      <c r="N479">
        <f t="shared" si="113"/>
        <v>104</v>
      </c>
      <c r="O479">
        <f t="shared" si="113"/>
        <v>0</v>
      </c>
      <c r="P479">
        <f t="shared" si="113"/>
        <v>89</v>
      </c>
      <c r="Q479">
        <f t="shared" si="113"/>
        <v>117</v>
      </c>
      <c r="R479">
        <f t="shared" si="103"/>
        <v>0</v>
      </c>
      <c r="S479">
        <f t="shared" si="114"/>
        <v>0</v>
      </c>
      <c r="T479">
        <f t="shared" si="114"/>
        <v>0</v>
      </c>
      <c r="U479">
        <f t="shared" si="114"/>
        <v>0</v>
      </c>
      <c r="V479" s="108">
        <f t="shared" si="100"/>
        <v>322</v>
      </c>
      <c r="W479" s="26">
        <f t="shared" si="101"/>
        <v>1026</v>
      </c>
      <c r="X479">
        <f t="shared" si="102"/>
        <v>0</v>
      </c>
      <c r="Y479">
        <f t="shared" si="104"/>
        <v>8.5500000000000007</v>
      </c>
      <c r="Z479">
        <f t="shared" si="105"/>
        <v>0</v>
      </c>
    </row>
    <row r="480" spans="11:26" x14ac:dyDescent="0.25">
      <c r="K480" s="105">
        <v>447</v>
      </c>
      <c r="L480">
        <f t="shared" si="113"/>
        <v>0</v>
      </c>
      <c r="M480">
        <f t="shared" si="113"/>
        <v>12</v>
      </c>
      <c r="N480">
        <f t="shared" si="113"/>
        <v>104</v>
      </c>
      <c r="O480">
        <f t="shared" si="113"/>
        <v>0</v>
      </c>
      <c r="P480">
        <f t="shared" si="113"/>
        <v>89</v>
      </c>
      <c r="Q480">
        <f t="shared" si="113"/>
        <v>117</v>
      </c>
      <c r="R480">
        <f t="shared" si="103"/>
        <v>0</v>
      </c>
      <c r="S480">
        <f t="shared" si="114"/>
        <v>0</v>
      </c>
      <c r="T480">
        <f t="shared" si="114"/>
        <v>0</v>
      </c>
      <c r="U480">
        <f t="shared" si="114"/>
        <v>0</v>
      </c>
      <c r="V480" s="108">
        <f t="shared" si="100"/>
        <v>322</v>
      </c>
      <c r="W480" s="26">
        <f t="shared" si="101"/>
        <v>1026</v>
      </c>
      <c r="X480">
        <f t="shared" si="102"/>
        <v>0</v>
      </c>
      <c r="Y480">
        <f t="shared" si="104"/>
        <v>8.5500000000000007</v>
      </c>
      <c r="Z480">
        <f t="shared" si="105"/>
        <v>0</v>
      </c>
    </row>
    <row r="481" spans="11:26" x14ac:dyDescent="0.25">
      <c r="K481" s="105">
        <v>448</v>
      </c>
      <c r="L481">
        <f t="shared" si="113"/>
        <v>0</v>
      </c>
      <c r="M481">
        <f t="shared" si="113"/>
        <v>12</v>
      </c>
      <c r="N481">
        <f t="shared" si="113"/>
        <v>104</v>
      </c>
      <c r="O481">
        <f t="shared" si="113"/>
        <v>78</v>
      </c>
      <c r="P481">
        <f t="shared" si="113"/>
        <v>0</v>
      </c>
      <c r="Q481">
        <f t="shared" si="113"/>
        <v>0</v>
      </c>
      <c r="R481">
        <f t="shared" si="103"/>
        <v>0</v>
      </c>
      <c r="S481">
        <f t="shared" si="114"/>
        <v>0</v>
      </c>
      <c r="T481">
        <f t="shared" si="114"/>
        <v>0</v>
      </c>
      <c r="U481">
        <f t="shared" si="114"/>
        <v>0</v>
      </c>
      <c r="V481" s="108">
        <f t="shared" si="100"/>
        <v>194</v>
      </c>
      <c r="W481" s="26">
        <f t="shared" si="101"/>
        <v>1154</v>
      </c>
      <c r="X481">
        <f t="shared" si="102"/>
        <v>0</v>
      </c>
      <c r="Y481">
        <f t="shared" si="104"/>
        <v>9.6166666666666671</v>
      </c>
      <c r="Z481">
        <f t="shared" si="105"/>
        <v>0</v>
      </c>
    </row>
    <row r="482" spans="11:26" x14ac:dyDescent="0.25">
      <c r="K482" s="105">
        <v>449</v>
      </c>
      <c r="L482">
        <f t="shared" si="113"/>
        <v>0</v>
      </c>
      <c r="M482">
        <f t="shared" si="113"/>
        <v>12</v>
      </c>
      <c r="N482">
        <f t="shared" si="113"/>
        <v>104</v>
      </c>
      <c r="O482">
        <f t="shared" si="113"/>
        <v>78</v>
      </c>
      <c r="P482">
        <f t="shared" si="113"/>
        <v>0</v>
      </c>
      <c r="Q482">
        <f t="shared" si="113"/>
        <v>0</v>
      </c>
      <c r="R482">
        <f t="shared" si="103"/>
        <v>0</v>
      </c>
      <c r="S482">
        <f t="shared" si="114"/>
        <v>0</v>
      </c>
      <c r="T482">
        <f t="shared" si="114"/>
        <v>0</v>
      </c>
      <c r="U482">
        <f t="shared" si="114"/>
        <v>0</v>
      </c>
      <c r="V482" s="108">
        <f t="shared" ref="V482:V545" si="115">SUM(L482:U482)</f>
        <v>194</v>
      </c>
      <c r="W482" s="26">
        <f t="shared" ref="W482:W545" si="116">$M$31-V482</f>
        <v>1154</v>
      </c>
      <c r="X482">
        <f t="shared" ref="X482:X545" si="117">IF(W482=0,1,0)</f>
        <v>0</v>
      </c>
      <c r="Y482">
        <f t="shared" si="104"/>
        <v>9.6166666666666671</v>
      </c>
      <c r="Z482">
        <f t="shared" si="105"/>
        <v>0</v>
      </c>
    </row>
    <row r="483" spans="11:26" x14ac:dyDescent="0.25">
      <c r="K483" s="105">
        <v>450</v>
      </c>
      <c r="L483">
        <f t="shared" si="113"/>
        <v>0</v>
      </c>
      <c r="M483">
        <f t="shared" si="113"/>
        <v>12</v>
      </c>
      <c r="N483">
        <f t="shared" si="113"/>
        <v>104</v>
      </c>
      <c r="O483">
        <f t="shared" si="113"/>
        <v>78</v>
      </c>
      <c r="P483">
        <f t="shared" si="113"/>
        <v>0</v>
      </c>
      <c r="Q483">
        <f t="shared" si="113"/>
        <v>0</v>
      </c>
      <c r="R483">
        <f t="shared" ref="R483:R544" si="118">IF(MID(DEC2BIN($K483,10),R$32,1)="1",R$33,0)</f>
        <v>0</v>
      </c>
      <c r="S483">
        <f t="shared" si="114"/>
        <v>0</v>
      </c>
      <c r="T483">
        <f t="shared" si="114"/>
        <v>0</v>
      </c>
      <c r="U483">
        <f t="shared" si="114"/>
        <v>0</v>
      </c>
      <c r="V483" s="108">
        <f t="shared" si="115"/>
        <v>194</v>
      </c>
      <c r="W483" s="26">
        <f t="shared" si="116"/>
        <v>1154</v>
      </c>
      <c r="X483">
        <f t="shared" si="117"/>
        <v>0</v>
      </c>
      <c r="Y483">
        <f t="shared" ref="Y483:Y545" si="119">W483/$Y$32</f>
        <v>9.6166666666666671</v>
      </c>
      <c r="Z483">
        <f t="shared" ref="Z483:Z545" si="120">IF(INT(Y483)=Y483,1,0)</f>
        <v>0</v>
      </c>
    </row>
    <row r="484" spans="11:26" x14ac:dyDescent="0.25">
      <c r="K484" s="105">
        <v>451</v>
      </c>
      <c r="L484">
        <f t="shared" ref="L484:Q493" si="121">IF(MID(DEC2BIN($K484,10),L$32,1)="1",L$33,0)</f>
        <v>0</v>
      </c>
      <c r="M484">
        <f t="shared" si="121"/>
        <v>12</v>
      </c>
      <c r="N484">
        <f t="shared" si="121"/>
        <v>104</v>
      </c>
      <c r="O484">
        <f t="shared" si="121"/>
        <v>78</v>
      </c>
      <c r="P484">
        <f t="shared" si="121"/>
        <v>0</v>
      </c>
      <c r="Q484">
        <f t="shared" si="121"/>
        <v>0</v>
      </c>
      <c r="R484">
        <f t="shared" si="118"/>
        <v>0</v>
      </c>
      <c r="S484">
        <f t="shared" si="114"/>
        <v>0</v>
      </c>
      <c r="T484">
        <f t="shared" si="114"/>
        <v>0</v>
      </c>
      <c r="U484">
        <f t="shared" si="114"/>
        <v>0</v>
      </c>
      <c r="V484" s="108">
        <f t="shared" si="115"/>
        <v>194</v>
      </c>
      <c r="W484" s="26">
        <f t="shared" si="116"/>
        <v>1154</v>
      </c>
      <c r="X484">
        <f t="shared" si="117"/>
        <v>0</v>
      </c>
      <c r="Y484">
        <f t="shared" si="119"/>
        <v>9.6166666666666671</v>
      </c>
      <c r="Z484">
        <f t="shared" si="120"/>
        <v>0</v>
      </c>
    </row>
    <row r="485" spans="11:26" x14ac:dyDescent="0.25">
      <c r="K485" s="105">
        <v>452</v>
      </c>
      <c r="L485">
        <f t="shared" si="121"/>
        <v>0</v>
      </c>
      <c r="M485">
        <f t="shared" si="121"/>
        <v>12</v>
      </c>
      <c r="N485">
        <f t="shared" si="121"/>
        <v>104</v>
      </c>
      <c r="O485">
        <f t="shared" si="121"/>
        <v>78</v>
      </c>
      <c r="P485">
        <f t="shared" si="121"/>
        <v>0</v>
      </c>
      <c r="Q485">
        <f t="shared" si="121"/>
        <v>0</v>
      </c>
      <c r="R485">
        <f t="shared" si="118"/>
        <v>0</v>
      </c>
      <c r="S485">
        <f t="shared" si="114"/>
        <v>0</v>
      </c>
      <c r="T485">
        <f t="shared" si="114"/>
        <v>0</v>
      </c>
      <c r="U485">
        <f t="shared" si="114"/>
        <v>0</v>
      </c>
      <c r="V485" s="108">
        <f t="shared" si="115"/>
        <v>194</v>
      </c>
      <c r="W485" s="26">
        <f t="shared" si="116"/>
        <v>1154</v>
      </c>
      <c r="X485">
        <f t="shared" si="117"/>
        <v>0</v>
      </c>
      <c r="Y485">
        <f t="shared" si="119"/>
        <v>9.6166666666666671</v>
      </c>
      <c r="Z485">
        <f t="shared" si="120"/>
        <v>0</v>
      </c>
    </row>
    <row r="486" spans="11:26" x14ac:dyDescent="0.25">
      <c r="K486" s="105">
        <v>453</v>
      </c>
      <c r="L486">
        <f t="shared" si="121"/>
        <v>0</v>
      </c>
      <c r="M486">
        <f t="shared" si="121"/>
        <v>12</v>
      </c>
      <c r="N486">
        <f t="shared" si="121"/>
        <v>104</v>
      </c>
      <c r="O486">
        <f t="shared" si="121"/>
        <v>78</v>
      </c>
      <c r="P486">
        <f t="shared" si="121"/>
        <v>0</v>
      </c>
      <c r="Q486">
        <f t="shared" si="121"/>
        <v>0</v>
      </c>
      <c r="R486">
        <f t="shared" si="118"/>
        <v>0</v>
      </c>
      <c r="S486">
        <f t="shared" si="114"/>
        <v>0</v>
      </c>
      <c r="T486">
        <f t="shared" si="114"/>
        <v>0</v>
      </c>
      <c r="U486">
        <f t="shared" si="114"/>
        <v>0</v>
      </c>
      <c r="V486" s="108">
        <f t="shared" si="115"/>
        <v>194</v>
      </c>
      <c r="W486" s="26">
        <f t="shared" si="116"/>
        <v>1154</v>
      </c>
      <c r="X486">
        <f t="shared" si="117"/>
        <v>0</v>
      </c>
      <c r="Y486">
        <f t="shared" si="119"/>
        <v>9.6166666666666671</v>
      </c>
      <c r="Z486">
        <f t="shared" si="120"/>
        <v>0</v>
      </c>
    </row>
    <row r="487" spans="11:26" x14ac:dyDescent="0.25">
      <c r="K487" s="105">
        <v>454</v>
      </c>
      <c r="L487">
        <f t="shared" si="121"/>
        <v>0</v>
      </c>
      <c r="M487">
        <f t="shared" si="121"/>
        <v>12</v>
      </c>
      <c r="N487">
        <f t="shared" si="121"/>
        <v>104</v>
      </c>
      <c r="O487">
        <f t="shared" si="121"/>
        <v>78</v>
      </c>
      <c r="P487">
        <f t="shared" si="121"/>
        <v>0</v>
      </c>
      <c r="Q487">
        <f t="shared" si="121"/>
        <v>0</v>
      </c>
      <c r="R487">
        <f t="shared" si="118"/>
        <v>0</v>
      </c>
      <c r="S487">
        <f t="shared" si="114"/>
        <v>0</v>
      </c>
      <c r="T487">
        <f t="shared" si="114"/>
        <v>0</v>
      </c>
      <c r="U487">
        <f t="shared" si="114"/>
        <v>0</v>
      </c>
      <c r="V487" s="108">
        <f t="shared" si="115"/>
        <v>194</v>
      </c>
      <c r="W487" s="26">
        <f t="shared" si="116"/>
        <v>1154</v>
      </c>
      <c r="X487">
        <f t="shared" si="117"/>
        <v>0</v>
      </c>
      <c r="Y487">
        <f t="shared" si="119"/>
        <v>9.6166666666666671</v>
      </c>
      <c r="Z487">
        <f t="shared" si="120"/>
        <v>0</v>
      </c>
    </row>
    <row r="488" spans="11:26" x14ac:dyDescent="0.25">
      <c r="K488" s="105">
        <v>455</v>
      </c>
      <c r="L488">
        <f t="shared" si="121"/>
        <v>0</v>
      </c>
      <c r="M488">
        <f t="shared" si="121"/>
        <v>12</v>
      </c>
      <c r="N488">
        <f t="shared" si="121"/>
        <v>104</v>
      </c>
      <c r="O488">
        <f t="shared" si="121"/>
        <v>78</v>
      </c>
      <c r="P488">
        <f t="shared" si="121"/>
        <v>0</v>
      </c>
      <c r="Q488">
        <f t="shared" si="121"/>
        <v>0</v>
      </c>
      <c r="R488">
        <f t="shared" si="118"/>
        <v>0</v>
      </c>
      <c r="S488">
        <f t="shared" si="114"/>
        <v>0</v>
      </c>
      <c r="T488">
        <f t="shared" si="114"/>
        <v>0</v>
      </c>
      <c r="U488">
        <f t="shared" si="114"/>
        <v>0</v>
      </c>
      <c r="V488" s="108">
        <f t="shared" si="115"/>
        <v>194</v>
      </c>
      <c r="W488" s="26">
        <f t="shared" si="116"/>
        <v>1154</v>
      </c>
      <c r="X488">
        <f t="shared" si="117"/>
        <v>0</v>
      </c>
      <c r="Y488">
        <f t="shared" si="119"/>
        <v>9.6166666666666671</v>
      </c>
      <c r="Z488">
        <f t="shared" si="120"/>
        <v>0</v>
      </c>
    </row>
    <row r="489" spans="11:26" x14ac:dyDescent="0.25">
      <c r="K489" s="105">
        <v>456</v>
      </c>
      <c r="L489">
        <f t="shared" si="121"/>
        <v>0</v>
      </c>
      <c r="M489">
        <f t="shared" si="121"/>
        <v>12</v>
      </c>
      <c r="N489">
        <f t="shared" si="121"/>
        <v>104</v>
      </c>
      <c r="O489">
        <f t="shared" si="121"/>
        <v>78</v>
      </c>
      <c r="P489">
        <f t="shared" si="121"/>
        <v>0</v>
      </c>
      <c r="Q489">
        <f t="shared" si="121"/>
        <v>0</v>
      </c>
      <c r="R489">
        <f t="shared" si="118"/>
        <v>0</v>
      </c>
      <c r="S489">
        <f t="shared" si="114"/>
        <v>0</v>
      </c>
      <c r="T489">
        <f t="shared" si="114"/>
        <v>0</v>
      </c>
      <c r="U489">
        <f t="shared" si="114"/>
        <v>0</v>
      </c>
      <c r="V489" s="108">
        <f t="shared" si="115"/>
        <v>194</v>
      </c>
      <c r="W489" s="26">
        <f t="shared" si="116"/>
        <v>1154</v>
      </c>
      <c r="X489">
        <f t="shared" si="117"/>
        <v>0</v>
      </c>
      <c r="Y489">
        <f t="shared" si="119"/>
        <v>9.6166666666666671</v>
      </c>
      <c r="Z489">
        <f t="shared" si="120"/>
        <v>0</v>
      </c>
    </row>
    <row r="490" spans="11:26" x14ac:dyDescent="0.25">
      <c r="K490" s="105">
        <v>457</v>
      </c>
      <c r="L490">
        <f t="shared" si="121"/>
        <v>0</v>
      </c>
      <c r="M490">
        <f t="shared" si="121"/>
        <v>12</v>
      </c>
      <c r="N490">
        <f t="shared" si="121"/>
        <v>104</v>
      </c>
      <c r="O490">
        <f t="shared" si="121"/>
        <v>78</v>
      </c>
      <c r="P490">
        <f t="shared" si="121"/>
        <v>0</v>
      </c>
      <c r="Q490">
        <f t="shared" si="121"/>
        <v>0</v>
      </c>
      <c r="R490">
        <f t="shared" si="118"/>
        <v>0</v>
      </c>
      <c r="S490">
        <f t="shared" si="114"/>
        <v>0</v>
      </c>
      <c r="T490">
        <f t="shared" si="114"/>
        <v>0</v>
      </c>
      <c r="U490">
        <f t="shared" si="114"/>
        <v>0</v>
      </c>
      <c r="V490" s="108">
        <f t="shared" si="115"/>
        <v>194</v>
      </c>
      <c r="W490" s="26">
        <f t="shared" si="116"/>
        <v>1154</v>
      </c>
      <c r="X490">
        <f t="shared" si="117"/>
        <v>0</v>
      </c>
      <c r="Y490">
        <f t="shared" si="119"/>
        <v>9.6166666666666671</v>
      </c>
      <c r="Z490">
        <f t="shared" si="120"/>
        <v>0</v>
      </c>
    </row>
    <row r="491" spans="11:26" x14ac:dyDescent="0.25">
      <c r="K491" s="105">
        <v>458</v>
      </c>
      <c r="L491">
        <f t="shared" si="121"/>
        <v>0</v>
      </c>
      <c r="M491">
        <f t="shared" si="121"/>
        <v>12</v>
      </c>
      <c r="N491">
        <f t="shared" si="121"/>
        <v>104</v>
      </c>
      <c r="O491">
        <f t="shared" si="121"/>
        <v>78</v>
      </c>
      <c r="P491">
        <f t="shared" si="121"/>
        <v>0</v>
      </c>
      <c r="Q491">
        <f t="shared" si="121"/>
        <v>0</v>
      </c>
      <c r="R491">
        <f t="shared" si="118"/>
        <v>0</v>
      </c>
      <c r="S491">
        <f t="shared" si="114"/>
        <v>0</v>
      </c>
      <c r="T491">
        <f t="shared" si="114"/>
        <v>0</v>
      </c>
      <c r="U491">
        <f t="shared" si="114"/>
        <v>0</v>
      </c>
      <c r="V491" s="108">
        <f t="shared" si="115"/>
        <v>194</v>
      </c>
      <c r="W491" s="26">
        <f t="shared" si="116"/>
        <v>1154</v>
      </c>
      <c r="X491">
        <f t="shared" si="117"/>
        <v>0</v>
      </c>
      <c r="Y491">
        <f t="shared" si="119"/>
        <v>9.6166666666666671</v>
      </c>
      <c r="Z491">
        <f t="shared" si="120"/>
        <v>0</v>
      </c>
    </row>
    <row r="492" spans="11:26" x14ac:dyDescent="0.25">
      <c r="K492" s="105">
        <v>459</v>
      </c>
      <c r="L492">
        <f t="shared" si="121"/>
        <v>0</v>
      </c>
      <c r="M492">
        <f t="shared" si="121"/>
        <v>12</v>
      </c>
      <c r="N492">
        <f t="shared" si="121"/>
        <v>104</v>
      </c>
      <c r="O492">
        <f t="shared" si="121"/>
        <v>78</v>
      </c>
      <c r="P492">
        <f t="shared" si="121"/>
        <v>0</v>
      </c>
      <c r="Q492">
        <f t="shared" si="121"/>
        <v>0</v>
      </c>
      <c r="R492">
        <f t="shared" si="118"/>
        <v>0</v>
      </c>
      <c r="S492">
        <f t="shared" si="114"/>
        <v>0</v>
      </c>
      <c r="T492">
        <f t="shared" si="114"/>
        <v>0</v>
      </c>
      <c r="U492">
        <f t="shared" si="114"/>
        <v>0</v>
      </c>
      <c r="V492" s="108">
        <f t="shared" si="115"/>
        <v>194</v>
      </c>
      <c r="W492" s="26">
        <f t="shared" si="116"/>
        <v>1154</v>
      </c>
      <c r="X492">
        <f t="shared" si="117"/>
        <v>0</v>
      </c>
      <c r="Y492">
        <f t="shared" si="119"/>
        <v>9.6166666666666671</v>
      </c>
      <c r="Z492">
        <f t="shared" si="120"/>
        <v>0</v>
      </c>
    </row>
    <row r="493" spans="11:26" x14ac:dyDescent="0.25">
      <c r="K493" s="105">
        <v>460</v>
      </c>
      <c r="L493">
        <f t="shared" si="121"/>
        <v>0</v>
      </c>
      <c r="M493">
        <f t="shared" si="121"/>
        <v>12</v>
      </c>
      <c r="N493">
        <f t="shared" si="121"/>
        <v>104</v>
      </c>
      <c r="O493">
        <f t="shared" si="121"/>
        <v>78</v>
      </c>
      <c r="P493">
        <f t="shared" si="121"/>
        <v>0</v>
      </c>
      <c r="Q493">
        <f t="shared" si="121"/>
        <v>0</v>
      </c>
      <c r="R493">
        <f t="shared" si="118"/>
        <v>0</v>
      </c>
      <c r="S493">
        <f t="shared" si="114"/>
        <v>0</v>
      </c>
      <c r="T493">
        <f t="shared" si="114"/>
        <v>0</v>
      </c>
      <c r="U493">
        <f t="shared" si="114"/>
        <v>0</v>
      </c>
      <c r="V493" s="108">
        <f t="shared" si="115"/>
        <v>194</v>
      </c>
      <c r="W493" s="26">
        <f t="shared" si="116"/>
        <v>1154</v>
      </c>
      <c r="X493">
        <f t="shared" si="117"/>
        <v>0</v>
      </c>
      <c r="Y493">
        <f t="shared" si="119"/>
        <v>9.6166666666666671</v>
      </c>
      <c r="Z493">
        <f t="shared" si="120"/>
        <v>0</v>
      </c>
    </row>
    <row r="494" spans="11:26" x14ac:dyDescent="0.25">
      <c r="K494" s="105">
        <v>461</v>
      </c>
      <c r="L494">
        <f t="shared" ref="L494:Q503" si="122">IF(MID(DEC2BIN($K494,10),L$32,1)="1",L$33,0)</f>
        <v>0</v>
      </c>
      <c r="M494">
        <f t="shared" si="122"/>
        <v>12</v>
      </c>
      <c r="N494">
        <f t="shared" si="122"/>
        <v>104</v>
      </c>
      <c r="O494">
        <f t="shared" si="122"/>
        <v>78</v>
      </c>
      <c r="P494">
        <f t="shared" si="122"/>
        <v>0</v>
      </c>
      <c r="Q494">
        <f t="shared" si="122"/>
        <v>0</v>
      </c>
      <c r="R494">
        <f t="shared" si="118"/>
        <v>0</v>
      </c>
      <c r="S494">
        <f t="shared" ref="S494:U513" si="123">IF(MID(DEC2BIN($K494,10),S$32,1)="1",S$33,0)</f>
        <v>0</v>
      </c>
      <c r="T494">
        <f t="shared" si="123"/>
        <v>0</v>
      </c>
      <c r="U494">
        <f t="shared" si="123"/>
        <v>0</v>
      </c>
      <c r="V494" s="108">
        <f t="shared" si="115"/>
        <v>194</v>
      </c>
      <c r="W494" s="26">
        <f t="shared" si="116"/>
        <v>1154</v>
      </c>
      <c r="X494">
        <f t="shared" si="117"/>
        <v>0</v>
      </c>
      <c r="Y494">
        <f t="shared" si="119"/>
        <v>9.6166666666666671</v>
      </c>
      <c r="Z494">
        <f t="shared" si="120"/>
        <v>0</v>
      </c>
    </row>
    <row r="495" spans="11:26" x14ac:dyDescent="0.25">
      <c r="K495" s="105">
        <v>462</v>
      </c>
      <c r="L495">
        <f t="shared" si="122"/>
        <v>0</v>
      </c>
      <c r="M495">
        <f t="shared" si="122"/>
        <v>12</v>
      </c>
      <c r="N495">
        <f t="shared" si="122"/>
        <v>104</v>
      </c>
      <c r="O495">
        <f t="shared" si="122"/>
        <v>78</v>
      </c>
      <c r="P495">
        <f t="shared" si="122"/>
        <v>0</v>
      </c>
      <c r="Q495">
        <f t="shared" si="122"/>
        <v>0</v>
      </c>
      <c r="R495">
        <f t="shared" si="118"/>
        <v>0</v>
      </c>
      <c r="S495">
        <f t="shared" si="123"/>
        <v>0</v>
      </c>
      <c r="T495">
        <f t="shared" si="123"/>
        <v>0</v>
      </c>
      <c r="U495">
        <f t="shared" si="123"/>
        <v>0</v>
      </c>
      <c r="V495" s="108">
        <f t="shared" si="115"/>
        <v>194</v>
      </c>
      <c r="W495" s="26">
        <f t="shared" si="116"/>
        <v>1154</v>
      </c>
      <c r="X495">
        <f t="shared" si="117"/>
        <v>0</v>
      </c>
      <c r="Y495">
        <f t="shared" si="119"/>
        <v>9.6166666666666671</v>
      </c>
      <c r="Z495">
        <f t="shared" si="120"/>
        <v>0</v>
      </c>
    </row>
    <row r="496" spans="11:26" x14ac:dyDescent="0.25">
      <c r="K496" s="105">
        <v>463</v>
      </c>
      <c r="L496">
        <f t="shared" si="122"/>
        <v>0</v>
      </c>
      <c r="M496">
        <f t="shared" si="122"/>
        <v>12</v>
      </c>
      <c r="N496">
        <f t="shared" si="122"/>
        <v>104</v>
      </c>
      <c r="O496">
        <f t="shared" si="122"/>
        <v>78</v>
      </c>
      <c r="P496">
        <f t="shared" si="122"/>
        <v>0</v>
      </c>
      <c r="Q496">
        <f t="shared" si="122"/>
        <v>0</v>
      </c>
      <c r="R496">
        <f t="shared" si="118"/>
        <v>0</v>
      </c>
      <c r="S496">
        <f t="shared" si="123"/>
        <v>0</v>
      </c>
      <c r="T496">
        <f t="shared" si="123"/>
        <v>0</v>
      </c>
      <c r="U496">
        <f t="shared" si="123"/>
        <v>0</v>
      </c>
      <c r="V496" s="108">
        <f t="shared" si="115"/>
        <v>194</v>
      </c>
      <c r="W496" s="26">
        <f t="shared" si="116"/>
        <v>1154</v>
      </c>
      <c r="X496">
        <f t="shared" si="117"/>
        <v>0</v>
      </c>
      <c r="Y496">
        <f t="shared" si="119"/>
        <v>9.6166666666666671</v>
      </c>
      <c r="Z496">
        <f t="shared" si="120"/>
        <v>0</v>
      </c>
    </row>
    <row r="497" spans="11:26" x14ac:dyDescent="0.25">
      <c r="K497" s="105">
        <v>464</v>
      </c>
      <c r="L497">
        <f t="shared" si="122"/>
        <v>0</v>
      </c>
      <c r="M497">
        <f t="shared" si="122"/>
        <v>12</v>
      </c>
      <c r="N497">
        <f t="shared" si="122"/>
        <v>104</v>
      </c>
      <c r="O497">
        <f t="shared" si="122"/>
        <v>78</v>
      </c>
      <c r="P497">
        <f t="shared" si="122"/>
        <v>0</v>
      </c>
      <c r="Q497">
        <f t="shared" si="122"/>
        <v>117</v>
      </c>
      <c r="R497">
        <f t="shared" si="118"/>
        <v>0</v>
      </c>
      <c r="S497">
        <f t="shared" si="123"/>
        <v>0</v>
      </c>
      <c r="T497">
        <f t="shared" si="123"/>
        <v>0</v>
      </c>
      <c r="U497">
        <f t="shared" si="123"/>
        <v>0</v>
      </c>
      <c r="V497" s="108">
        <f t="shared" si="115"/>
        <v>311</v>
      </c>
      <c r="W497" s="26">
        <f t="shared" si="116"/>
        <v>1037</v>
      </c>
      <c r="X497">
        <f t="shared" si="117"/>
        <v>0</v>
      </c>
      <c r="Y497">
        <f t="shared" si="119"/>
        <v>8.6416666666666675</v>
      </c>
      <c r="Z497">
        <f t="shared" si="120"/>
        <v>0</v>
      </c>
    </row>
    <row r="498" spans="11:26" x14ac:dyDescent="0.25">
      <c r="K498" s="105">
        <v>465</v>
      </c>
      <c r="L498">
        <f t="shared" si="122"/>
        <v>0</v>
      </c>
      <c r="M498">
        <f t="shared" si="122"/>
        <v>12</v>
      </c>
      <c r="N498">
        <f t="shared" si="122"/>
        <v>104</v>
      </c>
      <c r="O498">
        <f t="shared" si="122"/>
        <v>78</v>
      </c>
      <c r="P498">
        <f t="shared" si="122"/>
        <v>0</v>
      </c>
      <c r="Q498">
        <f t="shared" si="122"/>
        <v>117</v>
      </c>
      <c r="R498">
        <f t="shared" si="118"/>
        <v>0</v>
      </c>
      <c r="S498">
        <f t="shared" si="123"/>
        <v>0</v>
      </c>
      <c r="T498">
        <f t="shared" si="123"/>
        <v>0</v>
      </c>
      <c r="U498">
        <f t="shared" si="123"/>
        <v>0</v>
      </c>
      <c r="V498" s="108">
        <f t="shared" si="115"/>
        <v>311</v>
      </c>
      <c r="W498" s="26">
        <f t="shared" si="116"/>
        <v>1037</v>
      </c>
      <c r="X498">
        <f t="shared" si="117"/>
        <v>0</v>
      </c>
      <c r="Y498">
        <f t="shared" si="119"/>
        <v>8.6416666666666675</v>
      </c>
      <c r="Z498">
        <f t="shared" si="120"/>
        <v>0</v>
      </c>
    </row>
    <row r="499" spans="11:26" x14ac:dyDescent="0.25">
      <c r="K499" s="105">
        <v>466</v>
      </c>
      <c r="L499">
        <f t="shared" si="122"/>
        <v>0</v>
      </c>
      <c r="M499">
        <f t="shared" si="122"/>
        <v>12</v>
      </c>
      <c r="N499">
        <f t="shared" si="122"/>
        <v>104</v>
      </c>
      <c r="O499">
        <f t="shared" si="122"/>
        <v>78</v>
      </c>
      <c r="P499">
        <f t="shared" si="122"/>
        <v>0</v>
      </c>
      <c r="Q499">
        <f t="shared" si="122"/>
        <v>117</v>
      </c>
      <c r="R499">
        <f t="shared" si="118"/>
        <v>0</v>
      </c>
      <c r="S499">
        <f t="shared" si="123"/>
        <v>0</v>
      </c>
      <c r="T499">
        <f t="shared" si="123"/>
        <v>0</v>
      </c>
      <c r="U499">
        <f t="shared" si="123"/>
        <v>0</v>
      </c>
      <c r="V499" s="108">
        <f t="shared" si="115"/>
        <v>311</v>
      </c>
      <c r="W499" s="26">
        <f t="shared" si="116"/>
        <v>1037</v>
      </c>
      <c r="X499">
        <f t="shared" si="117"/>
        <v>0</v>
      </c>
      <c r="Y499">
        <f t="shared" si="119"/>
        <v>8.6416666666666675</v>
      </c>
      <c r="Z499">
        <f t="shared" si="120"/>
        <v>0</v>
      </c>
    </row>
    <row r="500" spans="11:26" x14ac:dyDescent="0.25">
      <c r="K500" s="105">
        <v>467</v>
      </c>
      <c r="L500">
        <f t="shared" si="122"/>
        <v>0</v>
      </c>
      <c r="M500">
        <f t="shared" si="122"/>
        <v>12</v>
      </c>
      <c r="N500">
        <f t="shared" si="122"/>
        <v>104</v>
      </c>
      <c r="O500">
        <f t="shared" si="122"/>
        <v>78</v>
      </c>
      <c r="P500">
        <f t="shared" si="122"/>
        <v>0</v>
      </c>
      <c r="Q500">
        <f t="shared" si="122"/>
        <v>117</v>
      </c>
      <c r="R500">
        <f t="shared" si="118"/>
        <v>0</v>
      </c>
      <c r="S500">
        <f t="shared" si="123"/>
        <v>0</v>
      </c>
      <c r="T500">
        <f t="shared" si="123"/>
        <v>0</v>
      </c>
      <c r="U500">
        <f t="shared" si="123"/>
        <v>0</v>
      </c>
      <c r="V500" s="108">
        <f t="shared" si="115"/>
        <v>311</v>
      </c>
      <c r="W500" s="26">
        <f t="shared" si="116"/>
        <v>1037</v>
      </c>
      <c r="X500">
        <f t="shared" si="117"/>
        <v>0</v>
      </c>
      <c r="Y500">
        <f t="shared" si="119"/>
        <v>8.6416666666666675</v>
      </c>
      <c r="Z500">
        <f t="shared" si="120"/>
        <v>0</v>
      </c>
    </row>
    <row r="501" spans="11:26" x14ac:dyDescent="0.25">
      <c r="K501" s="105">
        <v>468</v>
      </c>
      <c r="L501">
        <f t="shared" si="122"/>
        <v>0</v>
      </c>
      <c r="M501">
        <f t="shared" si="122"/>
        <v>12</v>
      </c>
      <c r="N501">
        <f t="shared" si="122"/>
        <v>104</v>
      </c>
      <c r="O501">
        <f t="shared" si="122"/>
        <v>78</v>
      </c>
      <c r="P501">
        <f t="shared" si="122"/>
        <v>0</v>
      </c>
      <c r="Q501">
        <f t="shared" si="122"/>
        <v>117</v>
      </c>
      <c r="R501">
        <f t="shared" si="118"/>
        <v>0</v>
      </c>
      <c r="S501">
        <f t="shared" si="123"/>
        <v>0</v>
      </c>
      <c r="T501">
        <f t="shared" si="123"/>
        <v>0</v>
      </c>
      <c r="U501">
        <f t="shared" si="123"/>
        <v>0</v>
      </c>
      <c r="V501" s="108">
        <f t="shared" si="115"/>
        <v>311</v>
      </c>
      <c r="W501" s="26">
        <f t="shared" si="116"/>
        <v>1037</v>
      </c>
      <c r="X501">
        <f t="shared" si="117"/>
        <v>0</v>
      </c>
      <c r="Y501">
        <f t="shared" si="119"/>
        <v>8.6416666666666675</v>
      </c>
      <c r="Z501">
        <f t="shared" si="120"/>
        <v>0</v>
      </c>
    </row>
    <row r="502" spans="11:26" x14ac:dyDescent="0.25">
      <c r="K502" s="105">
        <v>469</v>
      </c>
      <c r="L502">
        <f t="shared" si="122"/>
        <v>0</v>
      </c>
      <c r="M502">
        <f t="shared" si="122"/>
        <v>12</v>
      </c>
      <c r="N502">
        <f t="shared" si="122"/>
        <v>104</v>
      </c>
      <c r="O502">
        <f t="shared" si="122"/>
        <v>78</v>
      </c>
      <c r="P502">
        <f t="shared" si="122"/>
        <v>0</v>
      </c>
      <c r="Q502">
        <f t="shared" si="122"/>
        <v>117</v>
      </c>
      <c r="R502">
        <f t="shared" si="118"/>
        <v>0</v>
      </c>
      <c r="S502">
        <f t="shared" si="123"/>
        <v>0</v>
      </c>
      <c r="T502">
        <f t="shared" si="123"/>
        <v>0</v>
      </c>
      <c r="U502">
        <f t="shared" si="123"/>
        <v>0</v>
      </c>
      <c r="V502" s="108">
        <f t="shared" si="115"/>
        <v>311</v>
      </c>
      <c r="W502" s="26">
        <f t="shared" si="116"/>
        <v>1037</v>
      </c>
      <c r="X502">
        <f t="shared" si="117"/>
        <v>0</v>
      </c>
      <c r="Y502">
        <f t="shared" si="119"/>
        <v>8.6416666666666675</v>
      </c>
      <c r="Z502">
        <f t="shared" si="120"/>
        <v>0</v>
      </c>
    </row>
    <row r="503" spans="11:26" x14ac:dyDescent="0.25">
      <c r="K503" s="105">
        <v>470</v>
      </c>
      <c r="L503">
        <f t="shared" si="122"/>
        <v>0</v>
      </c>
      <c r="M503">
        <f t="shared" si="122"/>
        <v>12</v>
      </c>
      <c r="N503">
        <f t="shared" si="122"/>
        <v>104</v>
      </c>
      <c r="O503">
        <f t="shared" si="122"/>
        <v>78</v>
      </c>
      <c r="P503">
        <f t="shared" si="122"/>
        <v>0</v>
      </c>
      <c r="Q503">
        <f t="shared" si="122"/>
        <v>117</v>
      </c>
      <c r="R503">
        <f t="shared" si="118"/>
        <v>0</v>
      </c>
      <c r="S503">
        <f t="shared" si="123"/>
        <v>0</v>
      </c>
      <c r="T503">
        <f t="shared" si="123"/>
        <v>0</v>
      </c>
      <c r="U503">
        <f t="shared" si="123"/>
        <v>0</v>
      </c>
      <c r="V503" s="108">
        <f t="shared" si="115"/>
        <v>311</v>
      </c>
      <c r="W503" s="26">
        <f t="shared" si="116"/>
        <v>1037</v>
      </c>
      <c r="X503">
        <f t="shared" si="117"/>
        <v>0</v>
      </c>
      <c r="Y503">
        <f t="shared" si="119"/>
        <v>8.6416666666666675</v>
      </c>
      <c r="Z503">
        <f t="shared" si="120"/>
        <v>0</v>
      </c>
    </row>
    <row r="504" spans="11:26" x14ac:dyDescent="0.25">
      <c r="K504" s="105">
        <v>471</v>
      </c>
      <c r="L504">
        <f t="shared" ref="L504:Q513" si="124">IF(MID(DEC2BIN($K504,10),L$32,1)="1",L$33,0)</f>
        <v>0</v>
      </c>
      <c r="M504">
        <f t="shared" si="124"/>
        <v>12</v>
      </c>
      <c r="N504">
        <f t="shared" si="124"/>
        <v>104</v>
      </c>
      <c r="O504">
        <f t="shared" si="124"/>
        <v>78</v>
      </c>
      <c r="P504">
        <f t="shared" si="124"/>
        <v>0</v>
      </c>
      <c r="Q504">
        <f t="shared" si="124"/>
        <v>117</v>
      </c>
      <c r="R504">
        <f t="shared" si="118"/>
        <v>0</v>
      </c>
      <c r="S504">
        <f t="shared" si="123"/>
        <v>0</v>
      </c>
      <c r="T504">
        <f t="shared" si="123"/>
        <v>0</v>
      </c>
      <c r="U504">
        <f t="shared" si="123"/>
        <v>0</v>
      </c>
      <c r="V504" s="108">
        <f t="shared" si="115"/>
        <v>311</v>
      </c>
      <c r="W504" s="26">
        <f t="shared" si="116"/>
        <v>1037</v>
      </c>
      <c r="X504">
        <f t="shared" si="117"/>
        <v>0</v>
      </c>
      <c r="Y504">
        <f t="shared" si="119"/>
        <v>8.6416666666666675</v>
      </c>
      <c r="Z504">
        <f t="shared" si="120"/>
        <v>0</v>
      </c>
    </row>
    <row r="505" spans="11:26" x14ac:dyDescent="0.25">
      <c r="K505" s="105">
        <v>472</v>
      </c>
      <c r="L505">
        <f t="shared" si="124"/>
        <v>0</v>
      </c>
      <c r="M505">
        <f t="shared" si="124"/>
        <v>12</v>
      </c>
      <c r="N505">
        <f t="shared" si="124"/>
        <v>104</v>
      </c>
      <c r="O505">
        <f t="shared" si="124"/>
        <v>78</v>
      </c>
      <c r="P505">
        <f t="shared" si="124"/>
        <v>0</v>
      </c>
      <c r="Q505">
        <f t="shared" si="124"/>
        <v>117</v>
      </c>
      <c r="R505">
        <f t="shared" si="118"/>
        <v>0</v>
      </c>
      <c r="S505">
        <f t="shared" si="123"/>
        <v>0</v>
      </c>
      <c r="T505">
        <f t="shared" si="123"/>
        <v>0</v>
      </c>
      <c r="U505">
        <f t="shared" si="123"/>
        <v>0</v>
      </c>
      <c r="V505" s="108">
        <f t="shared" si="115"/>
        <v>311</v>
      </c>
      <c r="W505" s="26">
        <f t="shared" si="116"/>
        <v>1037</v>
      </c>
      <c r="X505">
        <f t="shared" si="117"/>
        <v>0</v>
      </c>
      <c r="Y505">
        <f t="shared" si="119"/>
        <v>8.6416666666666675</v>
      </c>
      <c r="Z505">
        <f t="shared" si="120"/>
        <v>0</v>
      </c>
    </row>
    <row r="506" spans="11:26" x14ac:dyDescent="0.25">
      <c r="K506" s="105">
        <v>473</v>
      </c>
      <c r="L506">
        <f t="shared" si="124"/>
        <v>0</v>
      </c>
      <c r="M506">
        <f t="shared" si="124"/>
        <v>12</v>
      </c>
      <c r="N506">
        <f t="shared" si="124"/>
        <v>104</v>
      </c>
      <c r="O506">
        <f t="shared" si="124"/>
        <v>78</v>
      </c>
      <c r="P506">
        <f t="shared" si="124"/>
        <v>0</v>
      </c>
      <c r="Q506">
        <f t="shared" si="124"/>
        <v>117</v>
      </c>
      <c r="R506">
        <f t="shared" si="118"/>
        <v>0</v>
      </c>
      <c r="S506">
        <f t="shared" si="123"/>
        <v>0</v>
      </c>
      <c r="T506">
        <f t="shared" si="123"/>
        <v>0</v>
      </c>
      <c r="U506">
        <f t="shared" si="123"/>
        <v>0</v>
      </c>
      <c r="V506" s="108">
        <f t="shared" si="115"/>
        <v>311</v>
      </c>
      <c r="W506" s="26">
        <f t="shared" si="116"/>
        <v>1037</v>
      </c>
      <c r="X506">
        <f t="shared" si="117"/>
        <v>0</v>
      </c>
      <c r="Y506">
        <f t="shared" si="119"/>
        <v>8.6416666666666675</v>
      </c>
      <c r="Z506">
        <f t="shared" si="120"/>
        <v>0</v>
      </c>
    </row>
    <row r="507" spans="11:26" x14ac:dyDescent="0.25">
      <c r="K507" s="105">
        <v>474</v>
      </c>
      <c r="L507">
        <f t="shared" si="124"/>
        <v>0</v>
      </c>
      <c r="M507">
        <f t="shared" si="124"/>
        <v>12</v>
      </c>
      <c r="N507">
        <f t="shared" si="124"/>
        <v>104</v>
      </c>
      <c r="O507">
        <f t="shared" si="124"/>
        <v>78</v>
      </c>
      <c r="P507">
        <f t="shared" si="124"/>
        <v>0</v>
      </c>
      <c r="Q507">
        <f t="shared" si="124"/>
        <v>117</v>
      </c>
      <c r="R507">
        <f t="shared" si="118"/>
        <v>0</v>
      </c>
      <c r="S507">
        <f t="shared" si="123"/>
        <v>0</v>
      </c>
      <c r="T507">
        <f t="shared" si="123"/>
        <v>0</v>
      </c>
      <c r="U507">
        <f t="shared" si="123"/>
        <v>0</v>
      </c>
      <c r="V507" s="108">
        <f t="shared" si="115"/>
        <v>311</v>
      </c>
      <c r="W507" s="26">
        <f t="shared" si="116"/>
        <v>1037</v>
      </c>
      <c r="X507">
        <f t="shared" si="117"/>
        <v>0</v>
      </c>
      <c r="Y507">
        <f t="shared" si="119"/>
        <v>8.6416666666666675</v>
      </c>
      <c r="Z507">
        <f t="shared" si="120"/>
        <v>0</v>
      </c>
    </row>
    <row r="508" spans="11:26" x14ac:dyDescent="0.25">
      <c r="K508" s="105">
        <v>475</v>
      </c>
      <c r="L508">
        <f t="shared" si="124"/>
        <v>0</v>
      </c>
      <c r="M508">
        <f t="shared" si="124"/>
        <v>12</v>
      </c>
      <c r="N508">
        <f t="shared" si="124"/>
        <v>104</v>
      </c>
      <c r="O508">
        <f t="shared" si="124"/>
        <v>78</v>
      </c>
      <c r="P508">
        <f t="shared" si="124"/>
        <v>0</v>
      </c>
      <c r="Q508">
        <f t="shared" si="124"/>
        <v>117</v>
      </c>
      <c r="R508">
        <f t="shared" si="118"/>
        <v>0</v>
      </c>
      <c r="S508">
        <f t="shared" si="123"/>
        <v>0</v>
      </c>
      <c r="T508">
        <f t="shared" si="123"/>
        <v>0</v>
      </c>
      <c r="U508">
        <f t="shared" si="123"/>
        <v>0</v>
      </c>
      <c r="V508" s="108">
        <f t="shared" si="115"/>
        <v>311</v>
      </c>
      <c r="W508" s="26">
        <f t="shared" si="116"/>
        <v>1037</v>
      </c>
      <c r="X508">
        <f t="shared" si="117"/>
        <v>0</v>
      </c>
      <c r="Y508">
        <f t="shared" si="119"/>
        <v>8.6416666666666675</v>
      </c>
      <c r="Z508">
        <f t="shared" si="120"/>
        <v>0</v>
      </c>
    </row>
    <row r="509" spans="11:26" x14ac:dyDescent="0.25">
      <c r="K509" s="105">
        <v>476</v>
      </c>
      <c r="L509">
        <f t="shared" si="124"/>
        <v>0</v>
      </c>
      <c r="M509">
        <f t="shared" si="124"/>
        <v>12</v>
      </c>
      <c r="N509">
        <f t="shared" si="124"/>
        <v>104</v>
      </c>
      <c r="O509">
        <f t="shared" si="124"/>
        <v>78</v>
      </c>
      <c r="P509">
        <f t="shared" si="124"/>
        <v>0</v>
      </c>
      <c r="Q509">
        <f t="shared" si="124"/>
        <v>117</v>
      </c>
      <c r="R509">
        <f t="shared" si="118"/>
        <v>0</v>
      </c>
      <c r="S509">
        <f t="shared" si="123"/>
        <v>0</v>
      </c>
      <c r="T509">
        <f t="shared" si="123"/>
        <v>0</v>
      </c>
      <c r="U509">
        <f t="shared" si="123"/>
        <v>0</v>
      </c>
      <c r="V509" s="108">
        <f t="shared" si="115"/>
        <v>311</v>
      </c>
      <c r="W509" s="26">
        <f t="shared" si="116"/>
        <v>1037</v>
      </c>
      <c r="X509">
        <f t="shared" si="117"/>
        <v>0</v>
      </c>
      <c r="Y509">
        <f t="shared" si="119"/>
        <v>8.6416666666666675</v>
      </c>
      <c r="Z509">
        <f t="shared" si="120"/>
        <v>0</v>
      </c>
    </row>
    <row r="510" spans="11:26" x14ac:dyDescent="0.25">
      <c r="K510" s="105">
        <v>477</v>
      </c>
      <c r="L510">
        <f t="shared" si="124"/>
        <v>0</v>
      </c>
      <c r="M510">
        <f t="shared" si="124"/>
        <v>12</v>
      </c>
      <c r="N510">
        <f t="shared" si="124"/>
        <v>104</v>
      </c>
      <c r="O510">
        <f t="shared" si="124"/>
        <v>78</v>
      </c>
      <c r="P510">
        <f t="shared" si="124"/>
        <v>0</v>
      </c>
      <c r="Q510">
        <f t="shared" si="124"/>
        <v>117</v>
      </c>
      <c r="R510">
        <f t="shared" si="118"/>
        <v>0</v>
      </c>
      <c r="S510">
        <f t="shared" si="123"/>
        <v>0</v>
      </c>
      <c r="T510">
        <f t="shared" si="123"/>
        <v>0</v>
      </c>
      <c r="U510">
        <f t="shared" si="123"/>
        <v>0</v>
      </c>
      <c r="V510" s="108">
        <f t="shared" si="115"/>
        <v>311</v>
      </c>
      <c r="W510" s="26">
        <f t="shared" si="116"/>
        <v>1037</v>
      </c>
      <c r="X510">
        <f t="shared" si="117"/>
        <v>0</v>
      </c>
      <c r="Y510">
        <f t="shared" si="119"/>
        <v>8.6416666666666675</v>
      </c>
      <c r="Z510">
        <f t="shared" si="120"/>
        <v>0</v>
      </c>
    </row>
    <row r="511" spans="11:26" x14ac:dyDescent="0.25">
      <c r="K511" s="105">
        <v>478</v>
      </c>
      <c r="L511">
        <f t="shared" si="124"/>
        <v>0</v>
      </c>
      <c r="M511">
        <f t="shared" si="124"/>
        <v>12</v>
      </c>
      <c r="N511">
        <f t="shared" si="124"/>
        <v>104</v>
      </c>
      <c r="O511">
        <f t="shared" si="124"/>
        <v>78</v>
      </c>
      <c r="P511">
        <f t="shared" si="124"/>
        <v>0</v>
      </c>
      <c r="Q511">
        <f t="shared" si="124"/>
        <v>117</v>
      </c>
      <c r="R511">
        <f t="shared" si="118"/>
        <v>0</v>
      </c>
      <c r="S511">
        <f t="shared" si="123"/>
        <v>0</v>
      </c>
      <c r="T511">
        <f t="shared" si="123"/>
        <v>0</v>
      </c>
      <c r="U511">
        <f t="shared" si="123"/>
        <v>0</v>
      </c>
      <c r="V511" s="108">
        <f t="shared" si="115"/>
        <v>311</v>
      </c>
      <c r="W511" s="26">
        <f t="shared" si="116"/>
        <v>1037</v>
      </c>
      <c r="X511">
        <f t="shared" si="117"/>
        <v>0</v>
      </c>
      <c r="Y511">
        <f t="shared" si="119"/>
        <v>8.6416666666666675</v>
      </c>
      <c r="Z511">
        <f t="shared" si="120"/>
        <v>0</v>
      </c>
    </row>
    <row r="512" spans="11:26" x14ac:dyDescent="0.25">
      <c r="K512" s="105">
        <v>479</v>
      </c>
      <c r="L512">
        <f t="shared" si="124"/>
        <v>0</v>
      </c>
      <c r="M512">
        <f t="shared" si="124"/>
        <v>12</v>
      </c>
      <c r="N512">
        <f t="shared" si="124"/>
        <v>104</v>
      </c>
      <c r="O512">
        <f t="shared" si="124"/>
        <v>78</v>
      </c>
      <c r="P512">
        <f t="shared" si="124"/>
        <v>0</v>
      </c>
      <c r="Q512">
        <f t="shared" si="124"/>
        <v>117</v>
      </c>
      <c r="R512">
        <f t="shared" si="118"/>
        <v>0</v>
      </c>
      <c r="S512">
        <f t="shared" si="123"/>
        <v>0</v>
      </c>
      <c r="T512">
        <f t="shared" si="123"/>
        <v>0</v>
      </c>
      <c r="U512">
        <f t="shared" si="123"/>
        <v>0</v>
      </c>
      <c r="V512" s="108">
        <f t="shared" si="115"/>
        <v>311</v>
      </c>
      <c r="W512" s="26">
        <f t="shared" si="116"/>
        <v>1037</v>
      </c>
      <c r="X512">
        <f t="shared" si="117"/>
        <v>0</v>
      </c>
      <c r="Y512">
        <f t="shared" si="119"/>
        <v>8.6416666666666675</v>
      </c>
      <c r="Z512">
        <f t="shared" si="120"/>
        <v>0</v>
      </c>
    </row>
    <row r="513" spans="11:26" x14ac:dyDescent="0.25">
      <c r="K513" s="105">
        <v>480</v>
      </c>
      <c r="L513">
        <f t="shared" si="124"/>
        <v>0</v>
      </c>
      <c r="M513">
        <f t="shared" si="124"/>
        <v>12</v>
      </c>
      <c r="N513">
        <f t="shared" si="124"/>
        <v>104</v>
      </c>
      <c r="O513">
        <f t="shared" si="124"/>
        <v>78</v>
      </c>
      <c r="P513">
        <f t="shared" si="124"/>
        <v>89</v>
      </c>
      <c r="Q513">
        <f t="shared" si="124"/>
        <v>0</v>
      </c>
      <c r="R513">
        <f t="shared" si="118"/>
        <v>0</v>
      </c>
      <c r="S513">
        <f t="shared" si="123"/>
        <v>0</v>
      </c>
      <c r="T513">
        <f t="shared" si="123"/>
        <v>0</v>
      </c>
      <c r="U513">
        <f t="shared" si="123"/>
        <v>0</v>
      </c>
      <c r="V513" s="108">
        <f t="shared" si="115"/>
        <v>283</v>
      </c>
      <c r="W513" s="26">
        <f t="shared" si="116"/>
        <v>1065</v>
      </c>
      <c r="X513">
        <f t="shared" si="117"/>
        <v>0</v>
      </c>
      <c r="Y513">
        <f t="shared" si="119"/>
        <v>8.875</v>
      </c>
      <c r="Z513">
        <f t="shared" si="120"/>
        <v>0</v>
      </c>
    </row>
    <row r="514" spans="11:26" x14ac:dyDescent="0.25">
      <c r="K514" s="105">
        <v>481</v>
      </c>
      <c r="L514">
        <f t="shared" ref="L514:Q523" si="125">IF(MID(DEC2BIN($K514,10),L$32,1)="1",L$33,0)</f>
        <v>0</v>
      </c>
      <c r="M514">
        <f t="shared" si="125"/>
        <v>12</v>
      </c>
      <c r="N514">
        <f t="shared" si="125"/>
        <v>104</v>
      </c>
      <c r="O514">
        <f t="shared" si="125"/>
        <v>78</v>
      </c>
      <c r="P514">
        <f t="shared" si="125"/>
        <v>89</v>
      </c>
      <c r="Q514">
        <f t="shared" si="125"/>
        <v>0</v>
      </c>
      <c r="R514">
        <f t="shared" si="118"/>
        <v>0</v>
      </c>
      <c r="S514">
        <f t="shared" ref="S514:U533" si="126">IF(MID(DEC2BIN($K514,10),S$32,1)="1",S$33,0)</f>
        <v>0</v>
      </c>
      <c r="T514">
        <f t="shared" si="126"/>
        <v>0</v>
      </c>
      <c r="U514">
        <f t="shared" si="126"/>
        <v>0</v>
      </c>
      <c r="V514" s="108">
        <f t="shared" si="115"/>
        <v>283</v>
      </c>
      <c r="W514" s="26">
        <f t="shared" si="116"/>
        <v>1065</v>
      </c>
      <c r="X514">
        <f t="shared" si="117"/>
        <v>0</v>
      </c>
      <c r="Y514">
        <f t="shared" si="119"/>
        <v>8.875</v>
      </c>
      <c r="Z514">
        <f t="shared" si="120"/>
        <v>0</v>
      </c>
    </row>
    <row r="515" spans="11:26" x14ac:dyDescent="0.25">
      <c r="K515" s="105">
        <v>482</v>
      </c>
      <c r="L515">
        <f t="shared" si="125"/>
        <v>0</v>
      </c>
      <c r="M515">
        <f t="shared" si="125"/>
        <v>12</v>
      </c>
      <c r="N515">
        <f t="shared" si="125"/>
        <v>104</v>
      </c>
      <c r="O515">
        <f t="shared" si="125"/>
        <v>78</v>
      </c>
      <c r="P515">
        <f t="shared" si="125"/>
        <v>89</v>
      </c>
      <c r="Q515">
        <f t="shared" si="125"/>
        <v>0</v>
      </c>
      <c r="R515">
        <f t="shared" si="118"/>
        <v>0</v>
      </c>
      <c r="S515">
        <f t="shared" si="126"/>
        <v>0</v>
      </c>
      <c r="T515">
        <f t="shared" si="126"/>
        <v>0</v>
      </c>
      <c r="U515">
        <f t="shared" si="126"/>
        <v>0</v>
      </c>
      <c r="V515" s="108">
        <f t="shared" si="115"/>
        <v>283</v>
      </c>
      <c r="W515" s="26">
        <f t="shared" si="116"/>
        <v>1065</v>
      </c>
      <c r="X515">
        <f t="shared" si="117"/>
        <v>0</v>
      </c>
      <c r="Y515">
        <f t="shared" si="119"/>
        <v>8.875</v>
      </c>
      <c r="Z515">
        <f t="shared" si="120"/>
        <v>0</v>
      </c>
    </row>
    <row r="516" spans="11:26" x14ac:dyDescent="0.25">
      <c r="K516" s="105">
        <v>483</v>
      </c>
      <c r="L516">
        <f t="shared" si="125"/>
        <v>0</v>
      </c>
      <c r="M516">
        <f t="shared" si="125"/>
        <v>12</v>
      </c>
      <c r="N516">
        <f t="shared" si="125"/>
        <v>104</v>
      </c>
      <c r="O516">
        <f t="shared" si="125"/>
        <v>78</v>
      </c>
      <c r="P516">
        <f t="shared" si="125"/>
        <v>89</v>
      </c>
      <c r="Q516">
        <f t="shared" si="125"/>
        <v>0</v>
      </c>
      <c r="R516">
        <f t="shared" si="118"/>
        <v>0</v>
      </c>
      <c r="S516">
        <f t="shared" si="126"/>
        <v>0</v>
      </c>
      <c r="T516">
        <f t="shared" si="126"/>
        <v>0</v>
      </c>
      <c r="U516">
        <f t="shared" si="126"/>
        <v>0</v>
      </c>
      <c r="V516" s="108">
        <f t="shared" si="115"/>
        <v>283</v>
      </c>
      <c r="W516" s="26">
        <f t="shared" si="116"/>
        <v>1065</v>
      </c>
      <c r="X516">
        <f t="shared" si="117"/>
        <v>0</v>
      </c>
      <c r="Y516">
        <f t="shared" si="119"/>
        <v>8.875</v>
      </c>
      <c r="Z516">
        <f t="shared" si="120"/>
        <v>0</v>
      </c>
    </row>
    <row r="517" spans="11:26" x14ac:dyDescent="0.25">
      <c r="K517" s="105">
        <v>484</v>
      </c>
      <c r="L517">
        <f t="shared" si="125"/>
        <v>0</v>
      </c>
      <c r="M517">
        <f t="shared" si="125"/>
        <v>12</v>
      </c>
      <c r="N517">
        <f t="shared" si="125"/>
        <v>104</v>
      </c>
      <c r="O517">
        <f t="shared" si="125"/>
        <v>78</v>
      </c>
      <c r="P517">
        <f t="shared" si="125"/>
        <v>89</v>
      </c>
      <c r="Q517">
        <f t="shared" si="125"/>
        <v>0</v>
      </c>
      <c r="R517">
        <f t="shared" si="118"/>
        <v>0</v>
      </c>
      <c r="S517">
        <f t="shared" si="126"/>
        <v>0</v>
      </c>
      <c r="T517">
        <f t="shared" si="126"/>
        <v>0</v>
      </c>
      <c r="U517">
        <f t="shared" si="126"/>
        <v>0</v>
      </c>
      <c r="V517" s="108">
        <f t="shared" si="115"/>
        <v>283</v>
      </c>
      <c r="W517" s="26">
        <f t="shared" si="116"/>
        <v>1065</v>
      </c>
      <c r="X517">
        <f t="shared" si="117"/>
        <v>0</v>
      </c>
      <c r="Y517">
        <f t="shared" si="119"/>
        <v>8.875</v>
      </c>
      <c r="Z517">
        <f t="shared" si="120"/>
        <v>0</v>
      </c>
    </row>
    <row r="518" spans="11:26" x14ac:dyDescent="0.25">
      <c r="K518" s="105">
        <v>485</v>
      </c>
      <c r="L518">
        <f t="shared" si="125"/>
        <v>0</v>
      </c>
      <c r="M518">
        <f t="shared" si="125"/>
        <v>12</v>
      </c>
      <c r="N518">
        <f t="shared" si="125"/>
        <v>104</v>
      </c>
      <c r="O518">
        <f t="shared" si="125"/>
        <v>78</v>
      </c>
      <c r="P518">
        <f t="shared" si="125"/>
        <v>89</v>
      </c>
      <c r="Q518">
        <f t="shared" si="125"/>
        <v>0</v>
      </c>
      <c r="R518">
        <f t="shared" si="118"/>
        <v>0</v>
      </c>
      <c r="S518">
        <f t="shared" si="126"/>
        <v>0</v>
      </c>
      <c r="T518">
        <f t="shared" si="126"/>
        <v>0</v>
      </c>
      <c r="U518">
        <f t="shared" si="126"/>
        <v>0</v>
      </c>
      <c r="V518" s="108">
        <f t="shared" si="115"/>
        <v>283</v>
      </c>
      <c r="W518" s="26">
        <f t="shared" si="116"/>
        <v>1065</v>
      </c>
      <c r="X518">
        <f t="shared" si="117"/>
        <v>0</v>
      </c>
      <c r="Y518">
        <f t="shared" si="119"/>
        <v>8.875</v>
      </c>
      <c r="Z518">
        <f t="shared" si="120"/>
        <v>0</v>
      </c>
    </row>
    <row r="519" spans="11:26" x14ac:dyDescent="0.25">
      <c r="K519" s="105">
        <v>486</v>
      </c>
      <c r="L519">
        <f t="shared" si="125"/>
        <v>0</v>
      </c>
      <c r="M519">
        <f t="shared" si="125"/>
        <v>12</v>
      </c>
      <c r="N519">
        <f t="shared" si="125"/>
        <v>104</v>
      </c>
      <c r="O519">
        <f t="shared" si="125"/>
        <v>78</v>
      </c>
      <c r="P519">
        <f t="shared" si="125"/>
        <v>89</v>
      </c>
      <c r="Q519">
        <f t="shared" si="125"/>
        <v>0</v>
      </c>
      <c r="R519">
        <f t="shared" si="118"/>
        <v>0</v>
      </c>
      <c r="S519">
        <f t="shared" si="126"/>
        <v>0</v>
      </c>
      <c r="T519">
        <f t="shared" si="126"/>
        <v>0</v>
      </c>
      <c r="U519">
        <f t="shared" si="126"/>
        <v>0</v>
      </c>
      <c r="V519" s="108">
        <f t="shared" si="115"/>
        <v>283</v>
      </c>
      <c r="W519" s="26">
        <f t="shared" si="116"/>
        <v>1065</v>
      </c>
      <c r="X519">
        <f t="shared" si="117"/>
        <v>0</v>
      </c>
      <c r="Y519">
        <f t="shared" si="119"/>
        <v>8.875</v>
      </c>
      <c r="Z519">
        <f t="shared" si="120"/>
        <v>0</v>
      </c>
    </row>
    <row r="520" spans="11:26" x14ac:dyDescent="0.25">
      <c r="K520" s="105">
        <v>487</v>
      </c>
      <c r="L520">
        <f t="shared" si="125"/>
        <v>0</v>
      </c>
      <c r="M520">
        <f t="shared" si="125"/>
        <v>12</v>
      </c>
      <c r="N520">
        <f t="shared" si="125"/>
        <v>104</v>
      </c>
      <c r="O520">
        <f t="shared" si="125"/>
        <v>78</v>
      </c>
      <c r="P520">
        <f t="shared" si="125"/>
        <v>89</v>
      </c>
      <c r="Q520">
        <f t="shared" si="125"/>
        <v>0</v>
      </c>
      <c r="R520">
        <f t="shared" si="118"/>
        <v>0</v>
      </c>
      <c r="S520">
        <f t="shared" si="126"/>
        <v>0</v>
      </c>
      <c r="T520">
        <f t="shared" si="126"/>
        <v>0</v>
      </c>
      <c r="U520">
        <f t="shared" si="126"/>
        <v>0</v>
      </c>
      <c r="V520" s="108">
        <f t="shared" si="115"/>
        <v>283</v>
      </c>
      <c r="W520" s="26">
        <f t="shared" si="116"/>
        <v>1065</v>
      </c>
      <c r="X520">
        <f t="shared" si="117"/>
        <v>0</v>
      </c>
      <c r="Y520">
        <f t="shared" si="119"/>
        <v>8.875</v>
      </c>
      <c r="Z520">
        <f t="shared" si="120"/>
        <v>0</v>
      </c>
    </row>
    <row r="521" spans="11:26" x14ac:dyDescent="0.25">
      <c r="K521" s="105">
        <v>488</v>
      </c>
      <c r="L521">
        <f t="shared" si="125"/>
        <v>0</v>
      </c>
      <c r="M521">
        <f t="shared" si="125"/>
        <v>12</v>
      </c>
      <c r="N521">
        <f t="shared" si="125"/>
        <v>104</v>
      </c>
      <c r="O521">
        <f t="shared" si="125"/>
        <v>78</v>
      </c>
      <c r="P521">
        <f t="shared" si="125"/>
        <v>89</v>
      </c>
      <c r="Q521">
        <f t="shared" si="125"/>
        <v>0</v>
      </c>
      <c r="R521">
        <f t="shared" si="118"/>
        <v>0</v>
      </c>
      <c r="S521">
        <f t="shared" si="126"/>
        <v>0</v>
      </c>
      <c r="T521">
        <f t="shared" si="126"/>
        <v>0</v>
      </c>
      <c r="U521">
        <f t="shared" si="126"/>
        <v>0</v>
      </c>
      <c r="V521" s="108">
        <f t="shared" si="115"/>
        <v>283</v>
      </c>
      <c r="W521" s="26">
        <f t="shared" si="116"/>
        <v>1065</v>
      </c>
      <c r="X521">
        <f t="shared" si="117"/>
        <v>0</v>
      </c>
      <c r="Y521">
        <f t="shared" si="119"/>
        <v>8.875</v>
      </c>
      <c r="Z521">
        <f t="shared" si="120"/>
        <v>0</v>
      </c>
    </row>
    <row r="522" spans="11:26" x14ac:dyDescent="0.25">
      <c r="K522" s="105">
        <v>489</v>
      </c>
      <c r="L522">
        <f t="shared" si="125"/>
        <v>0</v>
      </c>
      <c r="M522">
        <f t="shared" si="125"/>
        <v>12</v>
      </c>
      <c r="N522">
        <f t="shared" si="125"/>
        <v>104</v>
      </c>
      <c r="O522">
        <f t="shared" si="125"/>
        <v>78</v>
      </c>
      <c r="P522">
        <f t="shared" si="125"/>
        <v>89</v>
      </c>
      <c r="Q522">
        <f t="shared" si="125"/>
        <v>0</v>
      </c>
      <c r="R522">
        <f t="shared" si="118"/>
        <v>0</v>
      </c>
      <c r="S522">
        <f t="shared" si="126"/>
        <v>0</v>
      </c>
      <c r="T522">
        <f t="shared" si="126"/>
        <v>0</v>
      </c>
      <c r="U522">
        <f t="shared" si="126"/>
        <v>0</v>
      </c>
      <c r="V522" s="108">
        <f t="shared" si="115"/>
        <v>283</v>
      </c>
      <c r="W522" s="26">
        <f t="shared" si="116"/>
        <v>1065</v>
      </c>
      <c r="X522">
        <f t="shared" si="117"/>
        <v>0</v>
      </c>
      <c r="Y522">
        <f t="shared" si="119"/>
        <v>8.875</v>
      </c>
      <c r="Z522">
        <f t="shared" si="120"/>
        <v>0</v>
      </c>
    </row>
    <row r="523" spans="11:26" x14ac:dyDescent="0.25">
      <c r="K523" s="105">
        <v>490</v>
      </c>
      <c r="L523">
        <f t="shared" si="125"/>
        <v>0</v>
      </c>
      <c r="M523">
        <f t="shared" si="125"/>
        <v>12</v>
      </c>
      <c r="N523">
        <f t="shared" si="125"/>
        <v>104</v>
      </c>
      <c r="O523">
        <f t="shared" si="125"/>
        <v>78</v>
      </c>
      <c r="P523">
        <f t="shared" si="125"/>
        <v>89</v>
      </c>
      <c r="Q523">
        <f t="shared" si="125"/>
        <v>0</v>
      </c>
      <c r="R523">
        <f t="shared" si="118"/>
        <v>0</v>
      </c>
      <c r="S523">
        <f t="shared" si="126"/>
        <v>0</v>
      </c>
      <c r="T523">
        <f t="shared" si="126"/>
        <v>0</v>
      </c>
      <c r="U523">
        <f t="shared" si="126"/>
        <v>0</v>
      </c>
      <c r="V523" s="108">
        <f t="shared" si="115"/>
        <v>283</v>
      </c>
      <c r="W523" s="26">
        <f t="shared" si="116"/>
        <v>1065</v>
      </c>
      <c r="X523">
        <f t="shared" si="117"/>
        <v>0</v>
      </c>
      <c r="Y523">
        <f t="shared" si="119"/>
        <v>8.875</v>
      </c>
      <c r="Z523">
        <f t="shared" si="120"/>
        <v>0</v>
      </c>
    </row>
    <row r="524" spans="11:26" x14ac:dyDescent="0.25">
      <c r="K524" s="105">
        <v>491</v>
      </c>
      <c r="L524">
        <f t="shared" ref="L524:Q533" si="127">IF(MID(DEC2BIN($K524,10),L$32,1)="1",L$33,0)</f>
        <v>0</v>
      </c>
      <c r="M524">
        <f t="shared" si="127"/>
        <v>12</v>
      </c>
      <c r="N524">
        <f t="shared" si="127"/>
        <v>104</v>
      </c>
      <c r="O524">
        <f t="shared" si="127"/>
        <v>78</v>
      </c>
      <c r="P524">
        <f t="shared" si="127"/>
        <v>89</v>
      </c>
      <c r="Q524">
        <f t="shared" si="127"/>
        <v>0</v>
      </c>
      <c r="R524">
        <f t="shared" si="118"/>
        <v>0</v>
      </c>
      <c r="S524">
        <f t="shared" si="126"/>
        <v>0</v>
      </c>
      <c r="T524">
        <f t="shared" si="126"/>
        <v>0</v>
      </c>
      <c r="U524">
        <f t="shared" si="126"/>
        <v>0</v>
      </c>
      <c r="V524" s="108">
        <f t="shared" si="115"/>
        <v>283</v>
      </c>
      <c r="W524" s="26">
        <f t="shared" si="116"/>
        <v>1065</v>
      </c>
      <c r="X524">
        <f t="shared" si="117"/>
        <v>0</v>
      </c>
      <c r="Y524">
        <f t="shared" si="119"/>
        <v>8.875</v>
      </c>
      <c r="Z524">
        <f t="shared" si="120"/>
        <v>0</v>
      </c>
    </row>
    <row r="525" spans="11:26" x14ac:dyDescent="0.25">
      <c r="K525" s="105">
        <v>492</v>
      </c>
      <c r="L525">
        <f t="shared" si="127"/>
        <v>0</v>
      </c>
      <c r="M525">
        <f t="shared" si="127"/>
        <v>12</v>
      </c>
      <c r="N525">
        <f t="shared" si="127"/>
        <v>104</v>
      </c>
      <c r="O525">
        <f t="shared" si="127"/>
        <v>78</v>
      </c>
      <c r="P525">
        <f t="shared" si="127"/>
        <v>89</v>
      </c>
      <c r="Q525">
        <f t="shared" si="127"/>
        <v>0</v>
      </c>
      <c r="R525">
        <f t="shared" si="118"/>
        <v>0</v>
      </c>
      <c r="S525">
        <f t="shared" si="126"/>
        <v>0</v>
      </c>
      <c r="T525">
        <f t="shared" si="126"/>
        <v>0</v>
      </c>
      <c r="U525">
        <f t="shared" si="126"/>
        <v>0</v>
      </c>
      <c r="V525" s="108">
        <f t="shared" si="115"/>
        <v>283</v>
      </c>
      <c r="W525" s="26">
        <f t="shared" si="116"/>
        <v>1065</v>
      </c>
      <c r="X525">
        <f t="shared" si="117"/>
        <v>0</v>
      </c>
      <c r="Y525">
        <f t="shared" si="119"/>
        <v>8.875</v>
      </c>
      <c r="Z525">
        <f t="shared" si="120"/>
        <v>0</v>
      </c>
    </row>
    <row r="526" spans="11:26" x14ac:dyDescent="0.25">
      <c r="K526" s="105">
        <v>493</v>
      </c>
      <c r="L526">
        <f t="shared" si="127"/>
        <v>0</v>
      </c>
      <c r="M526">
        <f t="shared" si="127"/>
        <v>12</v>
      </c>
      <c r="N526">
        <f t="shared" si="127"/>
        <v>104</v>
      </c>
      <c r="O526">
        <f t="shared" si="127"/>
        <v>78</v>
      </c>
      <c r="P526">
        <f t="shared" si="127"/>
        <v>89</v>
      </c>
      <c r="Q526">
        <f t="shared" si="127"/>
        <v>0</v>
      </c>
      <c r="R526">
        <f t="shared" si="118"/>
        <v>0</v>
      </c>
      <c r="S526">
        <f t="shared" si="126"/>
        <v>0</v>
      </c>
      <c r="T526">
        <f t="shared" si="126"/>
        <v>0</v>
      </c>
      <c r="U526">
        <f t="shared" si="126"/>
        <v>0</v>
      </c>
      <c r="V526" s="108">
        <f t="shared" si="115"/>
        <v>283</v>
      </c>
      <c r="W526" s="26">
        <f t="shared" si="116"/>
        <v>1065</v>
      </c>
      <c r="X526">
        <f t="shared" si="117"/>
        <v>0</v>
      </c>
      <c r="Y526">
        <f t="shared" si="119"/>
        <v>8.875</v>
      </c>
      <c r="Z526">
        <f t="shared" si="120"/>
        <v>0</v>
      </c>
    </row>
    <row r="527" spans="11:26" x14ac:dyDescent="0.25">
      <c r="K527" s="105">
        <v>494</v>
      </c>
      <c r="L527">
        <f t="shared" si="127"/>
        <v>0</v>
      </c>
      <c r="M527">
        <f t="shared" si="127"/>
        <v>12</v>
      </c>
      <c r="N527">
        <f t="shared" si="127"/>
        <v>104</v>
      </c>
      <c r="O527">
        <f t="shared" si="127"/>
        <v>78</v>
      </c>
      <c r="P527">
        <f t="shared" si="127"/>
        <v>89</v>
      </c>
      <c r="Q527">
        <f t="shared" si="127"/>
        <v>0</v>
      </c>
      <c r="R527">
        <f t="shared" si="118"/>
        <v>0</v>
      </c>
      <c r="S527">
        <f t="shared" si="126"/>
        <v>0</v>
      </c>
      <c r="T527">
        <f t="shared" si="126"/>
        <v>0</v>
      </c>
      <c r="U527">
        <f t="shared" si="126"/>
        <v>0</v>
      </c>
      <c r="V527" s="108">
        <f t="shared" si="115"/>
        <v>283</v>
      </c>
      <c r="W527" s="26">
        <f t="shared" si="116"/>
        <v>1065</v>
      </c>
      <c r="X527">
        <f t="shared" si="117"/>
        <v>0</v>
      </c>
      <c r="Y527">
        <f t="shared" si="119"/>
        <v>8.875</v>
      </c>
      <c r="Z527">
        <f t="shared" si="120"/>
        <v>0</v>
      </c>
    </row>
    <row r="528" spans="11:26" x14ac:dyDescent="0.25">
      <c r="K528" s="105">
        <v>495</v>
      </c>
      <c r="L528">
        <f t="shared" si="127"/>
        <v>0</v>
      </c>
      <c r="M528">
        <f t="shared" si="127"/>
        <v>12</v>
      </c>
      <c r="N528">
        <f t="shared" si="127"/>
        <v>104</v>
      </c>
      <c r="O528">
        <f t="shared" si="127"/>
        <v>78</v>
      </c>
      <c r="P528">
        <f t="shared" si="127"/>
        <v>89</v>
      </c>
      <c r="Q528">
        <f t="shared" si="127"/>
        <v>0</v>
      </c>
      <c r="R528">
        <f t="shared" si="118"/>
        <v>0</v>
      </c>
      <c r="S528">
        <f t="shared" si="126"/>
        <v>0</v>
      </c>
      <c r="T528">
        <f t="shared" si="126"/>
        <v>0</v>
      </c>
      <c r="U528">
        <f t="shared" si="126"/>
        <v>0</v>
      </c>
      <c r="V528" s="108">
        <f t="shared" si="115"/>
        <v>283</v>
      </c>
      <c r="W528" s="26">
        <f t="shared" si="116"/>
        <v>1065</v>
      </c>
      <c r="X528">
        <f t="shared" si="117"/>
        <v>0</v>
      </c>
      <c r="Y528">
        <f t="shared" si="119"/>
        <v>8.875</v>
      </c>
      <c r="Z528">
        <f t="shared" si="120"/>
        <v>0</v>
      </c>
    </row>
    <row r="529" spans="11:26" x14ac:dyDescent="0.25">
      <c r="K529" s="105">
        <v>496</v>
      </c>
      <c r="L529">
        <f t="shared" si="127"/>
        <v>0</v>
      </c>
      <c r="M529">
        <f t="shared" si="127"/>
        <v>12</v>
      </c>
      <c r="N529">
        <f t="shared" si="127"/>
        <v>104</v>
      </c>
      <c r="O529">
        <f t="shared" si="127"/>
        <v>78</v>
      </c>
      <c r="P529">
        <f t="shared" si="127"/>
        <v>89</v>
      </c>
      <c r="Q529">
        <f t="shared" si="127"/>
        <v>117</v>
      </c>
      <c r="R529">
        <f t="shared" si="118"/>
        <v>0</v>
      </c>
      <c r="S529">
        <f t="shared" si="126"/>
        <v>0</v>
      </c>
      <c r="T529">
        <f t="shared" si="126"/>
        <v>0</v>
      </c>
      <c r="U529">
        <f t="shared" si="126"/>
        <v>0</v>
      </c>
      <c r="V529" s="108">
        <f t="shared" si="115"/>
        <v>400</v>
      </c>
      <c r="W529" s="26">
        <f t="shared" si="116"/>
        <v>948</v>
      </c>
      <c r="X529">
        <f t="shared" si="117"/>
        <v>0</v>
      </c>
      <c r="Y529">
        <f t="shared" si="119"/>
        <v>7.9</v>
      </c>
      <c r="Z529">
        <f t="shared" si="120"/>
        <v>0</v>
      </c>
    </row>
    <row r="530" spans="11:26" x14ac:dyDescent="0.25">
      <c r="K530" s="105">
        <v>497</v>
      </c>
      <c r="L530">
        <f t="shared" si="127"/>
        <v>0</v>
      </c>
      <c r="M530">
        <f t="shared" si="127"/>
        <v>12</v>
      </c>
      <c r="N530">
        <f t="shared" si="127"/>
        <v>104</v>
      </c>
      <c r="O530">
        <f t="shared" si="127"/>
        <v>78</v>
      </c>
      <c r="P530">
        <f t="shared" si="127"/>
        <v>89</v>
      </c>
      <c r="Q530">
        <f t="shared" si="127"/>
        <v>117</v>
      </c>
      <c r="R530">
        <f t="shared" si="118"/>
        <v>0</v>
      </c>
      <c r="S530">
        <f t="shared" si="126"/>
        <v>0</v>
      </c>
      <c r="T530">
        <f t="shared" si="126"/>
        <v>0</v>
      </c>
      <c r="U530">
        <f t="shared" si="126"/>
        <v>0</v>
      </c>
      <c r="V530" s="108">
        <f t="shared" si="115"/>
        <v>400</v>
      </c>
      <c r="W530" s="26">
        <f t="shared" si="116"/>
        <v>948</v>
      </c>
      <c r="X530">
        <f t="shared" si="117"/>
        <v>0</v>
      </c>
      <c r="Y530">
        <f t="shared" si="119"/>
        <v>7.9</v>
      </c>
      <c r="Z530">
        <f t="shared" si="120"/>
        <v>0</v>
      </c>
    </row>
    <row r="531" spans="11:26" x14ac:dyDescent="0.25">
      <c r="K531" s="105">
        <v>498</v>
      </c>
      <c r="L531">
        <f t="shared" si="127"/>
        <v>0</v>
      </c>
      <c r="M531">
        <f t="shared" si="127"/>
        <v>12</v>
      </c>
      <c r="N531">
        <f t="shared" si="127"/>
        <v>104</v>
      </c>
      <c r="O531">
        <f t="shared" si="127"/>
        <v>78</v>
      </c>
      <c r="P531">
        <f t="shared" si="127"/>
        <v>89</v>
      </c>
      <c r="Q531">
        <f t="shared" si="127"/>
        <v>117</v>
      </c>
      <c r="R531">
        <f t="shared" si="118"/>
        <v>0</v>
      </c>
      <c r="S531">
        <f t="shared" si="126"/>
        <v>0</v>
      </c>
      <c r="T531">
        <f t="shared" si="126"/>
        <v>0</v>
      </c>
      <c r="U531">
        <f t="shared" si="126"/>
        <v>0</v>
      </c>
      <c r="V531" s="108">
        <f t="shared" si="115"/>
        <v>400</v>
      </c>
      <c r="W531" s="26">
        <f t="shared" si="116"/>
        <v>948</v>
      </c>
      <c r="X531">
        <f t="shared" si="117"/>
        <v>0</v>
      </c>
      <c r="Y531">
        <f t="shared" si="119"/>
        <v>7.9</v>
      </c>
      <c r="Z531">
        <f t="shared" si="120"/>
        <v>0</v>
      </c>
    </row>
    <row r="532" spans="11:26" x14ac:dyDescent="0.25">
      <c r="K532" s="105">
        <v>499</v>
      </c>
      <c r="L532">
        <f t="shared" si="127"/>
        <v>0</v>
      </c>
      <c r="M532">
        <f t="shared" si="127"/>
        <v>12</v>
      </c>
      <c r="N532">
        <f t="shared" si="127"/>
        <v>104</v>
      </c>
      <c r="O532">
        <f t="shared" si="127"/>
        <v>78</v>
      </c>
      <c r="P532">
        <f t="shared" si="127"/>
        <v>89</v>
      </c>
      <c r="Q532">
        <f t="shared" si="127"/>
        <v>117</v>
      </c>
      <c r="R532">
        <f t="shared" si="118"/>
        <v>0</v>
      </c>
      <c r="S532">
        <f t="shared" si="126"/>
        <v>0</v>
      </c>
      <c r="T532">
        <f t="shared" si="126"/>
        <v>0</v>
      </c>
      <c r="U532">
        <f t="shared" si="126"/>
        <v>0</v>
      </c>
      <c r="V532" s="108">
        <f t="shared" si="115"/>
        <v>400</v>
      </c>
      <c r="W532" s="26">
        <f t="shared" si="116"/>
        <v>948</v>
      </c>
      <c r="X532">
        <f t="shared" si="117"/>
        <v>0</v>
      </c>
      <c r="Y532">
        <f t="shared" si="119"/>
        <v>7.9</v>
      </c>
      <c r="Z532">
        <f t="shared" si="120"/>
        <v>0</v>
      </c>
    </row>
    <row r="533" spans="11:26" x14ac:dyDescent="0.25">
      <c r="K533" s="105">
        <v>500</v>
      </c>
      <c r="L533">
        <f t="shared" si="127"/>
        <v>0</v>
      </c>
      <c r="M533">
        <f t="shared" si="127"/>
        <v>12</v>
      </c>
      <c r="N533">
        <f t="shared" si="127"/>
        <v>104</v>
      </c>
      <c r="O533">
        <f t="shared" si="127"/>
        <v>78</v>
      </c>
      <c r="P533">
        <f t="shared" si="127"/>
        <v>89</v>
      </c>
      <c r="Q533">
        <f t="shared" si="127"/>
        <v>117</v>
      </c>
      <c r="R533">
        <f t="shared" si="118"/>
        <v>0</v>
      </c>
      <c r="S533">
        <f t="shared" si="126"/>
        <v>0</v>
      </c>
      <c r="T533">
        <f t="shared" si="126"/>
        <v>0</v>
      </c>
      <c r="U533">
        <f t="shared" si="126"/>
        <v>0</v>
      </c>
      <c r="V533" s="108">
        <f t="shared" si="115"/>
        <v>400</v>
      </c>
      <c r="W533" s="26">
        <f t="shared" si="116"/>
        <v>948</v>
      </c>
      <c r="X533">
        <f t="shared" si="117"/>
        <v>0</v>
      </c>
      <c r="Y533">
        <f t="shared" si="119"/>
        <v>7.9</v>
      </c>
      <c r="Z533">
        <f t="shared" si="120"/>
        <v>0</v>
      </c>
    </row>
    <row r="534" spans="11:26" x14ac:dyDescent="0.25">
      <c r="K534" s="105">
        <v>501</v>
      </c>
      <c r="L534">
        <f t="shared" ref="L534:Q544" si="128">IF(MID(DEC2BIN($K534,10),L$32,1)="1",L$33,0)</f>
        <v>0</v>
      </c>
      <c r="M534">
        <f t="shared" si="128"/>
        <v>12</v>
      </c>
      <c r="N534">
        <f t="shared" si="128"/>
        <v>104</v>
      </c>
      <c r="O534">
        <f t="shared" si="128"/>
        <v>78</v>
      </c>
      <c r="P534">
        <f t="shared" si="128"/>
        <v>89</v>
      </c>
      <c r="Q534">
        <f t="shared" si="128"/>
        <v>117</v>
      </c>
      <c r="R534">
        <f t="shared" si="118"/>
        <v>0</v>
      </c>
      <c r="S534">
        <f t="shared" ref="S534:U544" si="129">IF(MID(DEC2BIN($K534,10),S$32,1)="1",S$33,0)</f>
        <v>0</v>
      </c>
      <c r="T534">
        <f t="shared" si="129"/>
        <v>0</v>
      </c>
      <c r="U534">
        <f t="shared" si="129"/>
        <v>0</v>
      </c>
      <c r="V534" s="108">
        <f t="shared" si="115"/>
        <v>400</v>
      </c>
      <c r="W534" s="26">
        <f t="shared" si="116"/>
        <v>948</v>
      </c>
      <c r="X534">
        <f t="shared" si="117"/>
        <v>0</v>
      </c>
      <c r="Y534">
        <f t="shared" si="119"/>
        <v>7.9</v>
      </c>
      <c r="Z534">
        <f t="shared" si="120"/>
        <v>0</v>
      </c>
    </row>
    <row r="535" spans="11:26" x14ac:dyDescent="0.25">
      <c r="K535" s="105">
        <v>502</v>
      </c>
      <c r="L535">
        <f t="shared" si="128"/>
        <v>0</v>
      </c>
      <c r="M535">
        <f t="shared" si="128"/>
        <v>12</v>
      </c>
      <c r="N535">
        <f t="shared" si="128"/>
        <v>104</v>
      </c>
      <c r="O535">
        <f t="shared" si="128"/>
        <v>78</v>
      </c>
      <c r="P535">
        <f t="shared" si="128"/>
        <v>89</v>
      </c>
      <c r="Q535">
        <f t="shared" si="128"/>
        <v>117</v>
      </c>
      <c r="R535">
        <f t="shared" si="118"/>
        <v>0</v>
      </c>
      <c r="S535">
        <f t="shared" si="129"/>
        <v>0</v>
      </c>
      <c r="T535">
        <f t="shared" si="129"/>
        <v>0</v>
      </c>
      <c r="U535">
        <f t="shared" si="129"/>
        <v>0</v>
      </c>
      <c r="V535" s="108">
        <f t="shared" si="115"/>
        <v>400</v>
      </c>
      <c r="W535" s="26">
        <f t="shared" si="116"/>
        <v>948</v>
      </c>
      <c r="X535">
        <f t="shared" si="117"/>
        <v>0</v>
      </c>
      <c r="Y535">
        <f t="shared" si="119"/>
        <v>7.9</v>
      </c>
      <c r="Z535">
        <f t="shared" si="120"/>
        <v>0</v>
      </c>
    </row>
    <row r="536" spans="11:26" x14ac:dyDescent="0.25">
      <c r="K536" s="105">
        <v>503</v>
      </c>
      <c r="L536">
        <f t="shared" si="128"/>
        <v>0</v>
      </c>
      <c r="M536">
        <f t="shared" si="128"/>
        <v>12</v>
      </c>
      <c r="N536">
        <f t="shared" si="128"/>
        <v>104</v>
      </c>
      <c r="O536">
        <f t="shared" si="128"/>
        <v>78</v>
      </c>
      <c r="P536">
        <f t="shared" si="128"/>
        <v>89</v>
      </c>
      <c r="Q536">
        <f t="shared" si="128"/>
        <v>117</v>
      </c>
      <c r="R536">
        <f t="shared" si="118"/>
        <v>0</v>
      </c>
      <c r="S536">
        <f t="shared" si="129"/>
        <v>0</v>
      </c>
      <c r="T536">
        <f t="shared" si="129"/>
        <v>0</v>
      </c>
      <c r="U536">
        <f t="shared" si="129"/>
        <v>0</v>
      </c>
      <c r="V536" s="108">
        <f t="shared" si="115"/>
        <v>400</v>
      </c>
      <c r="W536" s="26">
        <f t="shared" si="116"/>
        <v>948</v>
      </c>
      <c r="X536">
        <f t="shared" si="117"/>
        <v>0</v>
      </c>
      <c r="Y536">
        <f t="shared" si="119"/>
        <v>7.9</v>
      </c>
      <c r="Z536">
        <f t="shared" si="120"/>
        <v>0</v>
      </c>
    </row>
    <row r="537" spans="11:26" x14ac:dyDescent="0.25">
      <c r="K537" s="105">
        <v>504</v>
      </c>
      <c r="L537">
        <f t="shared" si="128"/>
        <v>0</v>
      </c>
      <c r="M537">
        <f t="shared" si="128"/>
        <v>12</v>
      </c>
      <c r="N537">
        <f t="shared" si="128"/>
        <v>104</v>
      </c>
      <c r="O537">
        <f t="shared" si="128"/>
        <v>78</v>
      </c>
      <c r="P537">
        <f t="shared" si="128"/>
        <v>89</v>
      </c>
      <c r="Q537">
        <f t="shared" si="128"/>
        <v>117</v>
      </c>
      <c r="R537">
        <f t="shared" si="118"/>
        <v>0</v>
      </c>
      <c r="S537">
        <f t="shared" si="129"/>
        <v>0</v>
      </c>
      <c r="T537">
        <f t="shared" si="129"/>
        <v>0</v>
      </c>
      <c r="U537">
        <f t="shared" si="129"/>
        <v>0</v>
      </c>
      <c r="V537" s="108">
        <f t="shared" si="115"/>
        <v>400</v>
      </c>
      <c r="W537" s="26">
        <f t="shared" si="116"/>
        <v>948</v>
      </c>
      <c r="X537">
        <f t="shared" si="117"/>
        <v>0</v>
      </c>
      <c r="Y537">
        <f t="shared" si="119"/>
        <v>7.9</v>
      </c>
      <c r="Z537">
        <f t="shared" si="120"/>
        <v>0</v>
      </c>
    </row>
    <row r="538" spans="11:26" x14ac:dyDescent="0.25">
      <c r="K538" s="105">
        <v>505</v>
      </c>
      <c r="L538">
        <f t="shared" si="128"/>
        <v>0</v>
      </c>
      <c r="M538">
        <f t="shared" si="128"/>
        <v>12</v>
      </c>
      <c r="N538">
        <f t="shared" si="128"/>
        <v>104</v>
      </c>
      <c r="O538">
        <f t="shared" si="128"/>
        <v>78</v>
      </c>
      <c r="P538">
        <f t="shared" si="128"/>
        <v>89</v>
      </c>
      <c r="Q538">
        <f t="shared" si="128"/>
        <v>117</v>
      </c>
      <c r="R538">
        <f t="shared" si="118"/>
        <v>0</v>
      </c>
      <c r="S538">
        <f t="shared" si="129"/>
        <v>0</v>
      </c>
      <c r="T538">
        <f t="shared" si="129"/>
        <v>0</v>
      </c>
      <c r="U538">
        <f t="shared" si="129"/>
        <v>0</v>
      </c>
      <c r="V538" s="108">
        <f t="shared" si="115"/>
        <v>400</v>
      </c>
      <c r="W538" s="26">
        <f t="shared" si="116"/>
        <v>948</v>
      </c>
      <c r="X538">
        <f t="shared" si="117"/>
        <v>0</v>
      </c>
      <c r="Y538">
        <f t="shared" si="119"/>
        <v>7.9</v>
      </c>
      <c r="Z538">
        <f t="shared" si="120"/>
        <v>0</v>
      </c>
    </row>
    <row r="539" spans="11:26" x14ac:dyDescent="0.25">
      <c r="K539" s="105">
        <v>506</v>
      </c>
      <c r="L539">
        <f t="shared" si="128"/>
        <v>0</v>
      </c>
      <c r="M539">
        <f t="shared" si="128"/>
        <v>12</v>
      </c>
      <c r="N539">
        <f t="shared" si="128"/>
        <v>104</v>
      </c>
      <c r="O539">
        <f t="shared" si="128"/>
        <v>78</v>
      </c>
      <c r="P539">
        <f t="shared" si="128"/>
        <v>89</v>
      </c>
      <c r="Q539">
        <f t="shared" si="128"/>
        <v>117</v>
      </c>
      <c r="R539">
        <f t="shared" si="118"/>
        <v>0</v>
      </c>
      <c r="S539">
        <f t="shared" si="129"/>
        <v>0</v>
      </c>
      <c r="T539">
        <f t="shared" si="129"/>
        <v>0</v>
      </c>
      <c r="U539">
        <f t="shared" si="129"/>
        <v>0</v>
      </c>
      <c r="V539" s="108">
        <f t="shared" si="115"/>
        <v>400</v>
      </c>
      <c r="W539" s="26">
        <f t="shared" si="116"/>
        <v>948</v>
      </c>
      <c r="X539">
        <f t="shared" si="117"/>
        <v>0</v>
      </c>
      <c r="Y539">
        <f t="shared" si="119"/>
        <v>7.9</v>
      </c>
      <c r="Z539">
        <f t="shared" si="120"/>
        <v>0</v>
      </c>
    </row>
    <row r="540" spans="11:26" x14ac:dyDescent="0.25">
      <c r="K540" s="105">
        <v>507</v>
      </c>
      <c r="L540">
        <f t="shared" si="128"/>
        <v>0</v>
      </c>
      <c r="M540">
        <f t="shared" si="128"/>
        <v>12</v>
      </c>
      <c r="N540">
        <f t="shared" si="128"/>
        <v>104</v>
      </c>
      <c r="O540">
        <f t="shared" si="128"/>
        <v>78</v>
      </c>
      <c r="P540">
        <f t="shared" si="128"/>
        <v>89</v>
      </c>
      <c r="Q540">
        <f t="shared" si="128"/>
        <v>117</v>
      </c>
      <c r="R540">
        <f t="shared" si="118"/>
        <v>0</v>
      </c>
      <c r="S540">
        <f t="shared" si="129"/>
        <v>0</v>
      </c>
      <c r="T540">
        <f t="shared" si="129"/>
        <v>0</v>
      </c>
      <c r="U540">
        <f t="shared" si="129"/>
        <v>0</v>
      </c>
      <c r="V540" s="108">
        <f t="shared" si="115"/>
        <v>400</v>
      </c>
      <c r="W540" s="26">
        <f t="shared" si="116"/>
        <v>948</v>
      </c>
      <c r="X540">
        <f t="shared" si="117"/>
        <v>0</v>
      </c>
      <c r="Y540">
        <f t="shared" si="119"/>
        <v>7.9</v>
      </c>
      <c r="Z540">
        <f t="shared" si="120"/>
        <v>0</v>
      </c>
    </row>
    <row r="541" spans="11:26" x14ac:dyDescent="0.25">
      <c r="K541" s="105">
        <v>508</v>
      </c>
      <c r="L541">
        <f t="shared" si="128"/>
        <v>0</v>
      </c>
      <c r="M541">
        <f t="shared" si="128"/>
        <v>12</v>
      </c>
      <c r="N541">
        <f t="shared" si="128"/>
        <v>104</v>
      </c>
      <c r="O541">
        <f t="shared" si="128"/>
        <v>78</v>
      </c>
      <c r="P541">
        <f t="shared" si="128"/>
        <v>89</v>
      </c>
      <c r="Q541">
        <f t="shared" si="128"/>
        <v>117</v>
      </c>
      <c r="R541">
        <f t="shared" si="118"/>
        <v>0</v>
      </c>
      <c r="S541">
        <f t="shared" si="129"/>
        <v>0</v>
      </c>
      <c r="T541">
        <f t="shared" si="129"/>
        <v>0</v>
      </c>
      <c r="U541">
        <f t="shared" si="129"/>
        <v>0</v>
      </c>
      <c r="V541" s="108">
        <f t="shared" si="115"/>
        <v>400</v>
      </c>
      <c r="W541" s="26">
        <f t="shared" si="116"/>
        <v>948</v>
      </c>
      <c r="X541">
        <f t="shared" si="117"/>
        <v>0</v>
      </c>
      <c r="Y541">
        <f t="shared" si="119"/>
        <v>7.9</v>
      </c>
      <c r="Z541">
        <f t="shared" si="120"/>
        <v>0</v>
      </c>
    </row>
    <row r="542" spans="11:26" x14ac:dyDescent="0.25">
      <c r="K542" s="105">
        <v>509</v>
      </c>
      <c r="L542">
        <f t="shared" si="128"/>
        <v>0</v>
      </c>
      <c r="M542">
        <f t="shared" si="128"/>
        <v>12</v>
      </c>
      <c r="N542">
        <f t="shared" si="128"/>
        <v>104</v>
      </c>
      <c r="O542">
        <f t="shared" si="128"/>
        <v>78</v>
      </c>
      <c r="P542">
        <f t="shared" si="128"/>
        <v>89</v>
      </c>
      <c r="Q542">
        <f t="shared" si="128"/>
        <v>117</v>
      </c>
      <c r="R542">
        <f t="shared" si="118"/>
        <v>0</v>
      </c>
      <c r="S542">
        <f t="shared" si="129"/>
        <v>0</v>
      </c>
      <c r="T542">
        <f t="shared" si="129"/>
        <v>0</v>
      </c>
      <c r="U542">
        <f t="shared" si="129"/>
        <v>0</v>
      </c>
      <c r="V542" s="108">
        <f t="shared" si="115"/>
        <v>400</v>
      </c>
      <c r="W542" s="26">
        <f t="shared" si="116"/>
        <v>948</v>
      </c>
      <c r="X542">
        <f t="shared" si="117"/>
        <v>0</v>
      </c>
      <c r="Y542">
        <f t="shared" si="119"/>
        <v>7.9</v>
      </c>
      <c r="Z542">
        <f t="shared" si="120"/>
        <v>0</v>
      </c>
    </row>
    <row r="543" spans="11:26" x14ac:dyDescent="0.25">
      <c r="K543" s="105">
        <v>510</v>
      </c>
      <c r="L543">
        <f t="shared" si="128"/>
        <v>0</v>
      </c>
      <c r="M543">
        <f t="shared" si="128"/>
        <v>12</v>
      </c>
      <c r="N543">
        <f t="shared" si="128"/>
        <v>104</v>
      </c>
      <c r="O543">
        <f t="shared" si="128"/>
        <v>78</v>
      </c>
      <c r="P543">
        <f t="shared" si="128"/>
        <v>89</v>
      </c>
      <c r="Q543">
        <f t="shared" si="128"/>
        <v>117</v>
      </c>
      <c r="R543">
        <f t="shared" si="118"/>
        <v>0</v>
      </c>
      <c r="S543">
        <f t="shared" si="129"/>
        <v>0</v>
      </c>
      <c r="T543">
        <f t="shared" si="129"/>
        <v>0</v>
      </c>
      <c r="U543">
        <f t="shared" si="129"/>
        <v>0</v>
      </c>
      <c r="V543" s="108">
        <f t="shared" si="115"/>
        <v>400</v>
      </c>
      <c r="W543" s="26">
        <f t="shared" si="116"/>
        <v>948</v>
      </c>
      <c r="X543">
        <f t="shared" si="117"/>
        <v>0</v>
      </c>
      <c r="Y543">
        <f t="shared" si="119"/>
        <v>7.9</v>
      </c>
      <c r="Z543">
        <f t="shared" si="120"/>
        <v>0</v>
      </c>
    </row>
    <row r="544" spans="11:26" x14ac:dyDescent="0.25">
      <c r="K544" s="105">
        <v>511</v>
      </c>
      <c r="L544">
        <f t="shared" si="128"/>
        <v>0</v>
      </c>
      <c r="M544">
        <f t="shared" si="128"/>
        <v>12</v>
      </c>
      <c r="N544">
        <f t="shared" si="128"/>
        <v>104</v>
      </c>
      <c r="O544">
        <f t="shared" si="128"/>
        <v>78</v>
      </c>
      <c r="P544">
        <f t="shared" si="128"/>
        <v>89</v>
      </c>
      <c r="Q544">
        <f t="shared" si="128"/>
        <v>117</v>
      </c>
      <c r="R544">
        <f t="shared" si="118"/>
        <v>0</v>
      </c>
      <c r="S544">
        <f t="shared" si="129"/>
        <v>0</v>
      </c>
      <c r="T544">
        <f t="shared" si="129"/>
        <v>0</v>
      </c>
      <c r="U544">
        <f t="shared" si="129"/>
        <v>0</v>
      </c>
      <c r="V544" s="108">
        <f t="shared" si="115"/>
        <v>400</v>
      </c>
      <c r="W544" s="26">
        <f t="shared" si="116"/>
        <v>948</v>
      </c>
      <c r="X544">
        <f t="shared" si="117"/>
        <v>0</v>
      </c>
      <c r="Y544">
        <f t="shared" si="119"/>
        <v>7.9</v>
      </c>
      <c r="Z544">
        <f t="shared" si="120"/>
        <v>0</v>
      </c>
    </row>
    <row r="545" spans="11:26" x14ac:dyDescent="0.25">
      <c r="K545" s="105">
        <v>512</v>
      </c>
      <c r="L545">
        <f t="shared" ref="L545:U545" si="130">L33</f>
        <v>0</v>
      </c>
      <c r="M545">
        <f t="shared" si="130"/>
        <v>12</v>
      </c>
      <c r="N545">
        <f t="shared" si="130"/>
        <v>104</v>
      </c>
      <c r="O545">
        <f t="shared" si="130"/>
        <v>78</v>
      </c>
      <c r="P545">
        <f t="shared" si="130"/>
        <v>89</v>
      </c>
      <c r="Q545">
        <f t="shared" si="130"/>
        <v>117</v>
      </c>
      <c r="R545">
        <f t="shared" si="130"/>
        <v>0</v>
      </c>
      <c r="S545">
        <f t="shared" si="130"/>
        <v>0</v>
      </c>
      <c r="T545">
        <f t="shared" si="130"/>
        <v>0</v>
      </c>
      <c r="U545">
        <f t="shared" si="130"/>
        <v>0</v>
      </c>
      <c r="V545" s="108">
        <f t="shared" si="115"/>
        <v>400</v>
      </c>
      <c r="W545" s="26">
        <f t="shared" si="116"/>
        <v>948</v>
      </c>
      <c r="X545">
        <f t="shared" si="117"/>
        <v>0</v>
      </c>
      <c r="Y545">
        <f t="shared" si="119"/>
        <v>7.9</v>
      </c>
      <c r="Z545">
        <f t="shared" si="120"/>
        <v>0</v>
      </c>
    </row>
    <row r="546" spans="11:26" x14ac:dyDescent="0.25">
      <c r="V546" s="26"/>
      <c r="W546" s="26"/>
      <c r="X546">
        <f>SUM(X34:X545)</f>
        <v>0</v>
      </c>
      <c r="Z546">
        <f>SUM(Z34:Z545)</f>
        <v>16</v>
      </c>
    </row>
  </sheetData>
  <conditionalFormatting sqref="E3">
    <cfRule type="cellIs" dxfId="666" priority="9" operator="lessThan">
      <formula>$E$2</formula>
    </cfRule>
    <cfRule type="cellIs" dxfId="665" priority="10" operator="greaterThan">
      <formula>$E$2</formula>
    </cfRule>
    <cfRule type="cellIs" dxfId="664" priority="11" operator="equal">
      <formula>$E$2</formula>
    </cfRule>
  </conditionalFormatting>
  <conditionalFormatting sqref="L34:U545">
    <cfRule type="cellIs" dxfId="663" priority="7" operator="notEqual">
      <formula>0</formula>
    </cfRule>
  </conditionalFormatting>
  <conditionalFormatting sqref="V34:V545">
    <cfRule type="cellIs" dxfId="662" priority="4" operator="equal">
      <formula>$M$31</formula>
    </cfRule>
  </conditionalFormatting>
  <conditionalFormatting sqref="W34:W545">
    <cfRule type="cellIs" dxfId="661" priority="3" operator="equal">
      <formula>0</formula>
    </cfRule>
  </conditionalFormatting>
  <conditionalFormatting sqref="X34:X545">
    <cfRule type="cellIs" dxfId="660" priority="2" operator="equal">
      <formula>1</formula>
    </cfRule>
  </conditionalFormatting>
  <conditionalFormatting sqref="Z34:Z545">
    <cfRule type="cellIs" dxfId="659" priority="1" operator="equal">
      <formula>1</formula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M134"/>
  <sheetViews>
    <sheetView topLeftCell="AK16" zoomScale="85" zoomScaleNormal="85" workbookViewId="0">
      <selection activeCell="AP85" sqref="AP85"/>
    </sheetView>
  </sheetViews>
  <sheetFormatPr defaultColWidth="8.85546875" defaultRowHeight="15" x14ac:dyDescent="0.25"/>
  <cols>
    <col min="1" max="1" width="8.85546875" style="43"/>
    <col min="2" max="89" width="15.7109375" style="43" customWidth="1"/>
    <col min="90" max="16384" width="8.85546875" style="43"/>
  </cols>
  <sheetData>
    <row r="3" spans="2:65" x14ac:dyDescent="0.25">
      <c r="G3" s="43" t="s">
        <v>10</v>
      </c>
    </row>
    <row r="5" spans="2:65" x14ac:dyDescent="0.25">
      <c r="B5" s="112">
        <v>1</v>
      </c>
      <c r="C5" s="113">
        <v>1</v>
      </c>
      <c r="D5" s="113">
        <v>1</v>
      </c>
      <c r="E5" s="114">
        <v>1</v>
      </c>
      <c r="F5" s="112">
        <v>1</v>
      </c>
      <c r="G5" s="113">
        <v>1</v>
      </c>
      <c r="H5" s="113">
        <v>1</v>
      </c>
      <c r="I5" s="46"/>
      <c r="J5" s="44"/>
      <c r="K5" s="45"/>
      <c r="L5" s="45"/>
      <c r="M5" s="46">
        <v>1</v>
      </c>
      <c r="N5" s="44"/>
      <c r="O5" s="45"/>
      <c r="P5" s="45"/>
      <c r="Q5" s="46"/>
      <c r="R5" s="44"/>
      <c r="S5" s="45"/>
      <c r="T5" s="45"/>
      <c r="U5" s="46"/>
      <c r="V5" s="44"/>
      <c r="W5" s="45"/>
      <c r="X5" s="45"/>
      <c r="Y5" s="46"/>
      <c r="Z5" s="44"/>
      <c r="AA5" s="45"/>
      <c r="AB5" s="45"/>
      <c r="AC5" s="46"/>
      <c r="AD5" s="44"/>
      <c r="AE5" s="45"/>
      <c r="AF5" s="45"/>
      <c r="AG5" s="46"/>
      <c r="AH5" s="44"/>
      <c r="AI5" s="45"/>
      <c r="AJ5" s="45"/>
      <c r="AK5" s="46"/>
      <c r="AL5" s="44"/>
      <c r="AM5" s="45"/>
      <c r="AN5" s="45"/>
      <c r="AO5" s="46"/>
      <c r="AP5" s="44"/>
      <c r="AQ5" s="45"/>
      <c r="AR5" s="45"/>
      <c r="AS5" s="46"/>
      <c r="AT5" s="44"/>
      <c r="AU5" s="45"/>
      <c r="AV5" s="45"/>
      <c r="AW5" s="46"/>
      <c r="AX5" s="112">
        <v>1</v>
      </c>
      <c r="AY5" s="113">
        <v>1</v>
      </c>
      <c r="AZ5" s="113"/>
      <c r="BA5" s="46"/>
      <c r="BB5" s="112">
        <v>1</v>
      </c>
      <c r="BC5" s="113">
        <v>1</v>
      </c>
      <c r="BD5" s="113">
        <v>1</v>
      </c>
      <c r="BE5" s="114">
        <v>1</v>
      </c>
      <c r="BF5" s="112">
        <v>1</v>
      </c>
      <c r="BG5" s="113">
        <v>1</v>
      </c>
      <c r="BH5" s="113">
        <v>1</v>
      </c>
      <c r="BI5" s="46"/>
      <c r="BJ5" s="44"/>
      <c r="BK5" s="45"/>
      <c r="BL5" s="45"/>
      <c r="BM5" s="46"/>
    </row>
    <row r="6" spans="2:65" x14ac:dyDescent="0.25">
      <c r="B6" s="112" t="s">
        <v>11</v>
      </c>
      <c r="C6" s="113" t="s">
        <v>11</v>
      </c>
      <c r="D6" s="113" t="s">
        <v>11</v>
      </c>
      <c r="E6" s="114" t="s">
        <v>11</v>
      </c>
      <c r="F6" s="112" t="s">
        <v>12</v>
      </c>
      <c r="G6" s="113" t="s">
        <v>12</v>
      </c>
      <c r="H6" s="113" t="s">
        <v>13</v>
      </c>
      <c r="I6" s="46"/>
      <c r="J6" s="44" t="s">
        <v>14</v>
      </c>
      <c r="K6" s="45" t="s">
        <v>14</v>
      </c>
      <c r="L6" s="45" t="s">
        <v>14</v>
      </c>
      <c r="M6" s="46" t="s">
        <v>15</v>
      </c>
      <c r="N6" s="44"/>
      <c r="O6" s="45"/>
      <c r="P6" s="45"/>
      <c r="Q6" s="46"/>
      <c r="R6" s="44"/>
      <c r="S6" s="45"/>
      <c r="T6" s="45"/>
      <c r="U6" s="46"/>
      <c r="V6" s="44"/>
      <c r="W6" s="45"/>
      <c r="X6" s="45"/>
      <c r="Y6" s="46"/>
      <c r="Z6" s="44"/>
      <c r="AA6" s="45"/>
      <c r="AB6" s="45"/>
      <c r="AC6" s="46"/>
      <c r="AD6" s="44"/>
      <c r="AE6" s="45"/>
      <c r="AF6" s="45"/>
      <c r="AG6" s="46"/>
      <c r="AH6" s="44"/>
      <c r="AI6" s="45"/>
      <c r="AJ6" s="45"/>
      <c r="AK6" s="46"/>
      <c r="AL6" s="44"/>
      <c r="AM6" s="45"/>
      <c r="AN6" s="45"/>
      <c r="AO6" s="46"/>
      <c r="AP6" s="44"/>
      <c r="AQ6" s="45"/>
      <c r="AR6" s="45"/>
      <c r="AS6" s="46"/>
      <c r="AT6" s="44"/>
      <c r="AU6" s="45"/>
      <c r="AV6" s="45"/>
      <c r="AW6" s="46"/>
      <c r="AX6" s="112" t="s">
        <v>16</v>
      </c>
      <c r="AY6" s="113" t="s">
        <v>16</v>
      </c>
      <c r="AZ6" s="113" t="s">
        <v>14</v>
      </c>
      <c r="BA6" s="46"/>
      <c r="BB6" s="112" t="s">
        <v>16</v>
      </c>
      <c r="BC6" s="113" t="s">
        <v>16</v>
      </c>
      <c r="BD6" s="113" t="s">
        <v>16</v>
      </c>
      <c r="BE6" s="114" t="s">
        <v>16</v>
      </c>
      <c r="BF6" s="112" t="s">
        <v>17</v>
      </c>
      <c r="BG6" s="113" t="s">
        <v>17</v>
      </c>
      <c r="BH6" s="113" t="s">
        <v>17</v>
      </c>
      <c r="BI6" s="46"/>
      <c r="BJ6" s="44"/>
      <c r="BK6" s="45"/>
      <c r="BL6" s="45"/>
      <c r="BM6" s="46"/>
    </row>
    <row r="7" spans="2:65" x14ac:dyDescent="0.25">
      <c r="B7" s="112" t="s">
        <v>18</v>
      </c>
      <c r="C7" s="113" t="s">
        <v>19</v>
      </c>
      <c r="D7" s="113" t="s">
        <v>20</v>
      </c>
      <c r="E7" s="114" t="s">
        <v>21</v>
      </c>
      <c r="F7" s="112" t="s">
        <v>22</v>
      </c>
      <c r="G7" s="113" t="s">
        <v>23</v>
      </c>
      <c r="H7" s="113" t="s">
        <v>24</v>
      </c>
      <c r="I7" s="46"/>
      <c r="J7" s="44" t="s">
        <v>25</v>
      </c>
      <c r="K7" s="45" t="s">
        <v>26</v>
      </c>
      <c r="L7" s="45" t="s">
        <v>27</v>
      </c>
      <c r="M7" s="46" t="s">
        <v>28</v>
      </c>
      <c r="N7" s="44"/>
      <c r="O7" s="45"/>
      <c r="P7" s="45"/>
      <c r="Q7" s="46"/>
      <c r="R7" s="44"/>
      <c r="S7" s="45"/>
      <c r="T7" s="45"/>
      <c r="U7" s="46"/>
      <c r="V7" s="44"/>
      <c r="W7" s="45"/>
      <c r="X7" s="45"/>
      <c r="Y7" s="46"/>
      <c r="Z7" s="44"/>
      <c r="AA7" s="45"/>
      <c r="AB7" s="45"/>
      <c r="AC7" s="46"/>
      <c r="AD7" s="44"/>
      <c r="AE7" s="45"/>
      <c r="AF7" s="45"/>
      <c r="AG7" s="46"/>
      <c r="AH7" s="44"/>
      <c r="AI7" s="45"/>
      <c r="AJ7" s="45"/>
      <c r="AK7" s="46"/>
      <c r="AL7" s="44"/>
      <c r="AM7" s="45"/>
      <c r="AN7" s="45"/>
      <c r="AO7" s="46"/>
      <c r="AP7" s="44"/>
      <c r="AQ7" s="45"/>
      <c r="AR7" s="45"/>
      <c r="AS7" s="46"/>
      <c r="AT7" s="44"/>
      <c r="AU7" s="45"/>
      <c r="AV7" s="45"/>
      <c r="AW7" s="46"/>
      <c r="AX7" s="112" t="s">
        <v>29</v>
      </c>
      <c r="AY7" s="113" t="s">
        <v>30</v>
      </c>
      <c r="AZ7" s="113" t="s">
        <v>31</v>
      </c>
      <c r="BA7" s="46"/>
      <c r="BB7" s="112" t="s">
        <v>32</v>
      </c>
      <c r="BC7" s="113" t="s">
        <v>33</v>
      </c>
      <c r="BD7" s="113" t="s">
        <v>34</v>
      </c>
      <c r="BE7" s="114" t="s">
        <v>35</v>
      </c>
      <c r="BF7" s="112" t="s">
        <v>36</v>
      </c>
      <c r="BG7" s="113" t="s">
        <v>37</v>
      </c>
      <c r="BH7" s="113" t="s">
        <v>38</v>
      </c>
      <c r="BI7" s="46"/>
      <c r="BJ7" s="44"/>
      <c r="BK7" s="45"/>
      <c r="BL7" s="45"/>
      <c r="BM7" s="46"/>
    </row>
    <row r="8" spans="2:65" x14ac:dyDescent="0.25">
      <c r="B8" s="112">
        <v>1</v>
      </c>
      <c r="C8" s="113">
        <v>1</v>
      </c>
      <c r="D8" s="113">
        <v>1</v>
      </c>
      <c r="E8" s="114">
        <v>1</v>
      </c>
      <c r="F8" s="112">
        <v>1</v>
      </c>
      <c r="G8" s="113">
        <v>1</v>
      </c>
      <c r="H8" s="113">
        <v>1</v>
      </c>
      <c r="I8" s="49"/>
      <c r="J8" s="112">
        <v>1</v>
      </c>
      <c r="K8" s="113">
        <v>1</v>
      </c>
      <c r="L8" s="113">
        <v>1</v>
      </c>
      <c r="M8" s="49"/>
      <c r="N8" s="47"/>
      <c r="O8" s="48"/>
      <c r="P8" s="48"/>
      <c r="Q8" s="49"/>
      <c r="R8" s="47"/>
      <c r="S8" s="48"/>
      <c r="T8" s="48"/>
      <c r="U8" s="49"/>
      <c r="V8" s="47"/>
      <c r="W8" s="48"/>
      <c r="X8" s="48"/>
      <c r="Y8" s="49"/>
      <c r="Z8" s="47"/>
      <c r="AA8" s="48"/>
      <c r="AB8" s="48"/>
      <c r="AC8" s="49"/>
      <c r="AD8" s="47"/>
      <c r="AE8" s="48"/>
      <c r="AF8" s="48"/>
      <c r="AG8" s="49"/>
      <c r="AH8" s="47"/>
      <c r="AI8" s="48"/>
      <c r="AJ8" s="48"/>
      <c r="AK8" s="49"/>
      <c r="AL8" s="47"/>
      <c r="AM8" s="48"/>
      <c r="AN8" s="48"/>
      <c r="AO8" s="49"/>
      <c r="AP8" s="47"/>
      <c r="AQ8" s="48"/>
      <c r="AR8" s="48"/>
      <c r="AS8" s="49"/>
      <c r="AT8" s="47"/>
      <c r="AU8" s="48"/>
      <c r="AV8" s="48"/>
      <c r="AW8" s="49"/>
      <c r="AX8" s="112">
        <v>1</v>
      </c>
      <c r="AY8" s="113"/>
      <c r="AZ8" s="113">
        <v>1</v>
      </c>
      <c r="BA8" s="49"/>
      <c r="BB8" s="112">
        <v>1</v>
      </c>
      <c r="BC8" s="113">
        <v>1</v>
      </c>
      <c r="BD8" s="113">
        <v>1</v>
      </c>
      <c r="BE8" s="114">
        <v>1</v>
      </c>
      <c r="BF8" s="112">
        <v>1</v>
      </c>
      <c r="BG8" s="113">
        <v>1</v>
      </c>
      <c r="BH8" s="113">
        <v>1</v>
      </c>
      <c r="BI8" s="49"/>
      <c r="BJ8" s="47"/>
      <c r="BK8" s="48"/>
      <c r="BL8" s="48"/>
      <c r="BM8" s="49"/>
    </row>
    <row r="9" spans="2:65" x14ac:dyDescent="0.25">
      <c r="B9" s="112" t="s">
        <v>11</v>
      </c>
      <c r="C9" s="113" t="s">
        <v>11</v>
      </c>
      <c r="D9" s="113" t="s">
        <v>11</v>
      </c>
      <c r="E9" s="114" t="s">
        <v>11</v>
      </c>
      <c r="F9" s="112" t="s">
        <v>39</v>
      </c>
      <c r="G9" s="113" t="s">
        <v>39</v>
      </c>
      <c r="H9" s="113" t="s">
        <v>13</v>
      </c>
      <c r="I9" s="49"/>
      <c r="J9" s="112" t="s">
        <v>40</v>
      </c>
      <c r="K9" s="113" t="s">
        <v>40</v>
      </c>
      <c r="L9" s="113" t="s">
        <v>41</v>
      </c>
      <c r="M9" s="49"/>
      <c r="N9" s="47"/>
      <c r="O9" s="48"/>
      <c r="P9" s="48"/>
      <c r="Q9" s="49"/>
      <c r="R9" s="47"/>
      <c r="S9" s="48"/>
      <c r="T9" s="48"/>
      <c r="U9" s="49"/>
      <c r="V9" s="47"/>
      <c r="W9" s="48"/>
      <c r="X9" s="48"/>
      <c r="Y9" s="49"/>
      <c r="Z9" s="47"/>
      <c r="AA9" s="48"/>
      <c r="AB9" s="48"/>
      <c r="AC9" s="49"/>
      <c r="AD9" s="47"/>
      <c r="AE9" s="48"/>
      <c r="AF9" s="48"/>
      <c r="AG9" s="49"/>
      <c r="AH9" s="47"/>
      <c r="AI9" s="48"/>
      <c r="AJ9" s="48"/>
      <c r="AK9" s="49"/>
      <c r="AL9" s="47"/>
      <c r="AM9" s="48"/>
      <c r="AN9" s="48"/>
      <c r="AO9" s="49"/>
      <c r="AP9" s="47"/>
      <c r="AQ9" s="48"/>
      <c r="AR9" s="48"/>
      <c r="AS9" s="49"/>
      <c r="AT9" s="47"/>
      <c r="AU9" s="48"/>
      <c r="AV9" s="48"/>
      <c r="AW9" s="49"/>
      <c r="AX9" s="112" t="s">
        <v>16</v>
      </c>
      <c r="AY9" s="113" t="s">
        <v>14</v>
      </c>
      <c r="AZ9" s="113" t="s">
        <v>16</v>
      </c>
      <c r="BA9" s="49"/>
      <c r="BB9" s="112" t="s">
        <v>16</v>
      </c>
      <c r="BC9" s="113" t="s">
        <v>16</v>
      </c>
      <c r="BD9" s="113" t="s">
        <v>16</v>
      </c>
      <c r="BE9" s="114" t="s">
        <v>16</v>
      </c>
      <c r="BF9" s="112" t="s">
        <v>42</v>
      </c>
      <c r="BG9" s="113" t="s">
        <v>42</v>
      </c>
      <c r="BH9" s="113" t="s">
        <v>42</v>
      </c>
      <c r="BI9" s="49"/>
      <c r="BJ9" s="47"/>
      <c r="BK9" s="48"/>
      <c r="BL9" s="48"/>
      <c r="BM9" s="49"/>
    </row>
    <row r="10" spans="2:65" x14ac:dyDescent="0.25">
      <c r="B10" s="112" t="s">
        <v>43</v>
      </c>
      <c r="C10" s="113" t="s">
        <v>44</v>
      </c>
      <c r="D10" s="113" t="s">
        <v>45</v>
      </c>
      <c r="E10" s="114" t="s">
        <v>46</v>
      </c>
      <c r="F10" s="112" t="s">
        <v>47</v>
      </c>
      <c r="G10" s="113" t="s">
        <v>48</v>
      </c>
      <c r="H10" s="113" t="s">
        <v>49</v>
      </c>
      <c r="I10" s="49"/>
      <c r="J10" s="112" t="s">
        <v>50</v>
      </c>
      <c r="K10" s="113" t="s">
        <v>51</v>
      </c>
      <c r="L10" s="113" t="s">
        <v>52</v>
      </c>
      <c r="M10" s="49"/>
      <c r="N10" s="47"/>
      <c r="O10" s="48"/>
      <c r="P10" s="48"/>
      <c r="Q10" s="49"/>
      <c r="R10" s="47"/>
      <c r="S10" s="48"/>
      <c r="T10" s="48"/>
      <c r="U10" s="49"/>
      <c r="V10" s="47"/>
      <c r="W10" s="48"/>
      <c r="X10" s="48"/>
      <c r="Y10" s="49"/>
      <c r="Z10" s="47"/>
      <c r="AA10" s="48"/>
      <c r="AB10" s="48"/>
      <c r="AC10" s="49"/>
      <c r="AD10" s="47"/>
      <c r="AE10" s="48"/>
      <c r="AF10" s="48"/>
      <c r="AG10" s="49"/>
      <c r="AH10" s="47"/>
      <c r="AI10" s="48"/>
      <c r="AJ10" s="48"/>
      <c r="AK10" s="49"/>
      <c r="AL10" s="47"/>
      <c r="AM10" s="48"/>
      <c r="AN10" s="48"/>
      <c r="AO10" s="49"/>
      <c r="AP10" s="47"/>
      <c r="AQ10" s="48"/>
      <c r="AR10" s="48"/>
      <c r="AS10" s="49"/>
      <c r="AT10" s="47"/>
      <c r="AU10" s="48"/>
      <c r="AV10" s="48"/>
      <c r="AW10" s="49"/>
      <c r="AX10" s="112" t="s">
        <v>53</v>
      </c>
      <c r="AY10" s="113" t="s">
        <v>54</v>
      </c>
      <c r="AZ10" s="113" t="s">
        <v>55</v>
      </c>
      <c r="BA10" s="49"/>
      <c r="BB10" s="112" t="s">
        <v>56</v>
      </c>
      <c r="BC10" s="113" t="s">
        <v>57</v>
      </c>
      <c r="BD10" s="113" t="s">
        <v>58</v>
      </c>
      <c r="BE10" s="114" t="s">
        <v>59</v>
      </c>
      <c r="BF10" s="112" t="s">
        <v>60</v>
      </c>
      <c r="BG10" s="113" t="s">
        <v>61</v>
      </c>
      <c r="BH10" s="113" t="s">
        <v>62</v>
      </c>
      <c r="BI10" s="49"/>
      <c r="BJ10" s="47"/>
      <c r="BK10" s="48"/>
      <c r="BL10" s="48"/>
      <c r="BM10" s="49"/>
    </row>
    <row r="11" spans="2:65" x14ac:dyDescent="0.25">
      <c r="B11" s="112">
        <v>1</v>
      </c>
      <c r="C11" s="113">
        <v>1</v>
      </c>
      <c r="D11" s="113">
        <v>1</v>
      </c>
      <c r="E11" s="114">
        <v>1</v>
      </c>
      <c r="F11" s="112">
        <v>1</v>
      </c>
      <c r="G11" s="113">
        <v>1</v>
      </c>
      <c r="H11" s="113">
        <v>1</v>
      </c>
      <c r="I11" s="52"/>
      <c r="J11" s="50"/>
      <c r="K11" s="51"/>
      <c r="L11" s="51"/>
      <c r="M11" s="52"/>
      <c r="N11" s="50"/>
      <c r="O11" s="51"/>
      <c r="P11" s="51"/>
      <c r="Q11" s="52"/>
      <c r="R11" s="50"/>
      <c r="S11" s="51"/>
      <c r="T11" s="51"/>
      <c r="U11" s="52"/>
      <c r="V11" s="50"/>
      <c r="W11" s="51"/>
      <c r="X11" s="51"/>
      <c r="Y11" s="52"/>
      <c r="Z11" s="50"/>
      <c r="AA11" s="51"/>
      <c r="AB11" s="51"/>
      <c r="AC11" s="52"/>
      <c r="AD11" s="50"/>
      <c r="AE11" s="51"/>
      <c r="AF11" s="51"/>
      <c r="AG11" s="52"/>
      <c r="AH11" s="50"/>
      <c r="AI11" s="51"/>
      <c r="AJ11" s="51"/>
      <c r="AK11" s="52"/>
      <c r="AL11" s="50"/>
      <c r="AM11" s="51"/>
      <c r="AN11" s="51"/>
      <c r="AO11" s="52"/>
      <c r="AP11" s="50"/>
      <c r="AQ11" s="51"/>
      <c r="AR11" s="51"/>
      <c r="AS11" s="52"/>
      <c r="AT11" s="50"/>
      <c r="AU11" s="51"/>
      <c r="AV11" s="51"/>
      <c r="AW11" s="52"/>
      <c r="AX11" s="112">
        <v>1</v>
      </c>
      <c r="AY11" s="113">
        <v>1</v>
      </c>
      <c r="AZ11" s="113">
        <v>1</v>
      </c>
      <c r="BA11" s="52"/>
      <c r="BB11" s="112"/>
      <c r="BC11" s="113"/>
      <c r="BD11" s="113"/>
      <c r="BE11" s="52"/>
      <c r="BF11" s="112">
        <v>1</v>
      </c>
      <c r="BG11" s="113">
        <v>1</v>
      </c>
      <c r="BH11" s="113">
        <v>1</v>
      </c>
      <c r="BI11" s="52"/>
      <c r="BJ11" s="50"/>
      <c r="BK11" s="51"/>
      <c r="BL11" s="51"/>
      <c r="BM11" s="52"/>
    </row>
    <row r="12" spans="2:65" x14ac:dyDescent="0.25">
      <c r="B12" s="112" t="s">
        <v>11</v>
      </c>
      <c r="C12" s="113" t="s">
        <v>11</v>
      </c>
      <c r="D12" s="113" t="s">
        <v>11</v>
      </c>
      <c r="E12" s="114" t="s">
        <v>11</v>
      </c>
      <c r="F12" s="112" t="s">
        <v>63</v>
      </c>
      <c r="G12" s="113" t="s">
        <v>63</v>
      </c>
      <c r="H12" s="113" t="s">
        <v>13</v>
      </c>
      <c r="I12" s="52"/>
      <c r="J12" s="50"/>
      <c r="K12" s="51"/>
      <c r="L12" s="51"/>
      <c r="M12" s="52"/>
      <c r="N12" s="50"/>
      <c r="O12" s="51"/>
      <c r="P12" s="51"/>
      <c r="Q12" s="52"/>
      <c r="R12" s="50"/>
      <c r="S12" s="51"/>
      <c r="T12" s="51"/>
      <c r="U12" s="52"/>
      <c r="V12" s="50"/>
      <c r="W12" s="51"/>
      <c r="X12" s="51"/>
      <c r="Y12" s="52"/>
      <c r="Z12" s="50"/>
      <c r="AA12" s="51"/>
      <c r="AB12" s="51"/>
      <c r="AC12" s="52"/>
      <c r="AD12" s="50"/>
      <c r="AE12" s="51"/>
      <c r="AF12" s="51"/>
      <c r="AG12" s="52"/>
      <c r="AH12" s="50"/>
      <c r="AI12" s="51"/>
      <c r="AJ12" s="51"/>
      <c r="AK12" s="52"/>
      <c r="AL12" s="50"/>
      <c r="AM12" s="51"/>
      <c r="AN12" s="51"/>
      <c r="AO12" s="52"/>
      <c r="AP12" s="50"/>
      <c r="AQ12" s="51"/>
      <c r="AR12" s="51"/>
      <c r="AS12" s="52"/>
      <c r="AT12" s="50"/>
      <c r="AU12" s="51"/>
      <c r="AV12" s="51"/>
      <c r="AW12" s="52"/>
      <c r="AX12" s="112" t="s">
        <v>64</v>
      </c>
      <c r="AY12" s="113" t="s">
        <v>64</v>
      </c>
      <c r="AZ12" s="113" t="s">
        <v>64</v>
      </c>
      <c r="BA12" s="52"/>
      <c r="BB12" s="112" t="s">
        <v>14</v>
      </c>
      <c r="BC12" s="113" t="s">
        <v>14</v>
      </c>
      <c r="BD12" s="113" t="s">
        <v>14</v>
      </c>
      <c r="BE12" s="52"/>
      <c r="BF12" s="112" t="s">
        <v>66</v>
      </c>
      <c r="BG12" s="113" t="s">
        <v>15</v>
      </c>
      <c r="BH12" s="113" t="s">
        <v>66</v>
      </c>
      <c r="BI12" s="52"/>
      <c r="BJ12" s="50"/>
      <c r="BK12" s="51"/>
      <c r="BL12" s="51"/>
      <c r="BM12" s="52"/>
    </row>
    <row r="13" spans="2:65" x14ac:dyDescent="0.25">
      <c r="B13" s="112" t="s">
        <v>67</v>
      </c>
      <c r="C13" s="113" t="s">
        <v>68</v>
      </c>
      <c r="D13" s="113" t="s">
        <v>69</v>
      </c>
      <c r="E13" s="114" t="s">
        <v>70</v>
      </c>
      <c r="F13" s="112" t="s">
        <v>71</v>
      </c>
      <c r="G13" s="113" t="s">
        <v>72</v>
      </c>
      <c r="H13" s="113" t="s">
        <v>73</v>
      </c>
      <c r="I13" s="52"/>
      <c r="J13" s="50"/>
      <c r="K13" s="51"/>
      <c r="L13" s="51"/>
      <c r="M13" s="52"/>
      <c r="N13" s="50"/>
      <c r="O13" s="51"/>
      <c r="P13" s="51"/>
      <c r="Q13" s="52"/>
      <c r="R13" s="50"/>
      <c r="S13" s="51"/>
      <c r="T13" s="51"/>
      <c r="U13" s="52"/>
      <c r="V13" s="50"/>
      <c r="W13" s="51"/>
      <c r="X13" s="51"/>
      <c r="Y13" s="52"/>
      <c r="Z13" s="50"/>
      <c r="AA13" s="51"/>
      <c r="AB13" s="51"/>
      <c r="AC13" s="52"/>
      <c r="AD13" s="50"/>
      <c r="AE13" s="51"/>
      <c r="AF13" s="51"/>
      <c r="AG13" s="52"/>
      <c r="AH13" s="50"/>
      <c r="AI13" s="51"/>
      <c r="AJ13" s="51"/>
      <c r="AK13" s="52"/>
      <c r="AL13" s="50"/>
      <c r="AM13" s="51"/>
      <c r="AN13" s="51"/>
      <c r="AO13" s="52"/>
      <c r="AP13" s="50"/>
      <c r="AQ13" s="51"/>
      <c r="AR13" s="51"/>
      <c r="AS13" s="52"/>
      <c r="AT13" s="50"/>
      <c r="AU13" s="51"/>
      <c r="AV13" s="51"/>
      <c r="AW13" s="52"/>
      <c r="AX13" s="112" t="s">
        <v>74</v>
      </c>
      <c r="AY13" s="113" t="s">
        <v>75</v>
      </c>
      <c r="AZ13" s="113" t="s">
        <v>76</v>
      </c>
      <c r="BA13" s="52"/>
      <c r="BB13" s="112" t="s">
        <v>77</v>
      </c>
      <c r="BC13" s="113" t="s">
        <v>78</v>
      </c>
      <c r="BD13" s="113" t="s">
        <v>79</v>
      </c>
      <c r="BE13" s="52"/>
      <c r="BF13" s="112" t="s">
        <v>80</v>
      </c>
      <c r="BG13" s="113" t="s">
        <v>81</v>
      </c>
      <c r="BH13" s="113" t="s">
        <v>82</v>
      </c>
      <c r="BI13" s="52"/>
      <c r="BJ13" s="50"/>
      <c r="BK13" s="51"/>
      <c r="BL13" s="51"/>
      <c r="BM13" s="52"/>
    </row>
    <row r="14" spans="2:65" x14ac:dyDescent="0.25">
      <c r="B14" s="112">
        <v>1</v>
      </c>
      <c r="C14" s="113">
        <v>1</v>
      </c>
      <c r="D14" s="113">
        <v>1</v>
      </c>
      <c r="E14" s="114">
        <v>1</v>
      </c>
      <c r="F14" s="53"/>
      <c r="G14" s="54"/>
      <c r="H14" s="113"/>
      <c r="I14" s="55"/>
      <c r="J14" s="53"/>
      <c r="K14" s="54"/>
      <c r="L14" s="54"/>
      <c r="M14" s="55"/>
      <c r="N14" s="53"/>
      <c r="O14" s="54"/>
      <c r="P14" s="54"/>
      <c r="Q14" s="55"/>
      <c r="R14" s="53"/>
      <c r="S14" s="54"/>
      <c r="T14" s="54"/>
      <c r="U14" s="55"/>
      <c r="V14" s="53"/>
      <c r="W14" s="54"/>
      <c r="X14" s="54"/>
      <c r="Y14" s="55"/>
      <c r="Z14" s="53"/>
      <c r="AA14" s="54"/>
      <c r="AB14" s="54"/>
      <c r="AC14" s="55"/>
      <c r="AD14" s="53"/>
      <c r="AE14" s="54"/>
      <c r="AF14" s="54"/>
      <c r="AG14" s="55"/>
      <c r="AH14" s="53"/>
      <c r="AI14" s="54"/>
      <c r="AJ14" s="54"/>
      <c r="AK14" s="55"/>
      <c r="AL14" s="53"/>
      <c r="AM14" s="54"/>
      <c r="AN14" s="54"/>
      <c r="AO14" s="55"/>
      <c r="AP14" s="53"/>
      <c r="AQ14" s="54"/>
      <c r="AR14" s="54"/>
      <c r="AS14" s="55"/>
      <c r="AT14" s="53"/>
      <c r="AU14" s="54"/>
      <c r="AV14" s="54"/>
      <c r="AW14" s="55"/>
      <c r="AX14" s="112">
        <v>1</v>
      </c>
      <c r="AY14" s="113">
        <v>1</v>
      </c>
      <c r="AZ14" s="113">
        <v>1</v>
      </c>
      <c r="BA14" s="55"/>
      <c r="BB14" s="112">
        <v>1</v>
      </c>
      <c r="BC14" s="113">
        <v>1</v>
      </c>
      <c r="BD14" s="113">
        <v>1</v>
      </c>
      <c r="BE14" s="55"/>
      <c r="BF14" s="53"/>
      <c r="BG14" s="54"/>
      <c r="BH14" s="54"/>
      <c r="BI14" s="55"/>
      <c r="BJ14" s="53"/>
      <c r="BK14" s="54"/>
      <c r="BL14" s="54"/>
      <c r="BM14" s="55"/>
    </row>
    <row r="15" spans="2:65" x14ac:dyDescent="0.25">
      <c r="B15" s="112" t="s">
        <v>11</v>
      </c>
      <c r="C15" s="113" t="s">
        <v>11</v>
      </c>
      <c r="D15" s="113" t="s">
        <v>11</v>
      </c>
      <c r="E15" s="114" t="s">
        <v>11</v>
      </c>
      <c r="F15" s="53"/>
      <c r="G15" s="54"/>
      <c r="H15" s="54"/>
      <c r="I15" s="55"/>
      <c r="J15" s="53"/>
      <c r="K15" s="54"/>
      <c r="L15" s="54"/>
      <c r="M15" s="55"/>
      <c r="N15" s="53"/>
      <c r="O15" s="54"/>
      <c r="P15" s="54"/>
      <c r="Q15" s="55"/>
      <c r="R15" s="53"/>
      <c r="S15" s="54"/>
      <c r="T15" s="54"/>
      <c r="U15" s="55"/>
      <c r="V15" s="53"/>
      <c r="W15" s="54"/>
      <c r="X15" s="54"/>
      <c r="Y15" s="55"/>
      <c r="Z15" s="53"/>
      <c r="AA15" s="54"/>
      <c r="AB15" s="54"/>
      <c r="AC15" s="55"/>
      <c r="AD15" s="53"/>
      <c r="AE15" s="54"/>
      <c r="AF15" s="54"/>
      <c r="AG15" s="55"/>
      <c r="AH15" s="53"/>
      <c r="AI15" s="54"/>
      <c r="AJ15" s="54"/>
      <c r="AK15" s="55"/>
      <c r="AL15" s="53"/>
      <c r="AM15" s="54"/>
      <c r="AN15" s="54"/>
      <c r="AO15" s="55"/>
      <c r="AP15" s="53"/>
      <c r="AQ15" s="54"/>
      <c r="AR15" s="54"/>
      <c r="AS15" s="55"/>
      <c r="AT15" s="53"/>
      <c r="AU15" s="54"/>
      <c r="AV15" s="54"/>
      <c r="AW15" s="55"/>
      <c r="AX15" s="112" t="s">
        <v>1541</v>
      </c>
      <c r="AY15" s="113" t="s">
        <v>1541</v>
      </c>
      <c r="AZ15" s="113" t="s">
        <v>1541</v>
      </c>
      <c r="BA15" s="55"/>
      <c r="BB15" s="112" t="s">
        <v>65</v>
      </c>
      <c r="BC15" s="113" t="s">
        <v>65</v>
      </c>
      <c r="BD15" s="113" t="s">
        <v>65</v>
      </c>
      <c r="BE15" s="55"/>
      <c r="BF15" s="53"/>
      <c r="BG15" s="54"/>
      <c r="BH15" s="54"/>
      <c r="BI15" s="55"/>
      <c r="BJ15" s="53"/>
      <c r="BK15" s="54"/>
      <c r="BL15" s="54"/>
      <c r="BM15" s="55"/>
    </row>
    <row r="16" spans="2:65" x14ac:dyDescent="0.25">
      <c r="B16" s="112" t="s">
        <v>83</v>
      </c>
      <c r="C16" s="113" t="s">
        <v>84</v>
      </c>
      <c r="D16" s="113" t="s">
        <v>85</v>
      </c>
      <c r="E16" s="114" t="s">
        <v>86</v>
      </c>
      <c r="F16" s="53"/>
      <c r="G16" s="54"/>
      <c r="H16" s="54"/>
      <c r="I16" s="55"/>
      <c r="J16" s="53"/>
      <c r="K16" s="54"/>
      <c r="L16" s="54"/>
      <c r="M16" s="55"/>
      <c r="N16" s="53"/>
      <c r="O16" s="54"/>
      <c r="P16" s="54"/>
      <c r="Q16" s="55"/>
      <c r="R16" s="53"/>
      <c r="S16" s="54"/>
      <c r="T16" s="54"/>
      <c r="U16" s="55"/>
      <c r="V16" s="53"/>
      <c r="W16" s="54"/>
      <c r="X16" s="54"/>
      <c r="Y16" s="55"/>
      <c r="Z16" s="53"/>
      <c r="AA16" s="54"/>
      <c r="AB16" s="54"/>
      <c r="AC16" s="55"/>
      <c r="AD16" s="53"/>
      <c r="AE16" s="54"/>
      <c r="AF16" s="54"/>
      <c r="AG16" s="55"/>
      <c r="AH16" s="53"/>
      <c r="AI16" s="54"/>
      <c r="AJ16" s="54"/>
      <c r="AK16" s="55"/>
      <c r="AL16" s="53"/>
      <c r="AM16" s="54"/>
      <c r="AN16" s="54"/>
      <c r="AO16" s="55"/>
      <c r="AP16" s="53"/>
      <c r="AQ16" s="54"/>
      <c r="AR16" s="54"/>
      <c r="AS16" s="55"/>
      <c r="AT16" s="53"/>
      <c r="AU16" s="54"/>
      <c r="AV16" s="54"/>
      <c r="AW16" s="55"/>
      <c r="AX16" s="112" t="s">
        <v>87</v>
      </c>
      <c r="AY16" s="113" t="s">
        <v>88</v>
      </c>
      <c r="AZ16" s="113" t="s">
        <v>89</v>
      </c>
      <c r="BA16" s="55"/>
      <c r="BB16" s="112" t="s">
        <v>90</v>
      </c>
      <c r="BC16" s="113" t="s">
        <v>91</v>
      </c>
      <c r="BD16" s="113" t="s">
        <v>92</v>
      </c>
      <c r="BE16" s="55"/>
      <c r="BF16" s="53"/>
      <c r="BG16" s="54"/>
      <c r="BH16" s="54"/>
      <c r="BI16" s="55"/>
      <c r="BJ16" s="53"/>
      <c r="BK16" s="54"/>
      <c r="BL16" s="54"/>
      <c r="BM16" s="55"/>
    </row>
    <row r="19" spans="2:65" x14ac:dyDescent="0.25">
      <c r="B19" s="112">
        <v>1</v>
      </c>
      <c r="C19" s="113">
        <v>1</v>
      </c>
      <c r="D19" s="113">
        <v>1</v>
      </c>
      <c r="E19" s="46"/>
      <c r="F19" s="44">
        <v>1</v>
      </c>
      <c r="G19" s="45">
        <v>1</v>
      </c>
      <c r="H19" s="45">
        <v>1</v>
      </c>
      <c r="I19" s="46"/>
      <c r="J19" s="112">
        <v>1</v>
      </c>
      <c r="K19" s="113">
        <v>1</v>
      </c>
      <c r="L19" s="113">
        <v>1</v>
      </c>
      <c r="M19" s="46"/>
      <c r="N19" s="44"/>
      <c r="O19" s="45"/>
      <c r="P19" s="45"/>
      <c r="Q19" s="46"/>
      <c r="R19" s="44"/>
      <c r="S19" s="45"/>
      <c r="T19" s="45"/>
      <c r="U19" s="46"/>
      <c r="V19" s="44"/>
      <c r="W19" s="45"/>
      <c r="X19" s="45"/>
      <c r="Y19" s="46"/>
      <c r="Z19" s="44"/>
      <c r="AA19" s="45"/>
      <c r="AB19" s="45"/>
      <c r="AC19" s="46"/>
      <c r="AD19" s="44"/>
      <c r="AE19" s="45"/>
      <c r="AF19" s="45"/>
      <c r="AG19" s="46"/>
      <c r="AH19" s="44"/>
      <c r="AI19" s="45"/>
      <c r="AJ19" s="45"/>
      <c r="AK19" s="46"/>
      <c r="AL19" s="44"/>
      <c r="AM19" s="45"/>
      <c r="AN19" s="45"/>
      <c r="AO19" s="46"/>
      <c r="AP19" s="44"/>
      <c r="AQ19" s="45"/>
      <c r="AR19" s="45"/>
      <c r="AS19" s="46"/>
      <c r="AT19" s="44"/>
      <c r="AU19" s="45"/>
      <c r="AV19" s="45"/>
      <c r="AW19" s="46"/>
      <c r="AX19" s="44"/>
      <c r="AY19" s="45"/>
      <c r="AZ19" s="45"/>
      <c r="BA19" s="46"/>
      <c r="BB19" s="44"/>
      <c r="BC19" s="45"/>
      <c r="BD19" s="45"/>
      <c r="BE19" s="46"/>
      <c r="BF19" s="44"/>
      <c r="BG19" s="45"/>
      <c r="BH19" s="45"/>
      <c r="BI19" s="46"/>
      <c r="BJ19" s="44"/>
      <c r="BK19" s="45"/>
      <c r="BL19" s="45"/>
      <c r="BM19" s="46"/>
    </row>
    <row r="20" spans="2:65" x14ac:dyDescent="0.25">
      <c r="B20" s="112" t="s">
        <v>93</v>
      </c>
      <c r="C20" s="113" t="s">
        <v>93</v>
      </c>
      <c r="D20" s="113" t="s">
        <v>93</v>
      </c>
      <c r="E20" s="46"/>
      <c r="F20" s="44" t="s">
        <v>94</v>
      </c>
      <c r="G20" s="45" t="s">
        <v>94</v>
      </c>
      <c r="H20" s="45" t="s">
        <v>94</v>
      </c>
      <c r="I20" s="46"/>
      <c r="J20" s="112" t="s">
        <v>95</v>
      </c>
      <c r="K20" s="113" t="s">
        <v>95</v>
      </c>
      <c r="L20" s="113" t="s">
        <v>95</v>
      </c>
      <c r="M20" s="46"/>
      <c r="N20" s="44"/>
      <c r="O20" s="45"/>
      <c r="P20" s="45"/>
      <c r="Q20" s="46"/>
      <c r="R20" s="44"/>
      <c r="S20" s="45"/>
      <c r="T20" s="45"/>
      <c r="U20" s="46"/>
      <c r="V20" s="44"/>
      <c r="W20" s="45"/>
      <c r="X20" s="45"/>
      <c r="Y20" s="46"/>
      <c r="Z20" s="44"/>
      <c r="AA20" s="45"/>
      <c r="AB20" s="45"/>
      <c r="AC20" s="46"/>
      <c r="AD20" s="44"/>
      <c r="AE20" s="45"/>
      <c r="AF20" s="45"/>
      <c r="AG20" s="46"/>
      <c r="AH20" s="44"/>
      <c r="AI20" s="45"/>
      <c r="AJ20" s="45"/>
      <c r="AK20" s="46"/>
      <c r="AL20" s="44"/>
      <c r="AM20" s="45"/>
      <c r="AN20" s="45"/>
      <c r="AO20" s="46"/>
      <c r="AP20" s="44"/>
      <c r="AQ20" s="45"/>
      <c r="AR20" s="45"/>
      <c r="AS20" s="46"/>
      <c r="AT20" s="44"/>
      <c r="AU20" s="45"/>
      <c r="AV20" s="45"/>
      <c r="AW20" s="46"/>
      <c r="AX20" s="44"/>
      <c r="AY20" s="45"/>
      <c r="AZ20" s="45"/>
      <c r="BA20" s="46"/>
      <c r="BB20" s="44"/>
      <c r="BC20" s="45"/>
      <c r="BD20" s="45"/>
      <c r="BE20" s="46"/>
      <c r="BF20" s="44"/>
      <c r="BG20" s="45"/>
      <c r="BH20" s="45"/>
      <c r="BI20" s="46"/>
      <c r="BJ20" s="44"/>
      <c r="BK20" s="45"/>
      <c r="BL20" s="45"/>
      <c r="BM20" s="46"/>
    </row>
    <row r="21" spans="2:65" x14ac:dyDescent="0.25">
      <c r="B21" s="112" t="s">
        <v>96</v>
      </c>
      <c r="C21" s="113" t="s">
        <v>97</v>
      </c>
      <c r="D21" s="113" t="s">
        <v>98</v>
      </c>
      <c r="E21" s="46"/>
      <c r="F21" s="44" t="s">
        <v>99</v>
      </c>
      <c r="G21" s="45" t="s">
        <v>100</v>
      </c>
      <c r="H21" s="45" t="s">
        <v>101</v>
      </c>
      <c r="I21" s="46"/>
      <c r="J21" s="112" t="s">
        <v>102</v>
      </c>
      <c r="K21" s="113" t="s">
        <v>103</v>
      </c>
      <c r="L21" s="113" t="s">
        <v>104</v>
      </c>
      <c r="M21" s="46"/>
      <c r="N21" s="44"/>
      <c r="O21" s="45"/>
      <c r="P21" s="45"/>
      <c r="Q21" s="46"/>
      <c r="R21" s="44"/>
      <c r="S21" s="45"/>
      <c r="T21" s="45"/>
      <c r="U21" s="46"/>
      <c r="V21" s="44"/>
      <c r="W21" s="45"/>
      <c r="X21" s="45"/>
      <c r="Y21" s="46"/>
      <c r="Z21" s="44"/>
      <c r="AA21" s="45"/>
      <c r="AB21" s="45"/>
      <c r="AC21" s="46"/>
      <c r="AD21" s="44"/>
      <c r="AE21" s="45"/>
      <c r="AF21" s="45"/>
      <c r="AG21" s="46"/>
      <c r="AH21" s="44"/>
      <c r="AI21" s="45"/>
      <c r="AJ21" s="45"/>
      <c r="AK21" s="46"/>
      <c r="AL21" s="44"/>
      <c r="AM21" s="45"/>
      <c r="AN21" s="45"/>
      <c r="AO21" s="46"/>
      <c r="AP21" s="44"/>
      <c r="AQ21" s="45"/>
      <c r="AR21" s="45"/>
      <c r="AS21" s="46"/>
      <c r="AT21" s="44"/>
      <c r="AU21" s="45"/>
      <c r="AV21" s="45"/>
      <c r="AW21" s="46"/>
      <c r="AX21" s="44"/>
      <c r="AY21" s="45"/>
      <c r="AZ21" s="45"/>
      <c r="BA21" s="46"/>
      <c r="BB21" s="44"/>
      <c r="BC21" s="45"/>
      <c r="BD21" s="45"/>
      <c r="BE21" s="46"/>
      <c r="BF21" s="44"/>
      <c r="BG21" s="45"/>
      <c r="BH21" s="45"/>
      <c r="BI21" s="46"/>
      <c r="BJ21" s="44"/>
      <c r="BK21" s="45"/>
      <c r="BL21" s="45"/>
      <c r="BM21" s="46"/>
    </row>
    <row r="22" spans="2:65" x14ac:dyDescent="0.25">
      <c r="B22" s="112">
        <v>1</v>
      </c>
      <c r="C22" s="113">
        <v>1</v>
      </c>
      <c r="D22" s="113">
        <v>1</v>
      </c>
      <c r="E22" s="114">
        <v>1</v>
      </c>
      <c r="F22" s="112">
        <v>1</v>
      </c>
      <c r="G22" s="113"/>
      <c r="H22" s="113">
        <v>1</v>
      </c>
      <c r="I22" s="114">
        <v>1</v>
      </c>
      <c r="J22" s="112">
        <v>1</v>
      </c>
      <c r="K22" s="113">
        <v>1</v>
      </c>
      <c r="L22" s="113">
        <v>1</v>
      </c>
      <c r="M22" s="49"/>
      <c r="N22" s="47"/>
      <c r="O22" s="48"/>
      <c r="P22" s="48"/>
      <c r="Q22" s="49"/>
      <c r="R22" s="47"/>
      <c r="S22" s="48"/>
      <c r="T22" s="48"/>
      <c r="U22" s="49"/>
      <c r="V22" s="47"/>
      <c r="W22" s="48"/>
      <c r="X22" s="48"/>
      <c r="Y22" s="49"/>
      <c r="Z22" s="47"/>
      <c r="AA22" s="48"/>
      <c r="AB22" s="48"/>
      <c r="AC22" s="49"/>
      <c r="AD22" s="47"/>
      <c r="AE22" s="48"/>
      <c r="AF22" s="48"/>
      <c r="AG22" s="49"/>
      <c r="AH22" s="47"/>
      <c r="AI22" s="48"/>
      <c r="AJ22" s="48"/>
      <c r="AK22" s="49"/>
      <c r="AL22" s="47"/>
      <c r="AM22" s="48"/>
      <c r="AN22" s="48"/>
      <c r="AO22" s="49"/>
      <c r="AP22" s="47"/>
      <c r="AQ22" s="48"/>
      <c r="AR22" s="48"/>
      <c r="AS22" s="49"/>
      <c r="AT22" s="47"/>
      <c r="AU22" s="48"/>
      <c r="AV22" s="48"/>
      <c r="AW22" s="49"/>
      <c r="AX22" s="47"/>
      <c r="AY22" s="48"/>
      <c r="AZ22" s="48"/>
      <c r="BA22" s="49"/>
      <c r="BB22" s="112">
        <v>1</v>
      </c>
      <c r="BC22" s="113">
        <v>1</v>
      </c>
      <c r="BD22" s="113"/>
      <c r="BE22" s="49"/>
      <c r="BF22" s="47">
        <v>1</v>
      </c>
      <c r="BG22" s="48">
        <v>1</v>
      </c>
      <c r="BH22" s="48">
        <v>1</v>
      </c>
      <c r="BI22" s="49"/>
      <c r="BJ22" s="112">
        <v>1</v>
      </c>
      <c r="BK22" s="113">
        <v>1</v>
      </c>
      <c r="BL22" s="113">
        <v>1</v>
      </c>
      <c r="BM22" s="49"/>
    </row>
    <row r="23" spans="2:65" x14ac:dyDescent="0.25">
      <c r="B23" s="112" t="s">
        <v>105</v>
      </c>
      <c r="C23" s="113" t="s">
        <v>105</v>
      </c>
      <c r="D23" s="113" t="s">
        <v>105</v>
      </c>
      <c r="E23" s="114" t="s">
        <v>105</v>
      </c>
      <c r="F23" s="112" t="s">
        <v>106</v>
      </c>
      <c r="G23" s="113" t="s">
        <v>14</v>
      </c>
      <c r="H23" s="113" t="s">
        <v>106</v>
      </c>
      <c r="I23" s="114" t="s">
        <v>106</v>
      </c>
      <c r="J23" s="112" t="s">
        <v>15</v>
      </c>
      <c r="K23" s="113" t="s">
        <v>107</v>
      </c>
      <c r="L23" s="113" t="s">
        <v>107</v>
      </c>
      <c r="M23" s="49"/>
      <c r="N23" s="47"/>
      <c r="O23" s="48"/>
      <c r="P23" s="48"/>
      <c r="Q23" s="49"/>
      <c r="R23" s="47"/>
      <c r="S23" s="48"/>
      <c r="T23" s="48"/>
      <c r="U23" s="49"/>
      <c r="V23" s="47"/>
      <c r="W23" s="48"/>
      <c r="X23" s="48"/>
      <c r="Y23" s="49"/>
      <c r="Z23" s="47"/>
      <c r="AA23" s="48"/>
      <c r="AB23" s="48"/>
      <c r="AC23" s="49"/>
      <c r="AD23" s="47"/>
      <c r="AE23" s="48"/>
      <c r="AF23" s="48"/>
      <c r="AG23" s="49"/>
      <c r="AH23" s="47"/>
      <c r="AI23" s="48"/>
      <c r="AJ23" s="48"/>
      <c r="AK23" s="49"/>
      <c r="AL23" s="47"/>
      <c r="AM23" s="48"/>
      <c r="AN23" s="48"/>
      <c r="AO23" s="49"/>
      <c r="AP23" s="47"/>
      <c r="AQ23" s="48"/>
      <c r="AR23" s="48"/>
      <c r="AS23" s="49"/>
      <c r="AT23" s="47"/>
      <c r="AU23" s="48"/>
      <c r="AV23" s="48"/>
      <c r="AW23" s="49"/>
      <c r="AX23" s="47"/>
      <c r="AY23" s="48"/>
      <c r="AZ23" s="48"/>
      <c r="BA23" s="49"/>
      <c r="BB23" s="112" t="s">
        <v>108</v>
      </c>
      <c r="BC23" s="113" t="s">
        <v>108</v>
      </c>
      <c r="BD23" s="113" t="s">
        <v>14</v>
      </c>
      <c r="BE23" s="49"/>
      <c r="BF23" s="47" t="s">
        <v>1542</v>
      </c>
      <c r="BG23" s="48" t="s">
        <v>1542</v>
      </c>
      <c r="BH23" s="48" t="s">
        <v>1542</v>
      </c>
      <c r="BI23" s="49"/>
      <c r="BJ23" s="112" t="s">
        <v>109</v>
      </c>
      <c r="BK23" s="113" t="s">
        <v>109</v>
      </c>
      <c r="BL23" s="113" t="s">
        <v>109</v>
      </c>
      <c r="BM23" s="49"/>
    </row>
    <row r="24" spans="2:65" x14ac:dyDescent="0.25">
      <c r="B24" s="112" t="s">
        <v>110</v>
      </c>
      <c r="C24" s="113" t="s">
        <v>111</v>
      </c>
      <c r="D24" s="113" t="s">
        <v>112</v>
      </c>
      <c r="E24" s="114" t="s">
        <v>113</v>
      </c>
      <c r="F24" s="112" t="s">
        <v>114</v>
      </c>
      <c r="G24" s="113" t="s">
        <v>115</v>
      </c>
      <c r="H24" s="113" t="s">
        <v>116</v>
      </c>
      <c r="I24" s="114" t="s">
        <v>117</v>
      </c>
      <c r="J24" s="112" t="s">
        <v>118</v>
      </c>
      <c r="K24" s="113" t="s">
        <v>119</v>
      </c>
      <c r="L24" s="113" t="s">
        <v>120</v>
      </c>
      <c r="M24" s="49"/>
      <c r="N24" s="47"/>
      <c r="O24" s="48"/>
      <c r="P24" s="48"/>
      <c r="Q24" s="49"/>
      <c r="R24" s="47"/>
      <c r="S24" s="48"/>
      <c r="T24" s="48"/>
      <c r="U24" s="49"/>
      <c r="V24" s="47"/>
      <c r="W24" s="48"/>
      <c r="X24" s="48"/>
      <c r="Y24" s="49"/>
      <c r="Z24" s="47"/>
      <c r="AA24" s="48"/>
      <c r="AB24" s="48"/>
      <c r="AC24" s="49"/>
      <c r="AD24" s="47"/>
      <c r="AE24" s="48"/>
      <c r="AF24" s="48"/>
      <c r="AG24" s="49"/>
      <c r="AH24" s="47"/>
      <c r="AI24" s="48"/>
      <c r="AJ24" s="48"/>
      <c r="AK24" s="49"/>
      <c r="AL24" s="47"/>
      <c r="AM24" s="48"/>
      <c r="AN24" s="48"/>
      <c r="AO24" s="49"/>
      <c r="AP24" s="47"/>
      <c r="AQ24" s="48"/>
      <c r="AR24" s="48"/>
      <c r="AS24" s="49"/>
      <c r="AT24" s="47"/>
      <c r="AU24" s="48"/>
      <c r="AV24" s="48"/>
      <c r="AW24" s="49"/>
      <c r="AX24" s="47"/>
      <c r="AY24" s="48"/>
      <c r="AZ24" s="48"/>
      <c r="BA24" s="49"/>
      <c r="BB24" s="112" t="s">
        <v>121</v>
      </c>
      <c r="BC24" s="113" t="s">
        <v>122</v>
      </c>
      <c r="BD24" s="113" t="s">
        <v>123</v>
      </c>
      <c r="BE24" s="49"/>
      <c r="BF24" s="47" t="s">
        <v>124</v>
      </c>
      <c r="BG24" s="48" t="s">
        <v>125</v>
      </c>
      <c r="BH24" s="48" t="s">
        <v>126</v>
      </c>
      <c r="BI24" s="49"/>
      <c r="BJ24" s="112" t="s">
        <v>127</v>
      </c>
      <c r="BK24" s="113" t="s">
        <v>128</v>
      </c>
      <c r="BL24" s="113" t="s">
        <v>129</v>
      </c>
      <c r="BM24" s="49"/>
    </row>
    <row r="25" spans="2:65" x14ac:dyDescent="0.25">
      <c r="B25" s="112">
        <v>1</v>
      </c>
      <c r="C25" s="113">
        <v>1</v>
      </c>
      <c r="D25" s="113">
        <v>1</v>
      </c>
      <c r="E25" s="52"/>
      <c r="F25" s="112">
        <v>1</v>
      </c>
      <c r="G25" s="113">
        <v>1</v>
      </c>
      <c r="H25" s="113">
        <v>1</v>
      </c>
      <c r="I25" s="114">
        <v>1</v>
      </c>
      <c r="J25" s="112">
        <v>1</v>
      </c>
      <c r="K25" s="113">
        <v>1</v>
      </c>
      <c r="L25" s="113"/>
      <c r="M25" s="52"/>
      <c r="N25" s="50"/>
      <c r="O25" s="51"/>
      <c r="P25" s="51"/>
      <c r="Q25" s="52"/>
      <c r="R25" s="50"/>
      <c r="S25" s="51"/>
      <c r="T25" s="51"/>
      <c r="U25" s="52"/>
      <c r="V25" s="50"/>
      <c r="W25" s="51"/>
      <c r="X25" s="51"/>
      <c r="Y25" s="52"/>
      <c r="Z25" s="50"/>
      <c r="AA25" s="51"/>
      <c r="AB25" s="51"/>
      <c r="AC25" s="52"/>
      <c r="AD25" s="50"/>
      <c r="AE25" s="51"/>
      <c r="AF25" s="51"/>
      <c r="AG25" s="52"/>
      <c r="AH25" s="50"/>
      <c r="AI25" s="51"/>
      <c r="AJ25" s="51"/>
      <c r="AK25" s="52"/>
      <c r="AL25" s="50"/>
      <c r="AM25" s="51"/>
      <c r="AN25" s="51"/>
      <c r="AO25" s="52"/>
      <c r="AP25" s="50"/>
      <c r="AQ25" s="51"/>
      <c r="AR25" s="51"/>
      <c r="AS25" s="52"/>
      <c r="AT25" s="50"/>
      <c r="AU25" s="51"/>
      <c r="AV25" s="51"/>
      <c r="AW25" s="52"/>
      <c r="AX25" s="50"/>
      <c r="AY25" s="51"/>
      <c r="AZ25" s="51"/>
      <c r="BA25" s="52"/>
      <c r="BB25" s="112">
        <v>1</v>
      </c>
      <c r="BC25" s="113">
        <v>1</v>
      </c>
      <c r="BD25" s="113"/>
      <c r="BE25" s="52"/>
      <c r="BF25" s="112">
        <v>1</v>
      </c>
      <c r="BG25" s="113"/>
      <c r="BH25" s="113">
        <v>1</v>
      </c>
      <c r="BI25" s="52"/>
      <c r="BJ25" s="112">
        <v>1</v>
      </c>
      <c r="BK25" s="113">
        <v>1</v>
      </c>
      <c r="BL25" s="113">
        <v>1</v>
      </c>
      <c r="BM25" s="52"/>
    </row>
    <row r="26" spans="2:65" x14ac:dyDescent="0.25">
      <c r="B26" s="112">
        <v>2841053700100</v>
      </c>
      <c r="C26" s="113">
        <v>2841053700100</v>
      </c>
      <c r="D26" s="113">
        <v>2841053700100</v>
      </c>
      <c r="E26" s="52"/>
      <c r="F26" s="112" t="s">
        <v>130</v>
      </c>
      <c r="G26" s="113" t="s">
        <v>130</v>
      </c>
      <c r="H26" s="113" t="s">
        <v>130</v>
      </c>
      <c r="I26" s="114" t="s">
        <v>130</v>
      </c>
      <c r="J26" s="112" t="s">
        <v>131</v>
      </c>
      <c r="K26" s="113" t="s">
        <v>131</v>
      </c>
      <c r="L26" s="113" t="s">
        <v>14</v>
      </c>
      <c r="M26" s="52"/>
      <c r="N26" s="50"/>
      <c r="O26" s="51"/>
      <c r="P26" s="51"/>
      <c r="Q26" s="52"/>
      <c r="R26" s="50"/>
      <c r="S26" s="51"/>
      <c r="T26" s="51"/>
      <c r="U26" s="52"/>
      <c r="V26" s="50"/>
      <c r="W26" s="51"/>
      <c r="X26" s="51"/>
      <c r="Y26" s="52"/>
      <c r="Z26" s="50"/>
      <c r="AA26" s="51"/>
      <c r="AB26" s="51"/>
      <c r="AC26" s="52"/>
      <c r="AD26" s="50"/>
      <c r="AE26" s="51"/>
      <c r="AF26" s="51"/>
      <c r="AG26" s="52"/>
      <c r="AH26" s="50"/>
      <c r="AI26" s="51"/>
      <c r="AJ26" s="51"/>
      <c r="AK26" s="52"/>
      <c r="AL26" s="50"/>
      <c r="AM26" s="51"/>
      <c r="AN26" s="51"/>
      <c r="AO26" s="52"/>
      <c r="AP26" s="50"/>
      <c r="AQ26" s="51"/>
      <c r="AR26" s="51"/>
      <c r="AS26" s="52"/>
      <c r="AT26" s="50"/>
      <c r="AU26" s="51"/>
      <c r="AV26" s="51"/>
      <c r="AW26" s="52"/>
      <c r="AX26" s="50"/>
      <c r="AY26" s="51"/>
      <c r="AZ26" s="51"/>
      <c r="BA26" s="52"/>
      <c r="BB26" s="112" t="s">
        <v>108</v>
      </c>
      <c r="BC26" s="113" t="s">
        <v>108</v>
      </c>
      <c r="BD26" s="113" t="s">
        <v>14</v>
      </c>
      <c r="BE26" s="52"/>
      <c r="BF26" s="112" t="s">
        <v>1221</v>
      </c>
      <c r="BG26" s="113" t="s">
        <v>14</v>
      </c>
      <c r="BH26" s="113" t="s">
        <v>15</v>
      </c>
      <c r="BI26" s="52"/>
      <c r="BJ26" s="112" t="s">
        <v>15</v>
      </c>
      <c r="BK26" s="113" t="s">
        <v>15</v>
      </c>
      <c r="BL26" s="113" t="s">
        <v>15</v>
      </c>
      <c r="BM26" s="52"/>
    </row>
    <row r="27" spans="2:65" x14ac:dyDescent="0.25">
      <c r="B27" s="112" t="s">
        <v>132</v>
      </c>
      <c r="C27" s="113" t="s">
        <v>133</v>
      </c>
      <c r="D27" s="113" t="s">
        <v>134</v>
      </c>
      <c r="E27" s="52"/>
      <c r="F27" s="112" t="s">
        <v>135</v>
      </c>
      <c r="G27" s="113" t="s">
        <v>136</v>
      </c>
      <c r="H27" s="113" t="s">
        <v>137</v>
      </c>
      <c r="I27" s="114" t="s">
        <v>138</v>
      </c>
      <c r="J27" s="112" t="s">
        <v>139</v>
      </c>
      <c r="K27" s="113" t="s">
        <v>140</v>
      </c>
      <c r="L27" s="113" t="s">
        <v>141</v>
      </c>
      <c r="M27" s="52"/>
      <c r="N27" s="50"/>
      <c r="O27" s="51"/>
      <c r="P27" s="51"/>
      <c r="Q27" s="52"/>
      <c r="R27" s="50"/>
      <c r="S27" s="51"/>
      <c r="T27" s="51"/>
      <c r="U27" s="52"/>
      <c r="V27" s="50"/>
      <c r="W27" s="51"/>
      <c r="X27" s="51"/>
      <c r="Y27" s="52"/>
      <c r="Z27" s="50"/>
      <c r="AA27" s="51"/>
      <c r="AB27" s="51"/>
      <c r="AC27" s="52"/>
      <c r="AD27" s="50"/>
      <c r="AE27" s="51"/>
      <c r="AF27" s="51"/>
      <c r="AG27" s="52"/>
      <c r="AH27" s="50"/>
      <c r="AI27" s="51"/>
      <c r="AJ27" s="51"/>
      <c r="AK27" s="52"/>
      <c r="AL27" s="50"/>
      <c r="AM27" s="51"/>
      <c r="AN27" s="51"/>
      <c r="AO27" s="52"/>
      <c r="AP27" s="50"/>
      <c r="AQ27" s="51"/>
      <c r="AR27" s="51"/>
      <c r="AS27" s="52"/>
      <c r="AT27" s="50"/>
      <c r="AU27" s="51"/>
      <c r="AV27" s="51"/>
      <c r="AW27" s="52"/>
      <c r="AX27" s="50"/>
      <c r="AY27" s="51"/>
      <c r="AZ27" s="51"/>
      <c r="BA27" s="52"/>
      <c r="BB27" s="112" t="s">
        <v>142</v>
      </c>
      <c r="BC27" s="113" t="s">
        <v>143</v>
      </c>
      <c r="BD27" s="113" t="s">
        <v>144</v>
      </c>
      <c r="BE27" s="52"/>
      <c r="BF27" s="112" t="s">
        <v>145</v>
      </c>
      <c r="BG27" s="113" t="s">
        <v>146</v>
      </c>
      <c r="BH27" s="113" t="s">
        <v>147</v>
      </c>
      <c r="BI27" s="52"/>
      <c r="BJ27" s="112" t="s">
        <v>148</v>
      </c>
      <c r="BK27" s="113" t="s">
        <v>149</v>
      </c>
      <c r="BL27" s="113" t="s">
        <v>150</v>
      </c>
      <c r="BM27" s="52"/>
    </row>
    <row r="28" spans="2:65" x14ac:dyDescent="0.25">
      <c r="B28" s="112">
        <v>1</v>
      </c>
      <c r="C28" s="113">
        <v>1</v>
      </c>
      <c r="D28" s="113">
        <v>1</v>
      </c>
      <c r="E28" s="55"/>
      <c r="F28" s="112">
        <v>1</v>
      </c>
      <c r="G28" s="113">
        <v>1</v>
      </c>
      <c r="H28" s="113">
        <v>1</v>
      </c>
      <c r="I28" s="114">
        <v>1</v>
      </c>
      <c r="J28" s="112">
        <v>1</v>
      </c>
      <c r="K28" s="113">
        <v>1</v>
      </c>
      <c r="L28" s="113">
        <v>1</v>
      </c>
      <c r="M28" s="55"/>
      <c r="N28" s="53"/>
      <c r="O28" s="54"/>
      <c r="P28" s="54"/>
      <c r="Q28" s="55"/>
      <c r="R28" s="53"/>
      <c r="S28" s="54"/>
      <c r="T28" s="54"/>
      <c r="U28" s="55"/>
      <c r="V28" s="53"/>
      <c r="W28" s="54"/>
      <c r="X28" s="54"/>
      <c r="Y28" s="55"/>
      <c r="Z28" s="53"/>
      <c r="AA28" s="54"/>
      <c r="AB28" s="54"/>
      <c r="AC28" s="55"/>
      <c r="AD28" s="53"/>
      <c r="AE28" s="54"/>
      <c r="AF28" s="54"/>
      <c r="AG28" s="55"/>
      <c r="AH28" s="53"/>
      <c r="AI28" s="54"/>
      <c r="AJ28" s="54"/>
      <c r="AK28" s="55"/>
      <c r="AL28" s="53"/>
      <c r="AM28" s="54"/>
      <c r="AN28" s="54"/>
      <c r="AO28" s="55"/>
      <c r="AP28" s="53"/>
      <c r="AQ28" s="54"/>
      <c r="AR28" s="54"/>
      <c r="AS28" s="55"/>
      <c r="AT28" s="53"/>
      <c r="AU28" s="54"/>
      <c r="AV28" s="54"/>
      <c r="AW28" s="55"/>
      <c r="AX28" s="53"/>
      <c r="AY28" s="54"/>
      <c r="AZ28" s="54"/>
      <c r="BA28" s="55"/>
      <c r="BB28" s="112">
        <v>1</v>
      </c>
      <c r="BC28" s="113">
        <v>1</v>
      </c>
      <c r="BD28" s="113"/>
      <c r="BE28" s="55"/>
      <c r="BF28" s="112"/>
      <c r="BG28" s="113">
        <v>1</v>
      </c>
      <c r="BH28" s="113">
        <v>1</v>
      </c>
      <c r="BI28" s="114">
        <v>1</v>
      </c>
      <c r="BJ28" s="112">
        <v>1</v>
      </c>
      <c r="BK28" s="113">
        <v>1</v>
      </c>
      <c r="BL28" s="113">
        <v>1</v>
      </c>
      <c r="BM28" s="114"/>
    </row>
    <row r="29" spans="2:65" x14ac:dyDescent="0.25">
      <c r="B29" s="112">
        <v>2841053700100</v>
      </c>
      <c r="C29" s="113" t="s">
        <v>15</v>
      </c>
      <c r="D29" s="113">
        <v>2841053700100</v>
      </c>
      <c r="E29" s="55"/>
      <c r="F29" s="112" t="s">
        <v>130</v>
      </c>
      <c r="G29" s="113" t="s">
        <v>130</v>
      </c>
      <c r="H29" s="113" t="s">
        <v>130</v>
      </c>
      <c r="I29" s="114" t="s">
        <v>130</v>
      </c>
      <c r="J29" s="112" t="s">
        <v>131</v>
      </c>
      <c r="K29" s="113" t="s">
        <v>131</v>
      </c>
      <c r="L29" s="113" t="s">
        <v>131</v>
      </c>
      <c r="M29" s="55"/>
      <c r="N29" s="53"/>
      <c r="O29" s="54"/>
      <c r="P29" s="54"/>
      <c r="Q29" s="55"/>
      <c r="R29" s="53"/>
      <c r="S29" s="54"/>
      <c r="T29" s="54"/>
      <c r="U29" s="55"/>
      <c r="V29" s="53"/>
      <c r="W29" s="54"/>
      <c r="X29" s="54"/>
      <c r="Y29" s="55"/>
      <c r="Z29" s="53"/>
      <c r="AA29" s="54"/>
      <c r="AB29" s="54"/>
      <c r="AC29" s="55"/>
      <c r="AD29" s="53"/>
      <c r="AE29" s="54"/>
      <c r="AF29" s="54"/>
      <c r="AG29" s="55"/>
      <c r="AH29" s="53"/>
      <c r="AI29" s="54"/>
      <c r="AJ29" s="54"/>
      <c r="AK29" s="55"/>
      <c r="AL29" s="53"/>
      <c r="AM29" s="54"/>
      <c r="AN29" s="54"/>
      <c r="AO29" s="55"/>
      <c r="AP29" s="53"/>
      <c r="AQ29" s="54"/>
      <c r="AR29" s="54"/>
      <c r="AS29" s="55"/>
      <c r="AT29" s="53"/>
      <c r="AU29" s="54"/>
      <c r="AV29" s="54"/>
      <c r="AW29" s="55"/>
      <c r="AX29" s="53"/>
      <c r="AY29" s="54"/>
      <c r="AZ29" s="54"/>
      <c r="BA29" s="55"/>
      <c r="BB29" s="112" t="s">
        <v>15</v>
      </c>
      <c r="BC29" s="113" t="s">
        <v>15</v>
      </c>
      <c r="BD29" s="113" t="s">
        <v>14</v>
      </c>
      <c r="BE29" s="55"/>
      <c r="BF29" s="112" t="s">
        <v>14</v>
      </c>
      <c r="BG29" s="113" t="s">
        <v>15</v>
      </c>
      <c r="BH29" s="113" t="s">
        <v>15</v>
      </c>
      <c r="BI29" s="114" t="s">
        <v>15</v>
      </c>
      <c r="BJ29" s="112" t="s">
        <v>15</v>
      </c>
      <c r="BK29" s="113" t="s">
        <v>15</v>
      </c>
      <c r="BL29" s="113" t="s">
        <v>1543</v>
      </c>
      <c r="BM29" s="114" t="s">
        <v>14</v>
      </c>
    </row>
    <row r="30" spans="2:65" x14ac:dyDescent="0.25">
      <c r="B30" s="112" t="s">
        <v>151</v>
      </c>
      <c r="C30" s="113" t="s">
        <v>152</v>
      </c>
      <c r="D30" s="113" t="s">
        <v>153</v>
      </c>
      <c r="E30" s="55"/>
      <c r="F30" s="112" t="s">
        <v>154</v>
      </c>
      <c r="G30" s="113" t="s">
        <v>155</v>
      </c>
      <c r="H30" s="113" t="s">
        <v>156</v>
      </c>
      <c r="I30" s="114" t="s">
        <v>157</v>
      </c>
      <c r="J30" s="112" t="s">
        <v>158</v>
      </c>
      <c r="K30" s="113" t="s">
        <v>159</v>
      </c>
      <c r="L30" s="113" t="s">
        <v>160</v>
      </c>
      <c r="M30" s="55"/>
      <c r="N30" s="53"/>
      <c r="O30" s="54"/>
      <c r="P30" s="54"/>
      <c r="Q30" s="55"/>
      <c r="R30" s="53"/>
      <c r="S30" s="54"/>
      <c r="T30" s="54"/>
      <c r="U30" s="55"/>
      <c r="V30" s="53"/>
      <c r="W30" s="54"/>
      <c r="X30" s="54"/>
      <c r="Y30" s="55"/>
      <c r="Z30" s="53"/>
      <c r="AA30" s="54"/>
      <c r="AB30" s="54"/>
      <c r="AC30" s="55"/>
      <c r="AD30" s="53"/>
      <c r="AE30" s="54"/>
      <c r="AF30" s="54"/>
      <c r="AG30" s="55"/>
      <c r="AH30" s="53"/>
      <c r="AI30" s="54"/>
      <c r="AJ30" s="54"/>
      <c r="AK30" s="55"/>
      <c r="AL30" s="53"/>
      <c r="AM30" s="54"/>
      <c r="AN30" s="54"/>
      <c r="AO30" s="55"/>
      <c r="AP30" s="53"/>
      <c r="AQ30" s="54"/>
      <c r="AR30" s="54"/>
      <c r="AS30" s="55"/>
      <c r="AT30" s="53"/>
      <c r="AU30" s="54"/>
      <c r="AV30" s="54"/>
      <c r="AW30" s="55"/>
      <c r="AX30" s="53"/>
      <c r="AY30" s="54"/>
      <c r="AZ30" s="54"/>
      <c r="BA30" s="55"/>
      <c r="BB30" s="112" t="s">
        <v>161</v>
      </c>
      <c r="BC30" s="113" t="s">
        <v>162</v>
      </c>
      <c r="BD30" s="113" t="s">
        <v>163</v>
      </c>
      <c r="BE30" s="55"/>
      <c r="BF30" s="112" t="s">
        <v>164</v>
      </c>
      <c r="BG30" s="113" t="s">
        <v>165</v>
      </c>
      <c r="BH30" s="113" t="s">
        <v>166</v>
      </c>
      <c r="BI30" s="114" t="s">
        <v>167</v>
      </c>
      <c r="BJ30" s="112" t="s">
        <v>168</v>
      </c>
      <c r="BK30" s="113" t="s">
        <v>169</v>
      </c>
      <c r="BL30" s="113" t="s">
        <v>170</v>
      </c>
      <c r="BM30" s="114" t="s">
        <v>171</v>
      </c>
    </row>
    <row r="33" spans="2:65" x14ac:dyDescent="0.25">
      <c r="B33" s="44"/>
      <c r="C33" s="45"/>
      <c r="D33" s="45"/>
      <c r="E33" s="46"/>
      <c r="F33" s="44"/>
      <c r="G33" s="45"/>
      <c r="H33" s="45"/>
      <c r="I33" s="46"/>
      <c r="J33" s="44"/>
      <c r="K33" s="45"/>
      <c r="L33" s="45"/>
      <c r="M33" s="46"/>
      <c r="N33" s="44"/>
      <c r="O33" s="45"/>
      <c r="P33" s="45"/>
      <c r="Q33" s="46"/>
      <c r="R33" s="44"/>
      <c r="S33" s="45"/>
      <c r="T33" s="45"/>
      <c r="U33" s="46"/>
      <c r="V33" s="44"/>
      <c r="W33" s="45"/>
      <c r="X33" s="45"/>
      <c r="Y33" s="46"/>
      <c r="Z33" s="44"/>
      <c r="AA33" s="45"/>
      <c r="AB33" s="45"/>
      <c r="AC33" s="46"/>
      <c r="AD33" s="44"/>
      <c r="AE33" s="45"/>
      <c r="AF33" s="45"/>
      <c r="AG33" s="46"/>
      <c r="AH33" s="44"/>
      <c r="AI33" s="45"/>
      <c r="AJ33" s="45"/>
      <c r="AK33" s="46"/>
      <c r="AL33" s="44"/>
      <c r="AM33" s="45"/>
      <c r="AN33" s="45"/>
      <c r="AO33" s="46"/>
      <c r="AP33" s="44"/>
      <c r="AQ33" s="45"/>
      <c r="AR33" s="45"/>
      <c r="AS33" s="46"/>
      <c r="AT33" s="44"/>
      <c r="AU33" s="45"/>
      <c r="AV33" s="45"/>
      <c r="AW33" s="46"/>
      <c r="AX33" s="44"/>
      <c r="AY33" s="45"/>
      <c r="AZ33" s="45"/>
      <c r="BA33" s="46"/>
      <c r="BB33" s="112">
        <v>1</v>
      </c>
      <c r="BC33" s="113">
        <v>1</v>
      </c>
      <c r="BD33" s="45"/>
      <c r="BE33" s="46"/>
      <c r="BF33" s="112"/>
      <c r="BG33" s="113"/>
      <c r="BH33" s="113"/>
      <c r="BI33" s="114"/>
      <c r="BJ33" s="44"/>
      <c r="BK33" s="45"/>
      <c r="BL33" s="45"/>
      <c r="BM33" s="46"/>
    </row>
    <row r="34" spans="2:65" x14ac:dyDescent="0.25">
      <c r="B34" s="44"/>
      <c r="C34" s="45"/>
      <c r="D34" s="45"/>
      <c r="E34" s="46"/>
      <c r="F34" s="44"/>
      <c r="G34" s="45"/>
      <c r="H34" s="45"/>
      <c r="I34" s="46"/>
      <c r="J34" s="44"/>
      <c r="K34" s="45"/>
      <c r="L34" s="45"/>
      <c r="M34" s="46"/>
      <c r="N34" s="44"/>
      <c r="O34" s="45"/>
      <c r="P34" s="45"/>
      <c r="Q34" s="46"/>
      <c r="R34" s="44"/>
      <c r="S34" s="45"/>
      <c r="T34" s="45"/>
      <c r="U34" s="46"/>
      <c r="V34" s="44"/>
      <c r="W34" s="45"/>
      <c r="X34" s="45"/>
      <c r="Y34" s="46"/>
      <c r="Z34" s="44"/>
      <c r="AA34" s="45"/>
      <c r="AB34" s="45"/>
      <c r="AC34" s="46"/>
      <c r="AD34" s="44"/>
      <c r="AE34" s="45"/>
      <c r="AF34" s="45"/>
      <c r="AG34" s="46"/>
      <c r="AH34" s="44"/>
      <c r="AI34" s="45"/>
      <c r="AJ34" s="45"/>
      <c r="AK34" s="46"/>
      <c r="AL34" s="44"/>
      <c r="AM34" s="45"/>
      <c r="AN34" s="45"/>
      <c r="AO34" s="46"/>
      <c r="AP34" s="44"/>
      <c r="AQ34" s="45"/>
      <c r="AR34" s="45"/>
      <c r="AS34" s="46"/>
      <c r="AT34" s="44"/>
      <c r="AU34" s="45"/>
      <c r="AV34" s="45"/>
      <c r="AW34" s="46"/>
      <c r="AX34" s="44"/>
      <c r="AY34" s="45"/>
      <c r="AZ34" s="45"/>
      <c r="BA34" s="46"/>
      <c r="BB34" s="112" t="s">
        <v>172</v>
      </c>
      <c r="BC34" s="113" t="s">
        <v>172</v>
      </c>
      <c r="BD34" s="45"/>
      <c r="BE34" s="46"/>
      <c r="BF34" s="112" t="s">
        <v>14</v>
      </c>
      <c r="BG34" s="113" t="s">
        <v>14</v>
      </c>
      <c r="BH34" s="113" t="s">
        <v>14</v>
      </c>
      <c r="BI34" s="114" t="s">
        <v>14</v>
      </c>
      <c r="BJ34" s="44"/>
      <c r="BK34" s="45"/>
      <c r="BL34" s="45"/>
      <c r="BM34" s="46"/>
    </row>
    <row r="35" spans="2:65" x14ac:dyDescent="0.25">
      <c r="B35" s="44"/>
      <c r="C35" s="45"/>
      <c r="D35" s="45"/>
      <c r="E35" s="46"/>
      <c r="F35" s="44"/>
      <c r="G35" s="45"/>
      <c r="H35" s="45"/>
      <c r="I35" s="46"/>
      <c r="J35" s="44"/>
      <c r="K35" s="45"/>
      <c r="L35" s="45"/>
      <c r="M35" s="46"/>
      <c r="N35" s="44"/>
      <c r="O35" s="45"/>
      <c r="P35" s="45"/>
      <c r="Q35" s="46"/>
      <c r="R35" s="44"/>
      <c r="S35" s="45"/>
      <c r="T35" s="45"/>
      <c r="U35" s="46"/>
      <c r="V35" s="44"/>
      <c r="W35" s="45"/>
      <c r="X35" s="45"/>
      <c r="Y35" s="46"/>
      <c r="Z35" s="44"/>
      <c r="AA35" s="45"/>
      <c r="AB35" s="45"/>
      <c r="AC35" s="46"/>
      <c r="AD35" s="44"/>
      <c r="AE35" s="45"/>
      <c r="AF35" s="45"/>
      <c r="AG35" s="46"/>
      <c r="AH35" s="44"/>
      <c r="AI35" s="45"/>
      <c r="AJ35" s="45"/>
      <c r="AK35" s="46"/>
      <c r="AL35" s="44"/>
      <c r="AM35" s="45"/>
      <c r="AN35" s="45"/>
      <c r="AO35" s="46"/>
      <c r="AP35" s="44"/>
      <c r="AQ35" s="45"/>
      <c r="AR35" s="45"/>
      <c r="AS35" s="46"/>
      <c r="AT35" s="44"/>
      <c r="AU35" s="45"/>
      <c r="AV35" s="45"/>
      <c r="AW35" s="46"/>
      <c r="AX35" s="44"/>
      <c r="AY35" s="45"/>
      <c r="AZ35" s="45"/>
      <c r="BA35" s="46"/>
      <c r="BB35" s="112" t="s">
        <v>173</v>
      </c>
      <c r="BC35" s="113" t="s">
        <v>174</v>
      </c>
      <c r="BD35" s="45"/>
      <c r="BE35" s="46"/>
      <c r="BF35" s="112" t="s">
        <v>175</v>
      </c>
      <c r="BG35" s="113" t="s">
        <v>176</v>
      </c>
      <c r="BH35" s="113" t="s">
        <v>177</v>
      </c>
      <c r="BI35" s="114" t="s">
        <v>178</v>
      </c>
      <c r="BJ35" s="44"/>
      <c r="BK35" s="45"/>
      <c r="BL35" s="45"/>
      <c r="BM35" s="46"/>
    </row>
    <row r="36" spans="2:65" x14ac:dyDescent="0.25">
      <c r="B36" s="112">
        <v>1</v>
      </c>
      <c r="C36" s="113">
        <v>1</v>
      </c>
      <c r="D36" s="113">
        <v>1</v>
      </c>
      <c r="E36" s="49"/>
      <c r="F36" s="112">
        <v>1</v>
      </c>
      <c r="G36" s="113">
        <v>1</v>
      </c>
      <c r="H36" s="113">
        <v>1</v>
      </c>
      <c r="I36" s="49"/>
      <c r="J36" s="112">
        <v>1</v>
      </c>
      <c r="K36" s="113">
        <v>1</v>
      </c>
      <c r="L36" s="48"/>
      <c r="M36" s="49"/>
      <c r="N36" s="47"/>
      <c r="O36" s="48"/>
      <c r="P36" s="48"/>
      <c r="Q36" s="49"/>
      <c r="R36" s="47"/>
      <c r="S36" s="48"/>
      <c r="T36" s="48"/>
      <c r="U36" s="49"/>
      <c r="V36" s="47"/>
      <c r="W36" s="48"/>
      <c r="X36" s="48"/>
      <c r="Y36" s="49"/>
      <c r="Z36" s="47"/>
      <c r="AA36" s="48"/>
      <c r="AB36" s="48"/>
      <c r="AC36" s="49"/>
      <c r="AD36" s="47"/>
      <c r="AE36" s="48"/>
      <c r="AF36" s="48"/>
      <c r="AG36" s="49"/>
      <c r="AH36" s="47"/>
      <c r="AI36" s="48"/>
      <c r="AJ36" s="48"/>
      <c r="AK36" s="49"/>
      <c r="AL36" s="47"/>
      <c r="AM36" s="48"/>
      <c r="AN36" s="48"/>
      <c r="AO36" s="49"/>
      <c r="AP36" s="47"/>
      <c r="AQ36" s="48"/>
      <c r="AR36" s="48"/>
      <c r="AS36" s="49"/>
      <c r="AT36" s="47"/>
      <c r="AU36" s="48"/>
      <c r="AV36" s="48"/>
      <c r="AW36" s="49"/>
      <c r="AX36" s="47"/>
      <c r="AY36" s="48"/>
      <c r="AZ36" s="48"/>
      <c r="BA36" s="49"/>
      <c r="BB36" s="112"/>
      <c r="BC36" s="113">
        <v>1</v>
      </c>
      <c r="BD36" s="48"/>
      <c r="BE36" s="49"/>
      <c r="BF36" s="112">
        <v>1</v>
      </c>
      <c r="BG36" s="113">
        <v>1</v>
      </c>
      <c r="BH36" s="113">
        <v>1</v>
      </c>
      <c r="BI36" s="49"/>
      <c r="BJ36" s="112">
        <v>1</v>
      </c>
      <c r="BK36" s="113">
        <v>1</v>
      </c>
      <c r="BL36" s="113">
        <v>1</v>
      </c>
      <c r="BM36" s="49"/>
    </row>
    <row r="37" spans="2:65" x14ac:dyDescent="0.25">
      <c r="B37" s="112" t="s">
        <v>179</v>
      </c>
      <c r="C37" s="113" t="s">
        <v>179</v>
      </c>
      <c r="D37" s="113" t="s">
        <v>179</v>
      </c>
      <c r="E37" s="49"/>
      <c r="F37" s="112" t="s">
        <v>180</v>
      </c>
      <c r="G37" s="113" t="s">
        <v>180</v>
      </c>
      <c r="H37" s="113" t="s">
        <v>180</v>
      </c>
      <c r="I37" s="49"/>
      <c r="J37" s="112" t="s">
        <v>181</v>
      </c>
      <c r="K37" s="113" t="s">
        <v>182</v>
      </c>
      <c r="L37" s="48"/>
      <c r="M37" s="49"/>
      <c r="N37" s="47"/>
      <c r="O37" s="48"/>
      <c r="P37" s="48"/>
      <c r="Q37" s="49"/>
      <c r="R37" s="47"/>
      <c r="S37" s="48"/>
      <c r="T37" s="48"/>
      <c r="U37" s="49"/>
      <c r="V37" s="47"/>
      <c r="W37" s="48"/>
      <c r="X37" s="48"/>
      <c r="Y37" s="49"/>
      <c r="Z37" s="47"/>
      <c r="AA37" s="48"/>
      <c r="AB37" s="48"/>
      <c r="AC37" s="49"/>
      <c r="AD37" s="47"/>
      <c r="AE37" s="48"/>
      <c r="AF37" s="48"/>
      <c r="AG37" s="49"/>
      <c r="AH37" s="47"/>
      <c r="AI37" s="48"/>
      <c r="AJ37" s="48"/>
      <c r="AK37" s="49"/>
      <c r="AL37" s="47"/>
      <c r="AM37" s="48"/>
      <c r="AN37" s="48"/>
      <c r="AO37" s="49"/>
      <c r="AP37" s="47"/>
      <c r="AQ37" s="48"/>
      <c r="AR37" s="48"/>
      <c r="AS37" s="49"/>
      <c r="AT37" s="47"/>
      <c r="AU37" s="48"/>
      <c r="AV37" s="48"/>
      <c r="AW37" s="49"/>
      <c r="AX37" s="47"/>
      <c r="AY37" s="48"/>
      <c r="AZ37" s="48"/>
      <c r="BA37" s="49"/>
      <c r="BB37" s="112" t="s">
        <v>14</v>
      </c>
      <c r="BC37" s="113" t="s">
        <v>183</v>
      </c>
      <c r="BD37" s="48"/>
      <c r="BE37" s="49"/>
      <c r="BF37" s="112" t="s">
        <v>184</v>
      </c>
      <c r="BG37" s="113" t="s">
        <v>184</v>
      </c>
      <c r="BH37" s="113" t="s">
        <v>184</v>
      </c>
      <c r="BI37" s="49"/>
      <c r="BJ37" s="112" t="s">
        <v>185</v>
      </c>
      <c r="BK37" s="113" t="s">
        <v>185</v>
      </c>
      <c r="BL37" s="113" t="s">
        <v>185</v>
      </c>
      <c r="BM37" s="49"/>
    </row>
    <row r="38" spans="2:65" x14ac:dyDescent="0.25">
      <c r="B38" s="112" t="s">
        <v>186</v>
      </c>
      <c r="C38" s="113" t="s">
        <v>187</v>
      </c>
      <c r="D38" s="113" t="s">
        <v>188</v>
      </c>
      <c r="E38" s="49"/>
      <c r="F38" s="112" t="s">
        <v>189</v>
      </c>
      <c r="G38" s="113" t="s">
        <v>190</v>
      </c>
      <c r="H38" s="113" t="s">
        <v>191</v>
      </c>
      <c r="I38" s="49"/>
      <c r="J38" s="112" t="s">
        <v>192</v>
      </c>
      <c r="K38" s="113" t="s">
        <v>193</v>
      </c>
      <c r="L38" s="48"/>
      <c r="M38" s="49"/>
      <c r="N38" s="47"/>
      <c r="O38" s="48"/>
      <c r="P38" s="48"/>
      <c r="Q38" s="49"/>
      <c r="R38" s="47"/>
      <c r="S38" s="48"/>
      <c r="T38" s="48"/>
      <c r="U38" s="49"/>
      <c r="V38" s="47"/>
      <c r="W38" s="48"/>
      <c r="X38" s="48"/>
      <c r="Y38" s="49"/>
      <c r="Z38" s="47"/>
      <c r="AA38" s="48"/>
      <c r="AB38" s="48"/>
      <c r="AC38" s="49"/>
      <c r="AD38" s="47"/>
      <c r="AE38" s="48"/>
      <c r="AF38" s="48"/>
      <c r="AG38" s="49"/>
      <c r="AH38" s="47"/>
      <c r="AI38" s="48"/>
      <c r="AJ38" s="48"/>
      <c r="AK38" s="49"/>
      <c r="AL38" s="47"/>
      <c r="AM38" s="48"/>
      <c r="AN38" s="48"/>
      <c r="AO38" s="49"/>
      <c r="AP38" s="47"/>
      <c r="AQ38" s="48"/>
      <c r="AR38" s="48"/>
      <c r="AS38" s="49"/>
      <c r="AT38" s="47"/>
      <c r="AU38" s="48"/>
      <c r="AV38" s="48"/>
      <c r="AW38" s="49"/>
      <c r="AX38" s="47"/>
      <c r="AY38" s="48"/>
      <c r="AZ38" s="48"/>
      <c r="BA38" s="49"/>
      <c r="BB38" s="112" t="s">
        <v>194</v>
      </c>
      <c r="BC38" s="113" t="s">
        <v>195</v>
      </c>
      <c r="BD38" s="48"/>
      <c r="BE38" s="49"/>
      <c r="BF38" s="112" t="s">
        <v>196</v>
      </c>
      <c r="BG38" s="113" t="s">
        <v>197</v>
      </c>
      <c r="BH38" s="113" t="s">
        <v>198</v>
      </c>
      <c r="BI38" s="49"/>
      <c r="BJ38" s="112" t="s">
        <v>199</v>
      </c>
      <c r="BK38" s="113" t="s">
        <v>200</v>
      </c>
      <c r="BL38" s="113" t="s">
        <v>201</v>
      </c>
      <c r="BM38" s="49"/>
    </row>
    <row r="39" spans="2:65" x14ac:dyDescent="0.25">
      <c r="B39" s="112">
        <v>1</v>
      </c>
      <c r="C39" s="113">
        <v>1</v>
      </c>
      <c r="D39" s="113">
        <v>1</v>
      </c>
      <c r="E39" s="52"/>
      <c r="F39" s="112">
        <v>1</v>
      </c>
      <c r="G39" s="113">
        <v>1</v>
      </c>
      <c r="H39" s="113">
        <v>1</v>
      </c>
      <c r="I39" s="52"/>
      <c r="J39" s="112">
        <v>1</v>
      </c>
      <c r="K39" s="113">
        <v>1</v>
      </c>
      <c r="L39" s="51"/>
      <c r="M39" s="52"/>
      <c r="N39" s="50"/>
      <c r="O39" s="51"/>
      <c r="P39" s="51"/>
      <c r="Q39" s="52"/>
      <c r="R39" s="50"/>
      <c r="S39" s="51"/>
      <c r="T39" s="51"/>
      <c r="U39" s="52"/>
      <c r="V39" s="50"/>
      <c r="W39" s="51"/>
      <c r="X39" s="51"/>
      <c r="Y39" s="52"/>
      <c r="Z39" s="50"/>
      <c r="AA39" s="51"/>
      <c r="AB39" s="51"/>
      <c r="AC39" s="52"/>
      <c r="AD39" s="50"/>
      <c r="AE39" s="51"/>
      <c r="AF39" s="51"/>
      <c r="AG39" s="52"/>
      <c r="AH39" s="50"/>
      <c r="AI39" s="51"/>
      <c r="AJ39" s="51"/>
      <c r="AK39" s="52"/>
      <c r="AL39" s="50"/>
      <c r="AM39" s="51"/>
      <c r="AN39" s="51"/>
      <c r="AO39" s="52"/>
      <c r="AP39" s="50"/>
      <c r="AQ39" s="51"/>
      <c r="AR39" s="51"/>
      <c r="AS39" s="52"/>
      <c r="AT39" s="50"/>
      <c r="AU39" s="51"/>
      <c r="AV39" s="51"/>
      <c r="AW39" s="52"/>
      <c r="AX39" s="50"/>
      <c r="AY39" s="51"/>
      <c r="AZ39" s="51"/>
      <c r="BA39" s="52"/>
      <c r="BB39" s="112">
        <v>1</v>
      </c>
      <c r="BC39" s="113">
        <v>1</v>
      </c>
      <c r="BD39" s="51"/>
      <c r="BE39" s="52"/>
      <c r="BF39" s="112">
        <v>1</v>
      </c>
      <c r="BG39" s="113">
        <v>1</v>
      </c>
      <c r="BH39" s="113">
        <v>1</v>
      </c>
      <c r="BI39" s="52"/>
      <c r="BJ39" s="112">
        <v>1</v>
      </c>
      <c r="BK39" s="113">
        <v>1</v>
      </c>
      <c r="BL39" s="113">
        <v>1</v>
      </c>
      <c r="BM39" s="52"/>
    </row>
    <row r="40" spans="2:65" x14ac:dyDescent="0.25">
      <c r="B40" s="112" t="s">
        <v>15</v>
      </c>
      <c r="C40" s="113" t="s">
        <v>15</v>
      </c>
      <c r="D40" s="113" t="s">
        <v>15</v>
      </c>
      <c r="E40" s="52"/>
      <c r="F40" s="112" t="s">
        <v>180</v>
      </c>
      <c r="G40" s="113" t="s">
        <v>180</v>
      </c>
      <c r="H40" s="113" t="s">
        <v>180</v>
      </c>
      <c r="I40" s="52"/>
      <c r="J40" s="112" t="s">
        <v>180</v>
      </c>
      <c r="K40" s="113" t="s">
        <v>180</v>
      </c>
      <c r="L40" s="51"/>
      <c r="M40" s="52"/>
      <c r="N40" s="50"/>
      <c r="O40" s="51"/>
      <c r="P40" s="51"/>
      <c r="Q40" s="52"/>
      <c r="R40" s="50"/>
      <c r="S40" s="51"/>
      <c r="T40" s="51"/>
      <c r="U40" s="52"/>
      <c r="V40" s="50"/>
      <c r="W40" s="51"/>
      <c r="X40" s="51"/>
      <c r="Y40" s="52"/>
      <c r="Z40" s="50"/>
      <c r="AA40" s="51"/>
      <c r="AB40" s="51"/>
      <c r="AC40" s="52"/>
      <c r="AD40" s="50"/>
      <c r="AE40" s="51"/>
      <c r="AF40" s="51"/>
      <c r="AG40" s="52"/>
      <c r="AH40" s="50"/>
      <c r="AI40" s="51"/>
      <c r="AJ40" s="51"/>
      <c r="AK40" s="52"/>
      <c r="AL40" s="50"/>
      <c r="AM40" s="51"/>
      <c r="AN40" s="51"/>
      <c r="AO40" s="52"/>
      <c r="AP40" s="50"/>
      <c r="AQ40" s="51"/>
      <c r="AR40" s="51"/>
      <c r="AS40" s="52"/>
      <c r="AT40" s="50"/>
      <c r="AU40" s="51"/>
      <c r="AV40" s="51"/>
      <c r="AW40" s="52"/>
      <c r="AX40" s="50"/>
      <c r="AY40" s="51"/>
      <c r="AZ40" s="51"/>
      <c r="BA40" s="52"/>
      <c r="BB40" s="112" t="s">
        <v>202</v>
      </c>
      <c r="BC40" s="113" t="s">
        <v>202</v>
      </c>
      <c r="BD40" s="51"/>
      <c r="BE40" s="52"/>
      <c r="BF40" s="112" t="s">
        <v>203</v>
      </c>
      <c r="BG40" s="113" t="s">
        <v>203</v>
      </c>
      <c r="BH40" s="113" t="s">
        <v>203</v>
      </c>
      <c r="BI40" s="52"/>
      <c r="BJ40" s="112" t="s">
        <v>15</v>
      </c>
      <c r="BK40" s="113" t="s">
        <v>15</v>
      </c>
      <c r="BL40" s="113" t="s">
        <v>15</v>
      </c>
      <c r="BM40" s="52"/>
    </row>
    <row r="41" spans="2:65" x14ac:dyDescent="0.25">
      <c r="B41" s="112" t="s">
        <v>204</v>
      </c>
      <c r="C41" s="113" t="s">
        <v>205</v>
      </c>
      <c r="D41" s="113" t="s">
        <v>206</v>
      </c>
      <c r="E41" s="52"/>
      <c r="F41" s="112" t="s">
        <v>207</v>
      </c>
      <c r="G41" s="113" t="s">
        <v>208</v>
      </c>
      <c r="H41" s="113" t="s">
        <v>209</v>
      </c>
      <c r="I41" s="52"/>
      <c r="J41" s="112" t="s">
        <v>210</v>
      </c>
      <c r="K41" s="113" t="s">
        <v>211</v>
      </c>
      <c r="L41" s="51"/>
      <c r="M41" s="52"/>
      <c r="N41" s="50"/>
      <c r="O41" s="51"/>
      <c r="P41" s="51"/>
      <c r="Q41" s="52"/>
      <c r="R41" s="50"/>
      <c r="S41" s="51"/>
      <c r="T41" s="51"/>
      <c r="U41" s="52"/>
      <c r="V41" s="50"/>
      <c r="W41" s="51"/>
      <c r="X41" s="51"/>
      <c r="Y41" s="52"/>
      <c r="Z41" s="50"/>
      <c r="AA41" s="51"/>
      <c r="AB41" s="51"/>
      <c r="AC41" s="52"/>
      <c r="AD41" s="50"/>
      <c r="AE41" s="51"/>
      <c r="AF41" s="51"/>
      <c r="AG41" s="52"/>
      <c r="AH41" s="50"/>
      <c r="AI41" s="51"/>
      <c r="AJ41" s="51"/>
      <c r="AK41" s="52"/>
      <c r="AL41" s="50"/>
      <c r="AM41" s="51"/>
      <c r="AN41" s="51"/>
      <c r="AO41" s="52"/>
      <c r="AP41" s="50"/>
      <c r="AQ41" s="51"/>
      <c r="AR41" s="51"/>
      <c r="AS41" s="52"/>
      <c r="AT41" s="50"/>
      <c r="AU41" s="51"/>
      <c r="AV41" s="51"/>
      <c r="AW41" s="52"/>
      <c r="AX41" s="50"/>
      <c r="AY41" s="51"/>
      <c r="AZ41" s="51"/>
      <c r="BA41" s="52"/>
      <c r="BB41" s="112" t="s">
        <v>212</v>
      </c>
      <c r="BC41" s="113" t="s">
        <v>213</v>
      </c>
      <c r="BD41" s="51"/>
      <c r="BE41" s="52"/>
      <c r="BF41" s="112" t="s">
        <v>214</v>
      </c>
      <c r="BG41" s="113" t="s">
        <v>215</v>
      </c>
      <c r="BH41" s="113" t="s">
        <v>216</v>
      </c>
      <c r="BI41" s="52"/>
      <c r="BJ41" s="112" t="s">
        <v>217</v>
      </c>
      <c r="BK41" s="113" t="s">
        <v>218</v>
      </c>
      <c r="BL41" s="113" t="s">
        <v>219</v>
      </c>
      <c r="BM41" s="52"/>
    </row>
    <row r="42" spans="2:65" x14ac:dyDescent="0.25">
      <c r="B42" s="112">
        <v>1</v>
      </c>
      <c r="C42" s="113">
        <v>1</v>
      </c>
      <c r="D42" s="113">
        <v>1</v>
      </c>
      <c r="E42" s="55"/>
      <c r="F42" s="112">
        <v>1</v>
      </c>
      <c r="G42" s="113">
        <v>1</v>
      </c>
      <c r="H42" s="113"/>
      <c r="I42" s="114">
        <v>1</v>
      </c>
      <c r="J42" s="112">
        <v>1</v>
      </c>
      <c r="K42" s="113">
        <v>1</v>
      </c>
      <c r="L42" s="54"/>
      <c r="M42" s="55"/>
      <c r="N42" s="53"/>
      <c r="O42" s="54"/>
      <c r="P42" s="54"/>
      <c r="Q42" s="55"/>
      <c r="R42" s="53"/>
      <c r="S42" s="54"/>
      <c r="T42" s="54"/>
      <c r="U42" s="55"/>
      <c r="V42" s="53"/>
      <c r="W42" s="54"/>
      <c r="X42" s="54"/>
      <c r="Y42" s="55"/>
      <c r="Z42" s="53"/>
      <c r="AA42" s="54"/>
      <c r="AB42" s="54"/>
      <c r="AC42" s="55"/>
      <c r="AD42" s="53"/>
      <c r="AE42" s="54"/>
      <c r="AF42" s="54"/>
      <c r="AG42" s="55"/>
      <c r="AH42" s="53"/>
      <c r="AI42" s="54"/>
      <c r="AJ42" s="54"/>
      <c r="AK42" s="55"/>
      <c r="AL42" s="53"/>
      <c r="AM42" s="54"/>
      <c r="AN42" s="54"/>
      <c r="AO42" s="55"/>
      <c r="AP42" s="53"/>
      <c r="AQ42" s="54"/>
      <c r="AR42" s="54"/>
      <c r="AS42" s="55"/>
      <c r="AT42" s="53"/>
      <c r="AU42" s="54"/>
      <c r="AV42" s="54"/>
      <c r="AW42" s="55"/>
      <c r="AX42" s="53"/>
      <c r="AY42" s="54"/>
      <c r="AZ42" s="54"/>
      <c r="BA42" s="55"/>
      <c r="BB42" s="112"/>
      <c r="BC42" s="113"/>
      <c r="BD42" s="54"/>
      <c r="BE42" s="55"/>
      <c r="BF42" s="112">
        <v>1</v>
      </c>
      <c r="BG42" s="113">
        <v>1</v>
      </c>
      <c r="BH42" s="113">
        <v>1</v>
      </c>
      <c r="BI42" s="55"/>
      <c r="BJ42" s="112">
        <v>1</v>
      </c>
      <c r="BK42" s="113">
        <v>1</v>
      </c>
      <c r="BL42" s="113">
        <v>1</v>
      </c>
      <c r="BM42" s="55"/>
    </row>
    <row r="43" spans="2:65" x14ac:dyDescent="0.25">
      <c r="B43" s="112" t="s">
        <v>15</v>
      </c>
      <c r="C43" s="113" t="s">
        <v>15</v>
      </c>
      <c r="D43" s="113" t="s">
        <v>15</v>
      </c>
      <c r="E43" s="55"/>
      <c r="F43" s="112" t="s">
        <v>1544</v>
      </c>
      <c r="G43" s="113" t="s">
        <v>15</v>
      </c>
      <c r="H43" s="113" t="s">
        <v>14</v>
      </c>
      <c r="I43" s="114" t="s">
        <v>15</v>
      </c>
      <c r="J43" s="112" t="s">
        <v>180</v>
      </c>
      <c r="K43" s="113" t="s">
        <v>180</v>
      </c>
      <c r="L43" s="54"/>
      <c r="M43" s="55"/>
      <c r="N43" s="53"/>
      <c r="O43" s="54"/>
      <c r="P43" s="54"/>
      <c r="Q43" s="55"/>
      <c r="R43" s="53"/>
      <c r="S43" s="54"/>
      <c r="T43" s="54"/>
      <c r="U43" s="55"/>
      <c r="V43" s="53"/>
      <c r="W43" s="54"/>
      <c r="X43" s="54"/>
      <c r="Y43" s="55"/>
      <c r="Z43" s="53"/>
      <c r="AA43" s="54"/>
      <c r="AB43" s="54"/>
      <c r="AC43" s="55"/>
      <c r="AD43" s="53"/>
      <c r="AE43" s="54"/>
      <c r="AF43" s="54"/>
      <c r="AG43" s="55"/>
      <c r="AH43" s="53"/>
      <c r="AI43" s="54"/>
      <c r="AJ43" s="54"/>
      <c r="AK43" s="55"/>
      <c r="AL43" s="53"/>
      <c r="AM43" s="54"/>
      <c r="AN43" s="54"/>
      <c r="AO43" s="55"/>
      <c r="AP43" s="53"/>
      <c r="AQ43" s="54"/>
      <c r="AR43" s="54"/>
      <c r="AS43" s="55"/>
      <c r="AT43" s="53"/>
      <c r="AU43" s="54"/>
      <c r="AV43" s="54"/>
      <c r="AW43" s="55"/>
      <c r="AX43" s="53"/>
      <c r="AY43" s="54"/>
      <c r="AZ43" s="54"/>
      <c r="BA43" s="55"/>
      <c r="BB43" s="112" t="s">
        <v>14</v>
      </c>
      <c r="BC43" s="113" t="s">
        <v>14</v>
      </c>
      <c r="BD43" s="54"/>
      <c r="BE43" s="55"/>
      <c r="BF43" s="112" t="s">
        <v>203</v>
      </c>
      <c r="BG43" s="113" t="s">
        <v>203</v>
      </c>
      <c r="BH43" s="113" t="s">
        <v>203</v>
      </c>
      <c r="BI43" s="55"/>
      <c r="BJ43" s="112" t="s">
        <v>220</v>
      </c>
      <c r="BK43" s="113" t="s">
        <v>220</v>
      </c>
      <c r="BL43" s="113" t="s">
        <v>220</v>
      </c>
      <c r="BM43" s="55"/>
    </row>
    <row r="44" spans="2:65" x14ac:dyDescent="0.25">
      <c r="B44" s="112" t="s">
        <v>221</v>
      </c>
      <c r="C44" s="113" t="s">
        <v>222</v>
      </c>
      <c r="D44" s="113" t="s">
        <v>223</v>
      </c>
      <c r="E44" s="55"/>
      <c r="F44" s="112" t="s">
        <v>224</v>
      </c>
      <c r="G44" s="113" t="s">
        <v>225</v>
      </c>
      <c r="H44" s="113" t="s">
        <v>226</v>
      </c>
      <c r="I44" s="114" t="s">
        <v>227</v>
      </c>
      <c r="J44" s="112" t="s">
        <v>228</v>
      </c>
      <c r="K44" s="113" t="s">
        <v>229</v>
      </c>
      <c r="L44" s="54"/>
      <c r="M44" s="55"/>
      <c r="N44" s="53"/>
      <c r="O44" s="54"/>
      <c r="P44" s="54"/>
      <c r="Q44" s="55"/>
      <c r="R44" s="53"/>
      <c r="S44" s="54"/>
      <c r="T44" s="54"/>
      <c r="U44" s="55"/>
      <c r="V44" s="53"/>
      <c r="W44" s="54"/>
      <c r="X44" s="54"/>
      <c r="Y44" s="55"/>
      <c r="Z44" s="53"/>
      <c r="AA44" s="54"/>
      <c r="AB44" s="54"/>
      <c r="AC44" s="55"/>
      <c r="AD44" s="53"/>
      <c r="AE44" s="54"/>
      <c r="AF44" s="54"/>
      <c r="AG44" s="55"/>
      <c r="AH44" s="53"/>
      <c r="AI44" s="54"/>
      <c r="AJ44" s="54"/>
      <c r="AK44" s="55"/>
      <c r="AL44" s="53"/>
      <c r="AM44" s="54"/>
      <c r="AN44" s="54"/>
      <c r="AO44" s="55"/>
      <c r="AP44" s="53"/>
      <c r="AQ44" s="54"/>
      <c r="AR44" s="54"/>
      <c r="AS44" s="55"/>
      <c r="AT44" s="53"/>
      <c r="AU44" s="54"/>
      <c r="AV44" s="54"/>
      <c r="AW44" s="55"/>
      <c r="AX44" s="53"/>
      <c r="AY44" s="54"/>
      <c r="AZ44" s="54"/>
      <c r="BA44" s="55"/>
      <c r="BB44" s="112" t="s">
        <v>230</v>
      </c>
      <c r="BC44" s="113" t="s">
        <v>231</v>
      </c>
      <c r="BD44" s="54"/>
      <c r="BE44" s="55"/>
      <c r="BF44" s="112" t="s">
        <v>232</v>
      </c>
      <c r="BG44" s="113" t="s">
        <v>233</v>
      </c>
      <c r="BH44" s="113" t="s">
        <v>234</v>
      </c>
      <c r="BI44" s="55"/>
      <c r="BJ44" s="112" t="s">
        <v>235</v>
      </c>
      <c r="BK44" s="113" t="s">
        <v>236</v>
      </c>
      <c r="BL44" s="113" t="s">
        <v>237</v>
      </c>
      <c r="BM44" s="55"/>
    </row>
    <row r="47" spans="2:65" x14ac:dyDescent="0.25">
      <c r="B47" s="112">
        <v>1</v>
      </c>
      <c r="C47" s="113"/>
      <c r="D47" s="113">
        <v>1</v>
      </c>
      <c r="E47" s="46"/>
      <c r="F47" s="44"/>
      <c r="G47" s="113">
        <v>1</v>
      </c>
      <c r="H47" s="113">
        <v>1</v>
      </c>
      <c r="I47" s="46"/>
      <c r="J47" s="112">
        <v>1</v>
      </c>
      <c r="K47" s="113">
        <v>1</v>
      </c>
      <c r="L47" s="45"/>
      <c r="M47" s="46"/>
      <c r="N47" s="112">
        <v>1</v>
      </c>
      <c r="O47" s="113">
        <v>1</v>
      </c>
      <c r="P47" s="113">
        <v>1</v>
      </c>
      <c r="Q47" s="46"/>
      <c r="R47" s="112">
        <v>1</v>
      </c>
      <c r="S47" s="113">
        <v>1</v>
      </c>
      <c r="T47" s="113">
        <v>1</v>
      </c>
      <c r="U47" s="46"/>
      <c r="V47" s="112">
        <v>1</v>
      </c>
      <c r="W47" s="113">
        <v>1</v>
      </c>
      <c r="X47" s="113">
        <v>1</v>
      </c>
      <c r="Y47" s="46"/>
      <c r="Z47" s="112">
        <v>1</v>
      </c>
      <c r="AA47" s="113"/>
      <c r="AB47" s="113">
        <v>1</v>
      </c>
      <c r="AC47" s="46"/>
      <c r="AD47" s="44"/>
      <c r="AE47" s="45"/>
      <c r="AF47" s="45"/>
      <c r="AG47" s="46"/>
      <c r="AH47" s="44"/>
      <c r="AI47" s="45"/>
      <c r="AJ47" s="45"/>
      <c r="AK47" s="46"/>
      <c r="AL47" s="112">
        <v>1</v>
      </c>
      <c r="AM47" s="113">
        <v>1</v>
      </c>
      <c r="AN47" s="113">
        <v>1</v>
      </c>
      <c r="AO47" s="114"/>
      <c r="AP47" s="112"/>
      <c r="AQ47" s="113">
        <v>1</v>
      </c>
      <c r="AR47" s="113">
        <v>1</v>
      </c>
      <c r="AS47" s="114"/>
      <c r="AT47" s="112">
        <v>1</v>
      </c>
      <c r="AU47" s="113"/>
      <c r="AV47" s="113">
        <v>1</v>
      </c>
      <c r="AW47" s="114"/>
      <c r="AX47" s="112">
        <v>1</v>
      </c>
      <c r="AY47" s="113"/>
      <c r="AZ47" s="113">
        <v>1</v>
      </c>
      <c r="BA47" s="114"/>
      <c r="BB47" s="112">
        <v>1</v>
      </c>
      <c r="BC47" s="113">
        <v>1</v>
      </c>
      <c r="BD47" s="113"/>
      <c r="BE47" s="114"/>
      <c r="BF47" s="112">
        <v>1</v>
      </c>
      <c r="BG47" s="113">
        <v>1</v>
      </c>
      <c r="BH47" s="113">
        <v>1</v>
      </c>
      <c r="BI47" s="114"/>
      <c r="BJ47" s="112">
        <v>1</v>
      </c>
      <c r="BK47" s="113">
        <v>1</v>
      </c>
      <c r="BL47" s="113"/>
      <c r="BM47" s="46"/>
    </row>
    <row r="48" spans="2:65" x14ac:dyDescent="0.25">
      <c r="B48" s="112" t="s">
        <v>238</v>
      </c>
      <c r="C48" s="113" t="s">
        <v>14</v>
      </c>
      <c r="D48" s="113" t="s">
        <v>238</v>
      </c>
      <c r="E48" s="46"/>
      <c r="F48" s="44" t="s">
        <v>14</v>
      </c>
      <c r="G48" s="113" t="s">
        <v>239</v>
      </c>
      <c r="H48" s="113" t="s">
        <v>239</v>
      </c>
      <c r="I48" s="46"/>
      <c r="J48" s="112" t="s">
        <v>240</v>
      </c>
      <c r="K48" s="113" t="s">
        <v>240</v>
      </c>
      <c r="L48" s="45"/>
      <c r="M48" s="46"/>
      <c r="N48" s="112" t="s">
        <v>241</v>
      </c>
      <c r="O48" s="113" t="s">
        <v>241</v>
      </c>
      <c r="P48" s="113" t="s">
        <v>241</v>
      </c>
      <c r="Q48" s="46"/>
      <c r="R48" s="112" t="s">
        <v>1548</v>
      </c>
      <c r="S48" s="113" t="s">
        <v>1548</v>
      </c>
      <c r="T48" s="113" t="s">
        <v>1548</v>
      </c>
      <c r="U48" s="46"/>
      <c r="V48" s="112" t="s">
        <v>242</v>
      </c>
      <c r="W48" s="113" t="s">
        <v>242</v>
      </c>
      <c r="X48" s="113" t="s">
        <v>242</v>
      </c>
      <c r="Y48" s="46"/>
      <c r="Z48" s="112" t="s">
        <v>1549</v>
      </c>
      <c r="AA48" s="113" t="s">
        <v>14</v>
      </c>
      <c r="AB48" s="113" t="s">
        <v>1549</v>
      </c>
      <c r="AC48" s="46"/>
      <c r="AD48" s="44"/>
      <c r="AE48" s="45"/>
      <c r="AF48" s="45"/>
      <c r="AG48" s="46"/>
      <c r="AH48" s="44"/>
      <c r="AI48" s="45"/>
      <c r="AJ48" s="45"/>
      <c r="AK48" s="46"/>
      <c r="AL48" s="112" t="s">
        <v>243</v>
      </c>
      <c r="AM48" s="113" t="s">
        <v>243</v>
      </c>
      <c r="AN48" s="113" t="s">
        <v>243</v>
      </c>
      <c r="AO48" s="114"/>
      <c r="AP48" s="112" t="s">
        <v>14</v>
      </c>
      <c r="AQ48" s="113" t="s">
        <v>1550</v>
      </c>
      <c r="AR48" s="113" t="s">
        <v>1550</v>
      </c>
      <c r="AS48" s="114" t="s">
        <v>14</v>
      </c>
      <c r="AT48" s="112" t="s">
        <v>244</v>
      </c>
      <c r="AU48" s="113" t="s">
        <v>14</v>
      </c>
      <c r="AV48" s="113" t="s">
        <v>244</v>
      </c>
      <c r="AW48" s="114"/>
      <c r="AX48" s="112" t="s">
        <v>245</v>
      </c>
      <c r="AY48" s="113" t="s">
        <v>14</v>
      </c>
      <c r="AZ48" s="113" t="s">
        <v>245</v>
      </c>
      <c r="BA48" s="114" t="s">
        <v>14</v>
      </c>
      <c r="BB48" s="112" t="s">
        <v>246</v>
      </c>
      <c r="BC48" s="113" t="s">
        <v>246</v>
      </c>
      <c r="BD48" s="113"/>
      <c r="BE48" s="114"/>
      <c r="BF48" s="112" t="s">
        <v>247</v>
      </c>
      <c r="BG48" s="113" t="s">
        <v>247</v>
      </c>
      <c r="BH48" s="113" t="s">
        <v>247</v>
      </c>
      <c r="BI48" s="114"/>
      <c r="BJ48" s="112" t="s">
        <v>248</v>
      </c>
      <c r="BK48" s="113" t="s">
        <v>248</v>
      </c>
      <c r="BL48" s="113" t="s">
        <v>14</v>
      </c>
      <c r="BM48" s="46"/>
    </row>
    <row r="49" spans="2:65" x14ac:dyDescent="0.25">
      <c r="B49" s="112" t="s">
        <v>249</v>
      </c>
      <c r="C49" s="113" t="s">
        <v>250</v>
      </c>
      <c r="D49" s="113" t="s">
        <v>251</v>
      </c>
      <c r="E49" s="46"/>
      <c r="F49" s="44" t="s">
        <v>252</v>
      </c>
      <c r="G49" s="113" t="s">
        <v>253</v>
      </c>
      <c r="H49" s="113" t="s">
        <v>254</v>
      </c>
      <c r="I49" s="46"/>
      <c r="J49" s="112" t="s">
        <v>255</v>
      </c>
      <c r="K49" s="113" t="s">
        <v>256</v>
      </c>
      <c r="L49" s="45"/>
      <c r="M49" s="46"/>
      <c r="N49" s="112" t="s">
        <v>257</v>
      </c>
      <c r="O49" s="113" t="s">
        <v>258</v>
      </c>
      <c r="P49" s="113" t="s">
        <v>259</v>
      </c>
      <c r="Q49" s="46"/>
      <c r="R49" s="112" t="s">
        <v>260</v>
      </c>
      <c r="S49" s="113" t="s">
        <v>261</v>
      </c>
      <c r="T49" s="113" t="s">
        <v>262</v>
      </c>
      <c r="U49" s="46"/>
      <c r="V49" s="112" t="s">
        <v>263</v>
      </c>
      <c r="W49" s="113" t="s">
        <v>264</v>
      </c>
      <c r="X49" s="113" t="s">
        <v>265</v>
      </c>
      <c r="Y49" s="46"/>
      <c r="Z49" s="112" t="s">
        <v>266</v>
      </c>
      <c r="AA49" s="113" t="s">
        <v>267</v>
      </c>
      <c r="AB49" s="113" t="s">
        <v>268</v>
      </c>
      <c r="AC49" s="46"/>
      <c r="AD49" s="44"/>
      <c r="AE49" s="45"/>
      <c r="AF49" s="45"/>
      <c r="AG49" s="46"/>
      <c r="AH49" s="44"/>
      <c r="AI49" s="45"/>
      <c r="AJ49" s="45"/>
      <c r="AK49" s="46"/>
      <c r="AL49" s="112" t="s">
        <v>269</v>
      </c>
      <c r="AM49" s="113" t="s">
        <v>270</v>
      </c>
      <c r="AN49" s="113" t="s">
        <v>271</v>
      </c>
      <c r="AO49" s="114"/>
      <c r="AP49" s="112" t="s">
        <v>272</v>
      </c>
      <c r="AQ49" s="113" t="s">
        <v>273</v>
      </c>
      <c r="AR49" s="113" t="s">
        <v>274</v>
      </c>
      <c r="AS49" s="114" t="s">
        <v>275</v>
      </c>
      <c r="AT49" s="112" t="s">
        <v>276</v>
      </c>
      <c r="AU49" s="113" t="s">
        <v>277</v>
      </c>
      <c r="AV49" s="113" t="s">
        <v>278</v>
      </c>
      <c r="AW49" s="114"/>
      <c r="AX49" s="112" t="s">
        <v>279</v>
      </c>
      <c r="AY49" s="113" t="s">
        <v>280</v>
      </c>
      <c r="AZ49" s="113" t="s">
        <v>281</v>
      </c>
      <c r="BA49" s="114" t="s">
        <v>282</v>
      </c>
      <c r="BB49" s="112" t="s">
        <v>283</v>
      </c>
      <c r="BC49" s="113" t="s">
        <v>284</v>
      </c>
      <c r="BD49" s="113"/>
      <c r="BE49" s="114"/>
      <c r="BF49" s="112" t="s">
        <v>285</v>
      </c>
      <c r="BG49" s="113" t="s">
        <v>286</v>
      </c>
      <c r="BH49" s="113" t="s">
        <v>287</v>
      </c>
      <c r="BI49" s="114"/>
      <c r="BJ49" s="112" t="s">
        <v>288</v>
      </c>
      <c r="BK49" s="113" t="s">
        <v>289</v>
      </c>
      <c r="BL49" s="113" t="s">
        <v>290</v>
      </c>
      <c r="BM49" s="46"/>
    </row>
    <row r="50" spans="2:65" x14ac:dyDescent="0.25">
      <c r="B50" s="112">
        <v>1</v>
      </c>
      <c r="C50" s="113">
        <v>1</v>
      </c>
      <c r="D50" s="113"/>
      <c r="E50" s="49"/>
      <c r="F50" s="112">
        <v>1</v>
      </c>
      <c r="G50" s="113">
        <v>1</v>
      </c>
      <c r="H50" s="113">
        <v>1</v>
      </c>
      <c r="I50" s="49"/>
      <c r="J50" s="112">
        <v>1</v>
      </c>
      <c r="K50" s="113">
        <v>1</v>
      </c>
      <c r="L50" s="48"/>
      <c r="M50" s="49"/>
      <c r="N50" s="112">
        <v>1</v>
      </c>
      <c r="O50" s="113">
        <v>1</v>
      </c>
      <c r="P50" s="113">
        <v>1</v>
      </c>
      <c r="Q50" s="49"/>
      <c r="R50" s="112">
        <v>1</v>
      </c>
      <c r="S50" s="113"/>
      <c r="T50" s="113"/>
      <c r="U50" s="49"/>
      <c r="V50" s="112">
        <v>1</v>
      </c>
      <c r="W50" s="113">
        <v>1</v>
      </c>
      <c r="X50" s="113">
        <v>1</v>
      </c>
      <c r="Y50" s="49"/>
      <c r="Z50" s="47"/>
      <c r="AA50" s="48"/>
      <c r="AB50" s="48"/>
      <c r="AC50" s="49"/>
      <c r="AD50" s="112">
        <v>1</v>
      </c>
      <c r="AE50" s="113">
        <v>1</v>
      </c>
      <c r="AF50" s="113">
        <v>1</v>
      </c>
      <c r="AG50" s="49"/>
      <c r="AH50" s="47"/>
      <c r="AI50" s="48"/>
      <c r="AJ50" s="48"/>
      <c r="AK50" s="49"/>
      <c r="AL50" s="112">
        <v>1</v>
      </c>
      <c r="AM50" s="113">
        <v>1</v>
      </c>
      <c r="AN50" s="113">
        <v>1</v>
      </c>
      <c r="AO50" s="114">
        <v>1</v>
      </c>
      <c r="AP50" s="112">
        <v>1</v>
      </c>
      <c r="AQ50" s="113">
        <v>1</v>
      </c>
      <c r="AR50" s="113"/>
      <c r="AS50" s="114">
        <v>1</v>
      </c>
      <c r="AT50" s="112">
        <v>1</v>
      </c>
      <c r="AU50" s="113">
        <v>1</v>
      </c>
      <c r="AV50" s="113">
        <v>1</v>
      </c>
      <c r="AW50" s="114">
        <v>1</v>
      </c>
      <c r="AX50" s="112"/>
      <c r="AY50" s="113"/>
      <c r="AZ50" s="113"/>
      <c r="BA50" s="114"/>
      <c r="BB50" s="112">
        <v>1</v>
      </c>
      <c r="BC50" s="113">
        <v>1</v>
      </c>
      <c r="BD50" s="113"/>
      <c r="BE50" s="114"/>
      <c r="BF50" s="112"/>
      <c r="BG50" s="113">
        <v>1</v>
      </c>
      <c r="BH50" s="113"/>
      <c r="BI50" s="114"/>
      <c r="BJ50" s="112">
        <v>1</v>
      </c>
      <c r="BK50" s="113">
        <v>1</v>
      </c>
      <c r="BL50" s="113">
        <v>1</v>
      </c>
      <c r="BM50" s="49"/>
    </row>
    <row r="51" spans="2:65" x14ac:dyDescent="0.25">
      <c r="B51" s="112" t="s">
        <v>291</v>
      </c>
      <c r="C51" s="113" t="s">
        <v>291</v>
      </c>
      <c r="D51" s="113" t="s">
        <v>14</v>
      </c>
      <c r="E51" s="49"/>
      <c r="F51" s="112" t="s">
        <v>1231</v>
      </c>
      <c r="G51" s="113" t="s">
        <v>1231</v>
      </c>
      <c r="H51" s="113" t="s">
        <v>1231</v>
      </c>
      <c r="I51" s="49"/>
      <c r="J51" s="112" t="s">
        <v>1546</v>
      </c>
      <c r="K51" s="113" t="s">
        <v>1546</v>
      </c>
      <c r="L51" s="48"/>
      <c r="M51" s="49"/>
      <c r="N51" s="112" t="s">
        <v>293</v>
      </c>
      <c r="O51" s="113" t="s">
        <v>293</v>
      </c>
      <c r="P51" s="113" t="s">
        <v>293</v>
      </c>
      <c r="Q51" s="49"/>
      <c r="R51" s="112" t="s">
        <v>294</v>
      </c>
      <c r="S51" s="113" t="s">
        <v>14</v>
      </c>
      <c r="T51" s="113" t="s">
        <v>14</v>
      </c>
      <c r="U51" s="49"/>
      <c r="V51" s="112" t="s">
        <v>295</v>
      </c>
      <c r="W51" s="113" t="s">
        <v>295</v>
      </c>
      <c r="X51" s="113" t="s">
        <v>295</v>
      </c>
      <c r="Y51" s="49"/>
      <c r="Z51" s="47"/>
      <c r="AA51" s="48"/>
      <c r="AB51" s="48"/>
      <c r="AC51" s="49"/>
      <c r="AD51" s="112" t="s">
        <v>296</v>
      </c>
      <c r="AE51" s="113" t="s">
        <v>296</v>
      </c>
      <c r="AF51" s="113" t="s">
        <v>296</v>
      </c>
      <c r="AG51" s="49"/>
      <c r="AH51" s="47"/>
      <c r="AI51" s="48"/>
      <c r="AJ51" s="48"/>
      <c r="AK51" s="49"/>
      <c r="AL51" s="112" t="s">
        <v>1234</v>
      </c>
      <c r="AM51" s="113" t="s">
        <v>1234</v>
      </c>
      <c r="AN51" s="113" t="s">
        <v>1234</v>
      </c>
      <c r="AO51" s="114" t="s">
        <v>1234</v>
      </c>
      <c r="AP51" s="112" t="s">
        <v>297</v>
      </c>
      <c r="AQ51" s="113" t="s">
        <v>297</v>
      </c>
      <c r="AR51" s="113" t="s">
        <v>14</v>
      </c>
      <c r="AS51" s="114" t="s">
        <v>297</v>
      </c>
      <c r="AT51" s="112" t="s">
        <v>298</v>
      </c>
      <c r="AU51" s="113" t="s">
        <v>298</v>
      </c>
      <c r="AV51" s="113" t="s">
        <v>298</v>
      </c>
      <c r="AW51" s="114" t="s">
        <v>298</v>
      </c>
      <c r="AX51" s="112" t="s">
        <v>14</v>
      </c>
      <c r="AY51" s="113" t="s">
        <v>14</v>
      </c>
      <c r="AZ51" s="113" t="s">
        <v>14</v>
      </c>
      <c r="BA51" s="114" t="s">
        <v>14</v>
      </c>
      <c r="BB51" s="112" t="s">
        <v>246</v>
      </c>
      <c r="BC51" s="113" t="s">
        <v>246</v>
      </c>
      <c r="BD51" s="113"/>
      <c r="BE51" s="114"/>
      <c r="BF51" s="112" t="s">
        <v>14</v>
      </c>
      <c r="BG51" s="113" t="s">
        <v>299</v>
      </c>
      <c r="BH51" s="113" t="s">
        <v>14</v>
      </c>
      <c r="BI51" s="114" t="s">
        <v>14</v>
      </c>
      <c r="BJ51" s="112" t="s">
        <v>248</v>
      </c>
      <c r="BK51" s="113" t="s">
        <v>248</v>
      </c>
      <c r="BL51" s="113" t="s">
        <v>248</v>
      </c>
      <c r="BM51" s="49"/>
    </row>
    <row r="52" spans="2:65" x14ac:dyDescent="0.25">
      <c r="B52" s="112" t="s">
        <v>300</v>
      </c>
      <c r="C52" s="113" t="s">
        <v>301</v>
      </c>
      <c r="D52" s="113" t="s">
        <v>302</v>
      </c>
      <c r="E52" s="49"/>
      <c r="F52" s="112" t="s">
        <v>303</v>
      </c>
      <c r="G52" s="113" t="s">
        <v>304</v>
      </c>
      <c r="H52" s="113" t="s">
        <v>305</v>
      </c>
      <c r="I52" s="49"/>
      <c r="J52" s="112" t="s">
        <v>306</v>
      </c>
      <c r="K52" s="113" t="s">
        <v>307</v>
      </c>
      <c r="L52" s="48"/>
      <c r="M52" s="49"/>
      <c r="N52" s="112" t="s">
        <v>308</v>
      </c>
      <c r="O52" s="113" t="s">
        <v>309</v>
      </c>
      <c r="P52" s="113" t="s">
        <v>310</v>
      </c>
      <c r="Q52" s="49"/>
      <c r="R52" s="112" t="s">
        <v>311</v>
      </c>
      <c r="S52" s="113" t="s">
        <v>312</v>
      </c>
      <c r="T52" s="113" t="s">
        <v>313</v>
      </c>
      <c r="U52" s="49"/>
      <c r="V52" s="112" t="s">
        <v>314</v>
      </c>
      <c r="W52" s="113" t="s">
        <v>315</v>
      </c>
      <c r="X52" s="113" t="s">
        <v>316</v>
      </c>
      <c r="Y52" s="49"/>
      <c r="Z52" s="47"/>
      <c r="AA52" s="48"/>
      <c r="AB52" s="48"/>
      <c r="AC52" s="49"/>
      <c r="AD52" s="112" t="s">
        <v>317</v>
      </c>
      <c r="AE52" s="113" t="s">
        <v>318</v>
      </c>
      <c r="AF52" s="113" t="s">
        <v>319</v>
      </c>
      <c r="AG52" s="49"/>
      <c r="AH52" s="47"/>
      <c r="AI52" s="48"/>
      <c r="AJ52" s="48"/>
      <c r="AK52" s="49"/>
      <c r="AL52" s="112" t="s">
        <v>320</v>
      </c>
      <c r="AM52" s="113" t="s">
        <v>321</v>
      </c>
      <c r="AN52" s="113" t="s">
        <v>322</v>
      </c>
      <c r="AO52" s="114" t="s">
        <v>323</v>
      </c>
      <c r="AP52" s="112" t="s">
        <v>324</v>
      </c>
      <c r="AQ52" s="113" t="s">
        <v>325</v>
      </c>
      <c r="AR52" s="113" t="s">
        <v>326</v>
      </c>
      <c r="AS52" s="114" t="s">
        <v>327</v>
      </c>
      <c r="AT52" s="112" t="s">
        <v>328</v>
      </c>
      <c r="AU52" s="113" t="s">
        <v>329</v>
      </c>
      <c r="AV52" s="113" t="s">
        <v>330</v>
      </c>
      <c r="AW52" s="114" t="s">
        <v>331</v>
      </c>
      <c r="AX52" s="112" t="s">
        <v>332</v>
      </c>
      <c r="AY52" s="113" t="s">
        <v>333</v>
      </c>
      <c r="AZ52" s="113" t="s">
        <v>334</v>
      </c>
      <c r="BA52" s="114" t="s">
        <v>335</v>
      </c>
      <c r="BB52" s="112" t="s">
        <v>336</v>
      </c>
      <c r="BC52" s="113" t="s">
        <v>337</v>
      </c>
      <c r="BD52" s="113"/>
      <c r="BE52" s="114"/>
      <c r="BF52" s="112" t="s">
        <v>338</v>
      </c>
      <c r="BG52" s="113" t="s">
        <v>339</v>
      </c>
      <c r="BH52" s="113" t="s">
        <v>340</v>
      </c>
      <c r="BI52" s="114" t="s">
        <v>341</v>
      </c>
      <c r="BJ52" s="112" t="s">
        <v>342</v>
      </c>
      <c r="BK52" s="113" t="s">
        <v>343</v>
      </c>
      <c r="BL52" s="113" t="s">
        <v>344</v>
      </c>
      <c r="BM52" s="49"/>
    </row>
    <row r="53" spans="2:65" x14ac:dyDescent="0.25">
      <c r="B53" s="112"/>
      <c r="C53" s="113">
        <v>1</v>
      </c>
      <c r="D53" s="113">
        <v>1</v>
      </c>
      <c r="E53" s="52"/>
      <c r="F53" s="112"/>
      <c r="G53" s="113">
        <v>1</v>
      </c>
      <c r="H53" s="113">
        <v>1</v>
      </c>
      <c r="I53" s="52"/>
      <c r="J53" s="50"/>
      <c r="K53" s="51"/>
      <c r="L53" s="51"/>
      <c r="M53" s="52"/>
      <c r="N53" s="112">
        <v>1</v>
      </c>
      <c r="O53" s="113">
        <v>1</v>
      </c>
      <c r="P53" s="113">
        <v>1</v>
      </c>
      <c r="Q53" s="52"/>
      <c r="R53" s="50"/>
      <c r="S53" s="113">
        <v>1</v>
      </c>
      <c r="T53" s="113">
        <v>1</v>
      </c>
      <c r="U53" s="114"/>
      <c r="V53" s="112">
        <v>1</v>
      </c>
      <c r="W53" s="113">
        <v>1</v>
      </c>
      <c r="X53" s="113">
        <v>1</v>
      </c>
      <c r="Y53" s="52"/>
      <c r="Z53" s="50"/>
      <c r="AA53" s="51"/>
      <c r="AB53" s="51"/>
      <c r="AC53" s="52"/>
      <c r="AD53" s="112">
        <v>1</v>
      </c>
      <c r="AE53" s="113">
        <v>1</v>
      </c>
      <c r="AF53" s="113">
        <v>1</v>
      </c>
      <c r="AG53" s="52"/>
      <c r="AH53" s="50"/>
      <c r="AI53" s="51"/>
      <c r="AJ53" s="51"/>
      <c r="AK53" s="52"/>
      <c r="AL53" s="112">
        <v>1</v>
      </c>
      <c r="AM53" s="113">
        <v>1</v>
      </c>
      <c r="AN53" s="113">
        <v>1</v>
      </c>
      <c r="AO53" s="114"/>
      <c r="AP53" s="112">
        <v>1</v>
      </c>
      <c r="AQ53" s="113">
        <v>1</v>
      </c>
      <c r="AR53" s="113">
        <v>1</v>
      </c>
      <c r="AS53" s="114"/>
      <c r="AT53" s="112">
        <v>1</v>
      </c>
      <c r="AU53" s="113">
        <v>1</v>
      </c>
      <c r="AV53" s="113">
        <v>1</v>
      </c>
      <c r="AW53" s="114"/>
      <c r="AX53" s="112">
        <v>1</v>
      </c>
      <c r="AY53" s="113">
        <v>1</v>
      </c>
      <c r="AZ53" s="113">
        <v>1</v>
      </c>
      <c r="BA53" s="114"/>
      <c r="BB53" s="112">
        <v>1</v>
      </c>
      <c r="BC53" s="113">
        <v>1</v>
      </c>
      <c r="BD53" s="113"/>
      <c r="BE53" s="114"/>
      <c r="BF53" s="112">
        <v>1</v>
      </c>
      <c r="BG53" s="113"/>
      <c r="BH53" s="113"/>
      <c r="BI53" s="114"/>
      <c r="BJ53" s="112">
        <v>1</v>
      </c>
      <c r="BK53" s="113">
        <v>1</v>
      </c>
      <c r="BL53" s="113">
        <v>1</v>
      </c>
      <c r="BM53" s="52"/>
    </row>
    <row r="54" spans="2:65" x14ac:dyDescent="0.25">
      <c r="B54" s="112" t="s">
        <v>14</v>
      </c>
      <c r="C54" s="113" t="s">
        <v>345</v>
      </c>
      <c r="D54" s="113" t="s">
        <v>345</v>
      </c>
      <c r="E54" s="52"/>
      <c r="F54" s="112" t="s">
        <v>14</v>
      </c>
      <c r="G54" s="113" t="s">
        <v>292</v>
      </c>
      <c r="H54" s="113" t="s">
        <v>292</v>
      </c>
      <c r="I54" s="52"/>
      <c r="J54" s="50" t="s">
        <v>14</v>
      </c>
      <c r="K54" s="51" t="s">
        <v>14</v>
      </c>
      <c r="L54" s="51" t="s">
        <v>14</v>
      </c>
      <c r="M54" s="52"/>
      <c r="N54" s="112" t="s">
        <v>241</v>
      </c>
      <c r="O54" s="113" t="s">
        <v>241</v>
      </c>
      <c r="P54" s="113" t="s">
        <v>241</v>
      </c>
      <c r="Q54" s="52"/>
      <c r="R54" s="50" t="s">
        <v>14</v>
      </c>
      <c r="S54" s="113" t="s">
        <v>1232</v>
      </c>
      <c r="T54" s="113" t="s">
        <v>347</v>
      </c>
      <c r="U54" s="114" t="s">
        <v>14</v>
      </c>
      <c r="V54" s="112" t="s">
        <v>348</v>
      </c>
      <c r="W54" s="113" t="s">
        <v>348</v>
      </c>
      <c r="X54" s="113" t="s">
        <v>348</v>
      </c>
      <c r="Y54" s="52"/>
      <c r="Z54" s="112" t="s">
        <v>14</v>
      </c>
      <c r="AA54" s="113" t="s">
        <v>14</v>
      </c>
      <c r="AB54" s="113" t="s">
        <v>14</v>
      </c>
      <c r="AC54" s="52"/>
      <c r="AD54" s="112" t="s">
        <v>349</v>
      </c>
      <c r="AE54" s="113" t="s">
        <v>349</v>
      </c>
      <c r="AF54" s="113" t="s">
        <v>349</v>
      </c>
      <c r="AG54" s="52"/>
      <c r="AH54" s="50"/>
      <c r="AI54" s="51"/>
      <c r="AJ54" s="51"/>
      <c r="AK54" s="52"/>
      <c r="AL54" s="112" t="s">
        <v>1233</v>
      </c>
      <c r="AM54" s="113" t="s">
        <v>1233</v>
      </c>
      <c r="AN54" s="113" t="s">
        <v>1233</v>
      </c>
      <c r="AO54" s="114"/>
      <c r="AP54" s="112" t="s">
        <v>350</v>
      </c>
      <c r="AQ54" s="113" t="s">
        <v>350</v>
      </c>
      <c r="AR54" s="113" t="s">
        <v>350</v>
      </c>
      <c r="AS54" s="114"/>
      <c r="AT54" s="112" t="s">
        <v>351</v>
      </c>
      <c r="AU54" s="113" t="s">
        <v>351</v>
      </c>
      <c r="AV54" s="113" t="s">
        <v>351</v>
      </c>
      <c r="AW54" s="114"/>
      <c r="AX54" s="112" t="s">
        <v>352</v>
      </c>
      <c r="AY54" s="113" t="s">
        <v>352</v>
      </c>
      <c r="AZ54" s="113" t="s">
        <v>352</v>
      </c>
      <c r="BA54" s="114"/>
      <c r="BB54" s="112" t="s">
        <v>353</v>
      </c>
      <c r="BC54" s="113" t="s">
        <v>353</v>
      </c>
      <c r="BD54" s="113"/>
      <c r="BE54" s="114"/>
      <c r="BF54" s="112" t="s">
        <v>1552</v>
      </c>
      <c r="BG54" s="113" t="s">
        <v>14</v>
      </c>
      <c r="BH54" s="113" t="s">
        <v>14</v>
      </c>
      <c r="BI54" s="114" t="s">
        <v>14</v>
      </c>
      <c r="BJ54" s="112" t="s">
        <v>248</v>
      </c>
      <c r="BK54" s="113" t="s">
        <v>248</v>
      </c>
      <c r="BL54" s="113" t="s">
        <v>248</v>
      </c>
      <c r="BM54" s="52"/>
    </row>
    <row r="55" spans="2:65" x14ac:dyDescent="0.25">
      <c r="B55" s="112" t="s">
        <v>355</v>
      </c>
      <c r="C55" s="113" t="s">
        <v>356</v>
      </c>
      <c r="D55" s="113" t="s">
        <v>357</v>
      </c>
      <c r="E55" s="52"/>
      <c r="F55" s="112" t="s">
        <v>358</v>
      </c>
      <c r="G55" s="113" t="s">
        <v>359</v>
      </c>
      <c r="H55" s="113" t="s">
        <v>360</v>
      </c>
      <c r="I55" s="52"/>
      <c r="J55" s="50" t="s">
        <v>361</v>
      </c>
      <c r="K55" s="51" t="s">
        <v>362</v>
      </c>
      <c r="L55" s="51" t="s">
        <v>363</v>
      </c>
      <c r="M55" s="52"/>
      <c r="N55" s="112" t="s">
        <v>364</v>
      </c>
      <c r="O55" s="113" t="s">
        <v>365</v>
      </c>
      <c r="P55" s="113" t="s">
        <v>366</v>
      </c>
      <c r="Q55" s="52"/>
      <c r="R55" s="50" t="s">
        <v>367</v>
      </c>
      <c r="S55" s="113" t="s">
        <v>368</v>
      </c>
      <c r="T55" s="113" t="s">
        <v>369</v>
      </c>
      <c r="U55" s="114" t="s">
        <v>370</v>
      </c>
      <c r="V55" s="112" t="s">
        <v>371</v>
      </c>
      <c r="W55" s="113" t="s">
        <v>372</v>
      </c>
      <c r="X55" s="113" t="s">
        <v>373</v>
      </c>
      <c r="Y55" s="52"/>
      <c r="Z55" s="112" t="s">
        <v>374</v>
      </c>
      <c r="AA55" s="113" t="s">
        <v>375</v>
      </c>
      <c r="AB55" s="113" t="s">
        <v>376</v>
      </c>
      <c r="AC55" s="52"/>
      <c r="AD55" s="112" t="s">
        <v>377</v>
      </c>
      <c r="AE55" s="113" t="s">
        <v>378</v>
      </c>
      <c r="AF55" s="113" t="s">
        <v>379</v>
      </c>
      <c r="AG55" s="52"/>
      <c r="AH55" s="50"/>
      <c r="AI55" s="51"/>
      <c r="AJ55" s="51"/>
      <c r="AK55" s="52"/>
      <c r="AL55" s="112" t="s">
        <v>380</v>
      </c>
      <c r="AM55" s="113" t="s">
        <v>381</v>
      </c>
      <c r="AN55" s="113" t="s">
        <v>382</v>
      </c>
      <c r="AO55" s="114"/>
      <c r="AP55" s="112" t="s">
        <v>383</v>
      </c>
      <c r="AQ55" s="113" t="s">
        <v>384</v>
      </c>
      <c r="AR55" s="113" t="s">
        <v>385</v>
      </c>
      <c r="AS55" s="114"/>
      <c r="AT55" s="112" t="s">
        <v>386</v>
      </c>
      <c r="AU55" s="113" t="s">
        <v>387</v>
      </c>
      <c r="AV55" s="113" t="s">
        <v>388</v>
      </c>
      <c r="AW55" s="114"/>
      <c r="AX55" s="112" t="s">
        <v>389</v>
      </c>
      <c r="AY55" s="113" t="s">
        <v>390</v>
      </c>
      <c r="AZ55" s="113" t="s">
        <v>391</v>
      </c>
      <c r="BA55" s="114"/>
      <c r="BB55" s="112" t="s">
        <v>392</v>
      </c>
      <c r="BC55" s="113" t="s">
        <v>393</v>
      </c>
      <c r="BD55" s="113"/>
      <c r="BE55" s="114"/>
      <c r="BF55" s="112" t="s">
        <v>394</v>
      </c>
      <c r="BG55" s="113" t="s">
        <v>395</v>
      </c>
      <c r="BH55" s="113" t="s">
        <v>396</v>
      </c>
      <c r="BI55" s="114" t="s">
        <v>397</v>
      </c>
      <c r="BJ55" s="112" t="s">
        <v>398</v>
      </c>
      <c r="BK55" s="113" t="s">
        <v>399</v>
      </c>
      <c r="BL55" s="113" t="s">
        <v>400</v>
      </c>
      <c r="BM55" s="52"/>
    </row>
    <row r="56" spans="2:65" x14ac:dyDescent="0.25">
      <c r="B56" s="112">
        <v>1</v>
      </c>
      <c r="C56" s="113">
        <v>1</v>
      </c>
      <c r="D56" s="113">
        <v>1</v>
      </c>
      <c r="E56" s="55"/>
      <c r="F56" s="112">
        <v>1</v>
      </c>
      <c r="G56" s="113">
        <v>1</v>
      </c>
      <c r="H56" s="113">
        <v>1</v>
      </c>
      <c r="I56" s="55"/>
      <c r="J56" s="112">
        <v>1</v>
      </c>
      <c r="K56" s="113">
        <v>1</v>
      </c>
      <c r="L56" s="113">
        <v>1</v>
      </c>
      <c r="M56" s="55"/>
      <c r="N56" s="112">
        <v>1</v>
      </c>
      <c r="O56" s="113">
        <v>1</v>
      </c>
      <c r="P56" s="113">
        <v>1</v>
      </c>
      <c r="Q56" s="55"/>
      <c r="R56" s="112">
        <v>1</v>
      </c>
      <c r="S56" s="113">
        <v>1</v>
      </c>
      <c r="T56" s="113">
        <v>1</v>
      </c>
      <c r="U56" s="114">
        <v>1</v>
      </c>
      <c r="V56" s="112">
        <v>1</v>
      </c>
      <c r="W56" s="113">
        <v>1</v>
      </c>
      <c r="X56" s="113">
        <v>1</v>
      </c>
      <c r="Y56" s="55"/>
      <c r="Z56" s="112">
        <v>1</v>
      </c>
      <c r="AA56" s="113">
        <v>1</v>
      </c>
      <c r="AB56" s="113">
        <v>1</v>
      </c>
      <c r="AC56" s="55"/>
      <c r="AD56" s="112"/>
      <c r="AE56" s="113"/>
      <c r="AF56" s="113"/>
      <c r="AG56" s="55"/>
      <c r="AH56" s="53"/>
      <c r="AI56" s="54"/>
      <c r="AJ56" s="54"/>
      <c r="AK56" s="55"/>
      <c r="AL56" s="53"/>
      <c r="AM56" s="54"/>
      <c r="AN56" s="54"/>
      <c r="AO56" s="55"/>
      <c r="AP56" s="112">
        <v>1</v>
      </c>
      <c r="AQ56" s="113">
        <v>1</v>
      </c>
      <c r="AR56" s="113">
        <v>1</v>
      </c>
      <c r="AS56" s="114">
        <v>1</v>
      </c>
      <c r="AT56" s="112">
        <v>1</v>
      </c>
      <c r="AU56" s="113"/>
      <c r="AV56" s="113">
        <v>1</v>
      </c>
      <c r="AW56" s="114">
        <v>1</v>
      </c>
      <c r="AX56" s="53"/>
      <c r="AY56" s="54"/>
      <c r="AZ56" s="54"/>
      <c r="BA56" s="55"/>
      <c r="BB56" s="112">
        <v>1</v>
      </c>
      <c r="BC56" s="113">
        <v>1</v>
      </c>
      <c r="BD56" s="113"/>
      <c r="BE56" s="114"/>
      <c r="BF56" s="112">
        <v>1</v>
      </c>
      <c r="BG56" s="113">
        <v>1</v>
      </c>
      <c r="BH56" s="113">
        <v>1</v>
      </c>
      <c r="BI56" s="114">
        <v>1</v>
      </c>
      <c r="BJ56" s="112">
        <v>1</v>
      </c>
      <c r="BK56" s="113">
        <v>1</v>
      </c>
      <c r="BL56" s="113">
        <v>1</v>
      </c>
      <c r="BM56" s="55"/>
    </row>
    <row r="57" spans="2:65" x14ac:dyDescent="0.25">
      <c r="B57" s="112" t="s">
        <v>1545</v>
      </c>
      <c r="C57" s="113" t="s">
        <v>1545</v>
      </c>
      <c r="D57" s="113" t="s">
        <v>1545</v>
      </c>
      <c r="E57" s="55"/>
      <c r="F57" s="112" t="s">
        <v>346</v>
      </c>
      <c r="G57" s="113" t="s">
        <v>346</v>
      </c>
      <c r="H57" s="113" t="s">
        <v>346</v>
      </c>
      <c r="I57" s="55"/>
      <c r="J57" s="112" t="s">
        <v>401</v>
      </c>
      <c r="K57" s="113" t="s">
        <v>401</v>
      </c>
      <c r="L57" s="113" t="s">
        <v>401</v>
      </c>
      <c r="M57" s="55"/>
      <c r="N57" s="112" t="s">
        <v>241</v>
      </c>
      <c r="O57" s="113" t="s">
        <v>241</v>
      </c>
      <c r="P57" s="113" t="s">
        <v>241</v>
      </c>
      <c r="Q57" s="55"/>
      <c r="R57" s="112" t="s">
        <v>402</v>
      </c>
      <c r="S57" s="113" t="s">
        <v>1547</v>
      </c>
      <c r="T57" s="113" t="s">
        <v>1547</v>
      </c>
      <c r="U57" s="114" t="s">
        <v>1547</v>
      </c>
      <c r="V57" s="112" t="s">
        <v>403</v>
      </c>
      <c r="W57" s="113" t="s">
        <v>403</v>
      </c>
      <c r="X57" s="113" t="s">
        <v>403</v>
      </c>
      <c r="Y57" s="55"/>
      <c r="Z57" s="112" t="s">
        <v>404</v>
      </c>
      <c r="AA57" s="113" t="s">
        <v>404</v>
      </c>
      <c r="AB57" s="113" t="s">
        <v>404</v>
      </c>
      <c r="AC57" s="114" t="s">
        <v>14</v>
      </c>
      <c r="AD57" s="112" t="s">
        <v>14</v>
      </c>
      <c r="AE57" s="113" t="s">
        <v>14</v>
      </c>
      <c r="AF57" s="113" t="s">
        <v>14</v>
      </c>
      <c r="AG57" s="55"/>
      <c r="AH57" s="53"/>
      <c r="AI57" s="54"/>
      <c r="AJ57" s="54"/>
      <c r="AK57" s="55"/>
      <c r="AL57" s="53"/>
      <c r="AM57" s="54"/>
      <c r="AN57" s="54"/>
      <c r="AO57" s="55"/>
      <c r="AP57" s="112" t="s">
        <v>405</v>
      </c>
      <c r="AQ57" s="113" t="s">
        <v>405</v>
      </c>
      <c r="AR57" s="113" t="s">
        <v>405</v>
      </c>
      <c r="AS57" s="114" t="s">
        <v>405</v>
      </c>
      <c r="AT57" s="112" t="s">
        <v>1551</v>
      </c>
      <c r="AU57" s="113" t="s">
        <v>14</v>
      </c>
      <c r="AV57" s="113" t="s">
        <v>406</v>
      </c>
      <c r="AW57" s="114" t="s">
        <v>406</v>
      </c>
      <c r="AX57" s="53"/>
      <c r="AY57" s="54"/>
      <c r="AZ57" s="54"/>
      <c r="BA57" s="55"/>
      <c r="BB57" s="112" t="s">
        <v>407</v>
      </c>
      <c r="BC57" s="113" t="s">
        <v>407</v>
      </c>
      <c r="BD57" s="113"/>
      <c r="BE57" s="114"/>
      <c r="BF57" s="112" t="s">
        <v>15</v>
      </c>
      <c r="BG57" s="113" t="s">
        <v>408</v>
      </c>
      <c r="BH57" s="113" t="s">
        <v>408</v>
      </c>
      <c r="BI57" s="114" t="s">
        <v>408</v>
      </c>
      <c r="BJ57" s="112" t="s">
        <v>248</v>
      </c>
      <c r="BK57" s="113" t="s">
        <v>248</v>
      </c>
      <c r="BL57" s="113" t="s">
        <v>248</v>
      </c>
      <c r="BM57" s="55"/>
    </row>
    <row r="58" spans="2:65" x14ac:dyDescent="0.25">
      <c r="B58" s="112" t="s">
        <v>409</v>
      </c>
      <c r="C58" s="113" t="s">
        <v>410</v>
      </c>
      <c r="D58" s="113" t="s">
        <v>411</v>
      </c>
      <c r="E58" s="55"/>
      <c r="F58" s="112" t="s">
        <v>412</v>
      </c>
      <c r="G58" s="113" t="s">
        <v>413</v>
      </c>
      <c r="H58" s="113" t="s">
        <v>414</v>
      </c>
      <c r="I58" s="55"/>
      <c r="J58" s="112" t="s">
        <v>415</v>
      </c>
      <c r="K58" s="113" t="s">
        <v>416</v>
      </c>
      <c r="L58" s="113" t="s">
        <v>417</v>
      </c>
      <c r="M58" s="55"/>
      <c r="N58" s="112" t="s">
        <v>418</v>
      </c>
      <c r="O58" s="113" t="s">
        <v>419</v>
      </c>
      <c r="P58" s="113" t="s">
        <v>420</v>
      </c>
      <c r="Q58" s="55"/>
      <c r="R58" s="112" t="s">
        <v>421</v>
      </c>
      <c r="S58" s="113" t="s">
        <v>422</v>
      </c>
      <c r="T58" s="113" t="s">
        <v>423</v>
      </c>
      <c r="U58" s="114" t="s">
        <v>424</v>
      </c>
      <c r="V58" s="112" t="s">
        <v>425</v>
      </c>
      <c r="W58" s="113" t="s">
        <v>426</v>
      </c>
      <c r="X58" s="113" t="s">
        <v>427</v>
      </c>
      <c r="Y58" s="55"/>
      <c r="Z58" s="112" t="s">
        <v>428</v>
      </c>
      <c r="AA58" s="113" t="s">
        <v>429</v>
      </c>
      <c r="AB58" s="113" t="s">
        <v>430</v>
      </c>
      <c r="AC58" s="114" t="s">
        <v>431</v>
      </c>
      <c r="AD58" s="112" t="s">
        <v>432</v>
      </c>
      <c r="AE58" s="113" t="s">
        <v>433</v>
      </c>
      <c r="AF58" s="113" t="s">
        <v>434</v>
      </c>
      <c r="AG58" s="55"/>
      <c r="AH58" s="53"/>
      <c r="AI58" s="54"/>
      <c r="AJ58" s="54"/>
      <c r="AK58" s="55"/>
      <c r="AL58" s="53"/>
      <c r="AM58" s="54"/>
      <c r="AN58" s="54"/>
      <c r="AO58" s="55"/>
      <c r="AP58" s="112" t="s">
        <v>435</v>
      </c>
      <c r="AQ58" s="113" t="s">
        <v>436</v>
      </c>
      <c r="AR58" s="113" t="s">
        <v>437</v>
      </c>
      <c r="AS58" s="114" t="s">
        <v>438</v>
      </c>
      <c r="AT58" s="112" t="s">
        <v>439</v>
      </c>
      <c r="AU58" s="113" t="s">
        <v>440</v>
      </c>
      <c r="AV58" s="113" t="s">
        <v>441</v>
      </c>
      <c r="AW58" s="114" t="s">
        <v>442</v>
      </c>
      <c r="AX58" s="53"/>
      <c r="AY58" s="54"/>
      <c r="AZ58" s="54"/>
      <c r="BA58" s="55"/>
      <c r="BB58" s="112" t="s">
        <v>443</v>
      </c>
      <c r="BC58" s="113" t="s">
        <v>444</v>
      </c>
      <c r="BD58" s="113"/>
      <c r="BE58" s="114"/>
      <c r="BF58" s="112" t="s">
        <v>445</v>
      </c>
      <c r="BG58" s="113" t="s">
        <v>446</v>
      </c>
      <c r="BH58" s="113" t="s">
        <v>447</v>
      </c>
      <c r="BI58" s="114" t="s">
        <v>448</v>
      </c>
      <c r="BJ58" s="112" t="s">
        <v>449</v>
      </c>
      <c r="BK58" s="113" t="s">
        <v>450</v>
      </c>
      <c r="BL58" s="113" t="s">
        <v>451</v>
      </c>
      <c r="BM58" s="55"/>
    </row>
    <row r="61" spans="2:65" x14ac:dyDescent="0.25">
      <c r="B61" s="44"/>
      <c r="C61" s="45"/>
      <c r="D61" s="45">
        <v>1</v>
      </c>
      <c r="E61" s="46"/>
      <c r="F61" s="44"/>
      <c r="G61" s="45"/>
      <c r="H61" s="45"/>
      <c r="I61" s="46"/>
      <c r="J61" s="112">
        <v>1</v>
      </c>
      <c r="K61" s="113">
        <v>1</v>
      </c>
      <c r="L61" s="45"/>
      <c r="M61" s="46"/>
      <c r="N61" s="44"/>
      <c r="O61" s="45"/>
      <c r="P61" s="45"/>
      <c r="Q61" s="46"/>
      <c r="R61" s="44"/>
      <c r="S61" s="45"/>
      <c r="T61" s="45"/>
      <c r="U61" s="46"/>
      <c r="V61" s="44"/>
      <c r="W61" s="45"/>
      <c r="X61" s="45"/>
      <c r="Y61" s="46"/>
      <c r="Z61" s="44"/>
      <c r="AA61" s="45"/>
      <c r="AB61" s="45"/>
      <c r="AC61" s="46"/>
      <c r="AD61" s="44"/>
      <c r="AE61" s="45"/>
      <c r="AF61" s="45"/>
      <c r="AG61" s="46"/>
      <c r="AH61" s="44"/>
      <c r="AI61" s="45"/>
      <c r="AJ61" s="45"/>
      <c r="AK61" s="46"/>
      <c r="AL61" s="44"/>
      <c r="AM61" s="45"/>
      <c r="AN61" s="45"/>
      <c r="AO61" s="46"/>
      <c r="AP61" s="44"/>
      <c r="AQ61" s="45"/>
      <c r="AR61" s="45"/>
      <c r="AS61" s="46"/>
      <c r="AT61" s="112">
        <v>1</v>
      </c>
      <c r="AU61" s="113">
        <v>1</v>
      </c>
      <c r="AV61" s="45"/>
      <c r="AW61" s="46"/>
      <c r="AX61" s="112">
        <v>1</v>
      </c>
      <c r="AY61" s="113">
        <v>1</v>
      </c>
      <c r="AZ61" s="113">
        <v>1</v>
      </c>
      <c r="BA61" s="114"/>
      <c r="BB61" s="112">
        <v>1</v>
      </c>
      <c r="BC61" s="113">
        <v>1</v>
      </c>
      <c r="BD61" s="113">
        <v>1</v>
      </c>
      <c r="BE61" s="46"/>
      <c r="BF61" s="44"/>
      <c r="BG61" s="45"/>
      <c r="BH61" s="45"/>
      <c r="BI61" s="46"/>
      <c r="BJ61" s="44"/>
      <c r="BK61" s="45"/>
      <c r="BL61" s="45"/>
      <c r="BM61" s="46"/>
    </row>
    <row r="62" spans="2:65" x14ac:dyDescent="0.25">
      <c r="B62" s="44" t="s">
        <v>14</v>
      </c>
      <c r="C62" s="45" t="s">
        <v>14</v>
      </c>
      <c r="D62" s="45" t="s">
        <v>248</v>
      </c>
      <c r="E62" s="46"/>
      <c r="F62" s="44"/>
      <c r="G62" s="45" t="s">
        <v>14</v>
      </c>
      <c r="H62" s="45" t="s">
        <v>14</v>
      </c>
      <c r="I62" s="46"/>
      <c r="J62" s="112" t="s">
        <v>452</v>
      </c>
      <c r="K62" s="113" t="s">
        <v>452</v>
      </c>
      <c r="L62" s="45"/>
      <c r="M62" s="46"/>
      <c r="N62" s="44"/>
      <c r="O62" s="45"/>
      <c r="P62" s="45"/>
      <c r="Q62" s="46"/>
      <c r="R62" s="44"/>
      <c r="S62" s="45"/>
      <c r="T62" s="45"/>
      <c r="U62" s="46"/>
      <c r="V62" s="44"/>
      <c r="W62" s="45"/>
      <c r="X62" s="45"/>
      <c r="Y62" s="46"/>
      <c r="Z62" s="44"/>
      <c r="AA62" s="45"/>
      <c r="AB62" s="45"/>
      <c r="AC62" s="46"/>
      <c r="AD62" s="44"/>
      <c r="AE62" s="45"/>
      <c r="AF62" s="45"/>
      <c r="AG62" s="46"/>
      <c r="AH62" s="44"/>
      <c r="AI62" s="45"/>
      <c r="AJ62" s="45"/>
      <c r="AK62" s="46"/>
      <c r="AL62" s="44"/>
      <c r="AM62" s="45"/>
      <c r="AN62" s="45"/>
      <c r="AO62" s="46"/>
      <c r="AP62" s="44"/>
      <c r="AQ62" s="45"/>
      <c r="AR62" s="45"/>
      <c r="AS62" s="46"/>
      <c r="AT62" s="112" t="s">
        <v>453</v>
      </c>
      <c r="AU62" s="113" t="s">
        <v>453</v>
      </c>
      <c r="AV62" s="45"/>
      <c r="AW62" s="46"/>
      <c r="AX62" s="112">
        <v>9242500089000</v>
      </c>
      <c r="AY62" s="113">
        <v>9242500089000</v>
      </c>
      <c r="AZ62" s="113">
        <v>9242500089000</v>
      </c>
      <c r="BA62" s="114"/>
      <c r="BB62" s="112" t="s">
        <v>454</v>
      </c>
      <c r="BC62" s="113" t="s">
        <v>15</v>
      </c>
      <c r="BD62" s="113" t="s">
        <v>454</v>
      </c>
      <c r="BE62" s="46"/>
      <c r="BF62" s="44"/>
      <c r="BG62" s="45"/>
      <c r="BH62" s="45"/>
      <c r="BI62" s="46"/>
      <c r="BJ62" s="44"/>
      <c r="BK62" s="45"/>
      <c r="BL62" s="45"/>
      <c r="BM62" s="46"/>
    </row>
    <row r="63" spans="2:65" x14ac:dyDescent="0.25">
      <c r="B63" s="44" t="s">
        <v>455</v>
      </c>
      <c r="C63" s="45" t="s">
        <v>456</v>
      </c>
      <c r="D63" s="45" t="s">
        <v>457</v>
      </c>
      <c r="E63" s="46"/>
      <c r="F63" s="44"/>
      <c r="G63" s="45" t="s">
        <v>458</v>
      </c>
      <c r="H63" s="45" t="s">
        <v>459</v>
      </c>
      <c r="I63" s="46"/>
      <c r="J63" s="112" t="s">
        <v>460</v>
      </c>
      <c r="K63" s="113" t="s">
        <v>461</v>
      </c>
      <c r="L63" s="45"/>
      <c r="M63" s="46"/>
      <c r="N63" s="44"/>
      <c r="O63" s="45"/>
      <c r="P63" s="45"/>
      <c r="Q63" s="46"/>
      <c r="R63" s="44"/>
      <c r="S63" s="45"/>
      <c r="T63" s="45"/>
      <c r="U63" s="46"/>
      <c r="V63" s="44"/>
      <c r="W63" s="45"/>
      <c r="X63" s="45"/>
      <c r="Y63" s="46"/>
      <c r="Z63" s="44"/>
      <c r="AA63" s="45"/>
      <c r="AB63" s="45"/>
      <c r="AC63" s="46"/>
      <c r="AD63" s="44"/>
      <c r="AE63" s="45"/>
      <c r="AF63" s="45"/>
      <c r="AG63" s="46"/>
      <c r="AH63" s="44"/>
      <c r="AI63" s="45"/>
      <c r="AJ63" s="45"/>
      <c r="AK63" s="46"/>
      <c r="AL63" s="44"/>
      <c r="AM63" s="45"/>
      <c r="AN63" s="45"/>
      <c r="AO63" s="46"/>
      <c r="AP63" s="44"/>
      <c r="AQ63" s="45"/>
      <c r="AR63" s="45"/>
      <c r="AS63" s="46"/>
      <c r="AT63" s="112" t="s">
        <v>462</v>
      </c>
      <c r="AU63" s="113" t="s">
        <v>463</v>
      </c>
      <c r="AV63" s="45"/>
      <c r="AW63" s="46"/>
      <c r="AX63" s="112" t="s">
        <v>464</v>
      </c>
      <c r="AY63" s="113" t="s">
        <v>465</v>
      </c>
      <c r="AZ63" s="113" t="s">
        <v>466</v>
      </c>
      <c r="BA63" s="114"/>
      <c r="BB63" s="112" t="s">
        <v>467</v>
      </c>
      <c r="BC63" s="113" t="s">
        <v>468</v>
      </c>
      <c r="BD63" s="113" t="s">
        <v>469</v>
      </c>
      <c r="BE63" s="46"/>
      <c r="BF63" s="44"/>
      <c r="BG63" s="45"/>
      <c r="BH63" s="45"/>
      <c r="BI63" s="46"/>
      <c r="BJ63" s="44"/>
      <c r="BK63" s="45"/>
      <c r="BL63" s="45"/>
      <c r="BM63" s="46"/>
    </row>
    <row r="64" spans="2:65" x14ac:dyDescent="0.25">
      <c r="B64" s="112">
        <v>1</v>
      </c>
      <c r="C64" s="113">
        <v>1</v>
      </c>
      <c r="D64" s="113">
        <v>1</v>
      </c>
      <c r="E64" s="49"/>
      <c r="F64" s="47"/>
      <c r="G64" s="48"/>
      <c r="H64" s="48"/>
      <c r="I64" s="49"/>
      <c r="J64" s="112">
        <v>1</v>
      </c>
      <c r="K64" s="113">
        <v>1</v>
      </c>
      <c r="L64" s="48"/>
      <c r="M64" s="49"/>
      <c r="N64" s="47"/>
      <c r="O64" s="48"/>
      <c r="P64" s="48"/>
      <c r="Q64" s="49"/>
      <c r="R64" s="47"/>
      <c r="S64" s="48"/>
      <c r="T64" s="48"/>
      <c r="U64" s="49"/>
      <c r="V64" s="47"/>
      <c r="W64" s="48"/>
      <c r="X64" s="48"/>
      <c r="Y64" s="49"/>
      <c r="Z64" s="47"/>
      <c r="AA64" s="48"/>
      <c r="AB64" s="48"/>
      <c r="AC64" s="49"/>
      <c r="AD64" s="47"/>
      <c r="AE64" s="48"/>
      <c r="AF64" s="48"/>
      <c r="AG64" s="49"/>
      <c r="AH64" s="47"/>
      <c r="AI64" s="48"/>
      <c r="AJ64" s="48"/>
      <c r="AK64" s="49"/>
      <c r="AL64" s="47"/>
      <c r="AM64" s="48"/>
      <c r="AN64" s="48"/>
      <c r="AO64" s="49"/>
      <c r="AP64" s="47"/>
      <c r="AQ64" s="48"/>
      <c r="AR64" s="48"/>
      <c r="AS64" s="49"/>
      <c r="AT64" s="112">
        <v>1</v>
      </c>
      <c r="AU64" s="113">
        <v>1</v>
      </c>
      <c r="AV64" s="48"/>
      <c r="AW64" s="49"/>
      <c r="AX64" s="112">
        <v>1</v>
      </c>
      <c r="AY64" s="113"/>
      <c r="AZ64" s="113">
        <v>1</v>
      </c>
      <c r="BA64" s="114"/>
      <c r="BB64" s="112">
        <v>1</v>
      </c>
      <c r="BC64" s="113">
        <v>1</v>
      </c>
      <c r="BD64" s="113">
        <v>1</v>
      </c>
      <c r="BE64" s="49"/>
      <c r="BF64" s="47"/>
      <c r="BG64" s="48"/>
      <c r="BH64" s="48"/>
      <c r="BI64" s="49"/>
      <c r="BJ64" s="47"/>
      <c r="BK64" s="48"/>
      <c r="BL64" s="48"/>
      <c r="BM64" s="49"/>
    </row>
    <row r="65" spans="2:65" x14ac:dyDescent="0.25">
      <c r="B65" s="112" t="s">
        <v>248</v>
      </c>
      <c r="C65" s="113" t="s">
        <v>248</v>
      </c>
      <c r="D65" s="113" t="s">
        <v>248</v>
      </c>
      <c r="E65" s="49"/>
      <c r="F65" s="47"/>
      <c r="G65" s="113" t="s">
        <v>14</v>
      </c>
      <c r="H65" s="113" t="s">
        <v>14</v>
      </c>
      <c r="I65" s="114"/>
      <c r="J65" s="112" t="s">
        <v>452</v>
      </c>
      <c r="K65" s="113" t="s">
        <v>452</v>
      </c>
      <c r="L65" s="48"/>
      <c r="M65" s="49"/>
      <c r="N65" s="47"/>
      <c r="O65" s="48"/>
      <c r="P65" s="48"/>
      <c r="Q65" s="49"/>
      <c r="R65" s="47"/>
      <c r="S65" s="48"/>
      <c r="T65" s="48"/>
      <c r="U65" s="49"/>
      <c r="V65" s="47"/>
      <c r="W65" s="48"/>
      <c r="X65" s="48"/>
      <c r="Y65" s="49"/>
      <c r="Z65" s="47"/>
      <c r="AA65" s="48"/>
      <c r="AB65" s="48"/>
      <c r="AC65" s="49"/>
      <c r="AD65" s="47"/>
      <c r="AE65" s="48"/>
      <c r="AF65" s="48"/>
      <c r="AG65" s="49"/>
      <c r="AH65" s="47"/>
      <c r="AI65" s="48"/>
      <c r="AJ65" s="48"/>
      <c r="AK65" s="49"/>
      <c r="AL65" s="47"/>
      <c r="AM65" s="48"/>
      <c r="AN65" s="48"/>
      <c r="AO65" s="49"/>
      <c r="AP65" s="47"/>
      <c r="AQ65" s="48"/>
      <c r="AR65" s="48"/>
      <c r="AS65" s="49"/>
      <c r="AT65" s="112" t="s">
        <v>453</v>
      </c>
      <c r="AU65" s="113" t="s">
        <v>453</v>
      </c>
      <c r="AV65" s="48"/>
      <c r="AW65" s="49"/>
      <c r="AX65" s="112" t="s">
        <v>470</v>
      </c>
      <c r="AY65" s="113" t="s">
        <v>14</v>
      </c>
      <c r="AZ65" s="113" t="s">
        <v>470</v>
      </c>
      <c r="BA65" s="114" t="s">
        <v>14</v>
      </c>
      <c r="BB65" s="112" t="s">
        <v>471</v>
      </c>
      <c r="BC65" s="113" t="s">
        <v>471</v>
      </c>
      <c r="BD65" s="113" t="s">
        <v>471</v>
      </c>
      <c r="BE65" s="49"/>
      <c r="BF65" s="47"/>
      <c r="BG65" s="48"/>
      <c r="BH65" s="48"/>
      <c r="BI65" s="49"/>
      <c r="BJ65" s="47"/>
      <c r="BK65" s="48"/>
      <c r="BL65" s="48"/>
      <c r="BM65" s="49"/>
    </row>
    <row r="66" spans="2:65" x14ac:dyDescent="0.25">
      <c r="B66" s="112" t="s">
        <v>472</v>
      </c>
      <c r="C66" s="113" t="s">
        <v>473</v>
      </c>
      <c r="D66" s="113" t="s">
        <v>474</v>
      </c>
      <c r="E66" s="49"/>
      <c r="F66" s="47"/>
      <c r="G66" s="113" t="s">
        <v>475</v>
      </c>
      <c r="H66" s="113" t="s">
        <v>476</v>
      </c>
      <c r="I66" s="114"/>
      <c r="J66" s="112" t="s">
        <v>477</v>
      </c>
      <c r="K66" s="113" t="s">
        <v>478</v>
      </c>
      <c r="L66" s="48"/>
      <c r="M66" s="49"/>
      <c r="N66" s="47"/>
      <c r="O66" s="48"/>
      <c r="P66" s="48"/>
      <c r="Q66" s="49"/>
      <c r="R66" s="47"/>
      <c r="S66" s="48"/>
      <c r="T66" s="48"/>
      <c r="U66" s="49"/>
      <c r="V66" s="47"/>
      <c r="W66" s="48"/>
      <c r="X66" s="48"/>
      <c r="Y66" s="49"/>
      <c r="Z66" s="47"/>
      <c r="AA66" s="48"/>
      <c r="AB66" s="48"/>
      <c r="AC66" s="49"/>
      <c r="AD66" s="47"/>
      <c r="AE66" s="48"/>
      <c r="AF66" s="48"/>
      <c r="AG66" s="49"/>
      <c r="AH66" s="47"/>
      <c r="AI66" s="48"/>
      <c r="AJ66" s="48"/>
      <c r="AK66" s="49"/>
      <c r="AL66" s="47"/>
      <c r="AM66" s="48"/>
      <c r="AN66" s="48"/>
      <c r="AO66" s="49"/>
      <c r="AP66" s="47"/>
      <c r="AQ66" s="48"/>
      <c r="AR66" s="48"/>
      <c r="AS66" s="49"/>
      <c r="AT66" s="112" t="s">
        <v>479</v>
      </c>
      <c r="AU66" s="113" t="s">
        <v>480</v>
      </c>
      <c r="AV66" s="48"/>
      <c r="AW66" s="49"/>
      <c r="AX66" s="112" t="s">
        <v>481</v>
      </c>
      <c r="AY66" s="113" t="s">
        <v>482</v>
      </c>
      <c r="AZ66" s="113" t="s">
        <v>483</v>
      </c>
      <c r="BA66" s="114" t="s">
        <v>484</v>
      </c>
      <c r="BB66" s="112" t="s">
        <v>485</v>
      </c>
      <c r="BC66" s="113" t="s">
        <v>486</v>
      </c>
      <c r="BD66" s="113" t="s">
        <v>487</v>
      </c>
      <c r="BE66" s="49"/>
      <c r="BF66" s="47"/>
      <c r="BG66" s="48"/>
      <c r="BH66" s="48"/>
      <c r="BI66" s="49"/>
      <c r="BJ66" s="47"/>
      <c r="BK66" s="48"/>
      <c r="BL66" s="48"/>
      <c r="BM66" s="49"/>
    </row>
    <row r="67" spans="2:65" x14ac:dyDescent="0.25">
      <c r="B67" s="112">
        <v>1</v>
      </c>
      <c r="C67" s="113">
        <v>1</v>
      </c>
      <c r="D67" s="113">
        <v>1</v>
      </c>
      <c r="E67" s="52"/>
      <c r="F67" s="50"/>
      <c r="G67" s="113"/>
      <c r="H67" s="113">
        <v>1</v>
      </c>
      <c r="I67" s="114"/>
      <c r="J67" s="112">
        <v>1</v>
      </c>
      <c r="K67" s="113">
        <v>1</v>
      </c>
      <c r="L67" s="51"/>
      <c r="M67" s="52"/>
      <c r="N67" s="50"/>
      <c r="O67" s="51"/>
      <c r="P67" s="51"/>
      <c r="Q67" s="52"/>
      <c r="R67" s="50"/>
      <c r="S67" s="51"/>
      <c r="T67" s="51"/>
      <c r="U67" s="52"/>
      <c r="V67" s="50"/>
      <c r="W67" s="51"/>
      <c r="X67" s="51"/>
      <c r="Y67" s="52"/>
      <c r="Z67" s="50"/>
      <c r="AA67" s="51"/>
      <c r="AB67" s="51"/>
      <c r="AC67" s="52"/>
      <c r="AD67" s="50"/>
      <c r="AE67" s="51"/>
      <c r="AF67" s="51"/>
      <c r="AG67" s="52"/>
      <c r="AH67" s="50"/>
      <c r="AI67" s="51"/>
      <c r="AJ67" s="51"/>
      <c r="AK67" s="52"/>
      <c r="AL67" s="50"/>
      <c r="AM67" s="51"/>
      <c r="AN67" s="51"/>
      <c r="AO67" s="52"/>
      <c r="AP67" s="50"/>
      <c r="AQ67" s="51"/>
      <c r="AR67" s="51"/>
      <c r="AS67" s="52"/>
      <c r="AT67" s="112">
        <v>1</v>
      </c>
      <c r="AU67" s="113">
        <v>1</v>
      </c>
      <c r="AV67" s="51"/>
      <c r="AW67" s="52"/>
      <c r="AX67" s="112">
        <v>1</v>
      </c>
      <c r="AY67" s="113"/>
      <c r="AZ67" s="113">
        <v>1</v>
      </c>
      <c r="BA67" s="114"/>
      <c r="BB67" s="112"/>
      <c r="BC67" s="113"/>
      <c r="BD67" s="113">
        <v>1</v>
      </c>
      <c r="BE67" s="52"/>
      <c r="BF67" s="50"/>
      <c r="BG67" s="51"/>
      <c r="BH67" s="51"/>
      <c r="BI67" s="52"/>
      <c r="BJ67" s="50"/>
      <c r="BK67" s="51"/>
      <c r="BL67" s="51"/>
      <c r="BM67" s="52"/>
    </row>
    <row r="68" spans="2:65" x14ac:dyDescent="0.25">
      <c r="B68" s="112" t="s">
        <v>488</v>
      </c>
      <c r="C68" s="113" t="s">
        <v>488</v>
      </c>
      <c r="D68" s="113" t="s">
        <v>488</v>
      </c>
      <c r="E68" s="52"/>
      <c r="F68" s="50"/>
      <c r="G68" s="113" t="s">
        <v>14</v>
      </c>
      <c r="H68" s="113" t="s">
        <v>1553</v>
      </c>
      <c r="I68" s="114"/>
      <c r="J68" s="112" t="s">
        <v>452</v>
      </c>
      <c r="K68" s="113" t="s">
        <v>452</v>
      </c>
      <c r="L68" s="51"/>
      <c r="M68" s="52"/>
      <c r="N68" s="50"/>
      <c r="O68" s="51"/>
      <c r="P68" s="51"/>
      <c r="Q68" s="52"/>
      <c r="R68" s="50"/>
      <c r="S68" s="51"/>
      <c r="T68" s="51"/>
      <c r="U68" s="52"/>
      <c r="V68" s="50"/>
      <c r="W68" s="51"/>
      <c r="X68" s="51"/>
      <c r="Y68" s="52"/>
      <c r="Z68" s="50"/>
      <c r="AA68" s="51"/>
      <c r="AB68" s="51"/>
      <c r="AC68" s="52"/>
      <c r="AD68" s="50"/>
      <c r="AE68" s="51"/>
      <c r="AF68" s="51"/>
      <c r="AG68" s="52"/>
      <c r="AH68" s="50"/>
      <c r="AI68" s="51"/>
      <c r="AJ68" s="51"/>
      <c r="AK68" s="52"/>
      <c r="AL68" s="50"/>
      <c r="AM68" s="51"/>
      <c r="AN68" s="51"/>
      <c r="AO68" s="52"/>
      <c r="AP68" s="50"/>
      <c r="AQ68" s="51"/>
      <c r="AR68" s="51"/>
      <c r="AS68" s="52"/>
      <c r="AT68" s="112" t="s">
        <v>453</v>
      </c>
      <c r="AU68" s="113" t="s">
        <v>453</v>
      </c>
      <c r="AV68" s="51"/>
      <c r="AW68" s="52"/>
      <c r="AX68" s="112" t="s">
        <v>489</v>
      </c>
      <c r="AY68" s="113" t="s">
        <v>14</v>
      </c>
      <c r="AZ68" s="113" t="s">
        <v>489</v>
      </c>
      <c r="BA68" s="114"/>
      <c r="BB68" s="112" t="s">
        <v>14</v>
      </c>
      <c r="BC68" s="113" t="s">
        <v>14</v>
      </c>
      <c r="BD68" s="113" t="s">
        <v>490</v>
      </c>
      <c r="BE68" s="52"/>
      <c r="BF68" s="50"/>
      <c r="BG68" s="51"/>
      <c r="BH68" s="51"/>
      <c r="BI68" s="52"/>
      <c r="BJ68" s="50"/>
      <c r="BK68" s="51"/>
      <c r="BL68" s="51"/>
      <c r="BM68" s="52"/>
    </row>
    <row r="69" spans="2:65" x14ac:dyDescent="0.25">
      <c r="B69" s="112" t="s">
        <v>491</v>
      </c>
      <c r="C69" s="113" t="s">
        <v>492</v>
      </c>
      <c r="D69" s="113" t="s">
        <v>493</v>
      </c>
      <c r="E69" s="52"/>
      <c r="F69" s="50"/>
      <c r="G69" s="113" t="s">
        <v>494</v>
      </c>
      <c r="H69" s="113" t="s">
        <v>495</v>
      </c>
      <c r="I69" s="114"/>
      <c r="J69" s="112" t="s">
        <v>496</v>
      </c>
      <c r="K69" s="113" t="s">
        <v>497</v>
      </c>
      <c r="L69" s="51"/>
      <c r="M69" s="52"/>
      <c r="N69" s="50"/>
      <c r="O69" s="51"/>
      <c r="P69" s="51"/>
      <c r="Q69" s="52"/>
      <c r="R69" s="50"/>
      <c r="S69" s="51"/>
      <c r="T69" s="51"/>
      <c r="U69" s="52"/>
      <c r="V69" s="50"/>
      <c r="W69" s="51"/>
      <c r="X69" s="51"/>
      <c r="Y69" s="52"/>
      <c r="Z69" s="50"/>
      <c r="AA69" s="51"/>
      <c r="AB69" s="51"/>
      <c r="AC69" s="52"/>
      <c r="AD69" s="50"/>
      <c r="AE69" s="51"/>
      <c r="AF69" s="51"/>
      <c r="AG69" s="52"/>
      <c r="AH69" s="50"/>
      <c r="AI69" s="51"/>
      <c r="AJ69" s="51"/>
      <c r="AK69" s="52"/>
      <c r="AL69" s="50"/>
      <c r="AM69" s="51"/>
      <c r="AN69" s="51"/>
      <c r="AO69" s="52"/>
      <c r="AP69" s="50"/>
      <c r="AQ69" s="51"/>
      <c r="AR69" s="51"/>
      <c r="AS69" s="52"/>
      <c r="AT69" s="112" t="s">
        <v>498</v>
      </c>
      <c r="AU69" s="113" t="s">
        <v>499</v>
      </c>
      <c r="AV69" s="51"/>
      <c r="AW69" s="52"/>
      <c r="AX69" s="112" t="s">
        <v>500</v>
      </c>
      <c r="AY69" s="113" t="s">
        <v>501</v>
      </c>
      <c r="AZ69" s="113" t="s">
        <v>502</v>
      </c>
      <c r="BA69" s="114"/>
      <c r="BB69" s="112" t="s">
        <v>503</v>
      </c>
      <c r="BC69" s="113" t="s">
        <v>504</v>
      </c>
      <c r="BD69" s="113" t="s">
        <v>505</v>
      </c>
      <c r="BE69" s="52"/>
      <c r="BF69" s="50"/>
      <c r="BG69" s="51"/>
      <c r="BH69" s="51"/>
      <c r="BI69" s="52"/>
      <c r="BJ69" s="50"/>
      <c r="BK69" s="51"/>
      <c r="BL69" s="51"/>
      <c r="BM69" s="52"/>
    </row>
    <row r="70" spans="2:65" x14ac:dyDescent="0.25">
      <c r="B70" s="112"/>
      <c r="C70" s="113"/>
      <c r="D70" s="113"/>
      <c r="E70" s="55"/>
      <c r="F70" s="53"/>
      <c r="G70" s="113">
        <v>1</v>
      </c>
      <c r="H70" s="113">
        <v>1</v>
      </c>
      <c r="I70" s="114"/>
      <c r="J70" s="112">
        <v>1</v>
      </c>
      <c r="K70" s="113">
        <v>1</v>
      </c>
      <c r="L70" s="54"/>
      <c r="M70" s="55"/>
      <c r="N70" s="53"/>
      <c r="O70" s="54"/>
      <c r="P70" s="54"/>
      <c r="Q70" s="55"/>
      <c r="R70" s="53"/>
      <c r="S70" s="54"/>
      <c r="T70" s="54"/>
      <c r="U70" s="55"/>
      <c r="V70" s="53"/>
      <c r="W70" s="54"/>
      <c r="X70" s="54"/>
      <c r="Y70" s="55"/>
      <c r="Z70" s="53"/>
      <c r="AA70" s="54"/>
      <c r="AB70" s="54"/>
      <c r="AC70" s="55"/>
      <c r="AD70" s="53"/>
      <c r="AE70" s="54"/>
      <c r="AF70" s="54"/>
      <c r="AG70" s="55"/>
      <c r="AH70" s="53"/>
      <c r="AI70" s="54"/>
      <c r="AJ70" s="54"/>
      <c r="AK70" s="55"/>
      <c r="AL70" s="53"/>
      <c r="AM70" s="54"/>
      <c r="AN70" s="54"/>
      <c r="AO70" s="55"/>
      <c r="AP70" s="53"/>
      <c r="AQ70" s="54"/>
      <c r="AR70" s="54"/>
      <c r="AS70" s="55"/>
      <c r="AT70" s="112">
        <v>1</v>
      </c>
      <c r="AU70" s="113">
        <v>1</v>
      </c>
      <c r="AV70" s="54"/>
      <c r="AW70" s="55"/>
      <c r="AX70" s="112">
        <v>1</v>
      </c>
      <c r="AY70" s="113">
        <v>1</v>
      </c>
      <c r="AZ70" s="113">
        <v>1</v>
      </c>
      <c r="BA70" s="114"/>
      <c r="BB70" s="112"/>
      <c r="BC70" s="113">
        <v>1</v>
      </c>
      <c r="BD70" s="113">
        <v>1</v>
      </c>
      <c r="BE70" s="55"/>
      <c r="BF70" s="53"/>
      <c r="BG70" s="54"/>
      <c r="BH70" s="54"/>
      <c r="BI70" s="55"/>
      <c r="BJ70" s="53"/>
      <c r="BK70" s="54"/>
      <c r="BL70" s="54"/>
      <c r="BM70" s="55"/>
    </row>
    <row r="71" spans="2:65" x14ac:dyDescent="0.25">
      <c r="B71" s="112" t="s">
        <v>14</v>
      </c>
      <c r="C71" s="113" t="s">
        <v>14</v>
      </c>
      <c r="D71" s="113" t="s">
        <v>14</v>
      </c>
      <c r="E71" s="55"/>
      <c r="F71" s="53"/>
      <c r="G71" s="113" t="s">
        <v>506</v>
      </c>
      <c r="H71" s="113" t="s">
        <v>506</v>
      </c>
      <c r="I71" s="114"/>
      <c r="J71" s="112" t="s">
        <v>452</v>
      </c>
      <c r="K71" s="113" t="s">
        <v>452</v>
      </c>
      <c r="L71" s="54"/>
      <c r="M71" s="55"/>
      <c r="N71" s="53"/>
      <c r="O71" s="54"/>
      <c r="P71" s="54"/>
      <c r="Q71" s="55"/>
      <c r="R71" s="53"/>
      <c r="S71" s="54"/>
      <c r="T71" s="54"/>
      <c r="U71" s="55"/>
      <c r="V71" s="53"/>
      <c r="W71" s="54"/>
      <c r="X71" s="54"/>
      <c r="Y71" s="55"/>
      <c r="Z71" s="53"/>
      <c r="AA71" s="54"/>
      <c r="AB71" s="54"/>
      <c r="AC71" s="55"/>
      <c r="AD71" s="53"/>
      <c r="AE71" s="54"/>
      <c r="AF71" s="54"/>
      <c r="AG71" s="55"/>
      <c r="AH71" s="53"/>
      <c r="AI71" s="54"/>
      <c r="AJ71" s="54"/>
      <c r="AK71" s="55"/>
      <c r="AL71" s="53"/>
      <c r="AM71" s="54"/>
      <c r="AN71" s="54"/>
      <c r="AO71" s="55"/>
      <c r="AP71" s="53"/>
      <c r="AQ71" s="54"/>
      <c r="AR71" s="54"/>
      <c r="AS71" s="55"/>
      <c r="AT71" s="112" t="s">
        <v>507</v>
      </c>
      <c r="AU71" s="113" t="s">
        <v>507</v>
      </c>
      <c r="AV71" s="54"/>
      <c r="AW71" s="55"/>
      <c r="AX71" s="112" t="s">
        <v>452</v>
      </c>
      <c r="AY71" s="113" t="s">
        <v>452</v>
      </c>
      <c r="AZ71" s="113" t="s">
        <v>452</v>
      </c>
      <c r="BA71" s="114"/>
      <c r="BB71" s="112" t="s">
        <v>14</v>
      </c>
      <c r="BC71" s="113" t="s">
        <v>508</v>
      </c>
      <c r="BD71" s="113" t="s">
        <v>508</v>
      </c>
      <c r="BE71" s="55"/>
      <c r="BF71" s="53"/>
      <c r="BG71" s="54"/>
      <c r="BH71" s="54"/>
      <c r="BI71" s="55"/>
      <c r="BJ71" s="53"/>
      <c r="BK71" s="54"/>
      <c r="BL71" s="54"/>
      <c r="BM71" s="55"/>
    </row>
    <row r="72" spans="2:65" x14ac:dyDescent="0.25">
      <c r="B72" s="112" t="s">
        <v>509</v>
      </c>
      <c r="C72" s="113" t="s">
        <v>510</v>
      </c>
      <c r="D72" s="113" t="s">
        <v>511</v>
      </c>
      <c r="E72" s="55"/>
      <c r="F72" s="53"/>
      <c r="G72" s="113" t="s">
        <v>512</v>
      </c>
      <c r="H72" s="113" t="s">
        <v>513</v>
      </c>
      <c r="I72" s="114"/>
      <c r="J72" s="112" t="s">
        <v>514</v>
      </c>
      <c r="K72" s="113" t="s">
        <v>515</v>
      </c>
      <c r="L72" s="54"/>
      <c r="M72" s="55"/>
      <c r="N72" s="53"/>
      <c r="O72" s="54"/>
      <c r="P72" s="54"/>
      <c r="Q72" s="55"/>
      <c r="R72" s="53"/>
      <c r="S72" s="54"/>
      <c r="T72" s="54"/>
      <c r="U72" s="55"/>
      <c r="V72" s="53"/>
      <c r="W72" s="54"/>
      <c r="X72" s="54"/>
      <c r="Y72" s="55"/>
      <c r="Z72" s="53"/>
      <c r="AA72" s="54"/>
      <c r="AB72" s="54"/>
      <c r="AC72" s="55"/>
      <c r="AD72" s="53"/>
      <c r="AE72" s="54"/>
      <c r="AF72" s="54"/>
      <c r="AG72" s="55"/>
      <c r="AH72" s="53"/>
      <c r="AI72" s="54"/>
      <c r="AJ72" s="54"/>
      <c r="AK72" s="55"/>
      <c r="AL72" s="53"/>
      <c r="AM72" s="54"/>
      <c r="AN72" s="54"/>
      <c r="AO72" s="55"/>
      <c r="AP72" s="53"/>
      <c r="AQ72" s="54"/>
      <c r="AR72" s="54"/>
      <c r="AS72" s="55"/>
      <c r="AT72" s="112" t="s">
        <v>516</v>
      </c>
      <c r="AU72" s="113" t="s">
        <v>517</v>
      </c>
      <c r="AV72" s="54"/>
      <c r="AW72" s="55"/>
      <c r="AX72" s="112" t="s">
        <v>518</v>
      </c>
      <c r="AY72" s="113" t="s">
        <v>519</v>
      </c>
      <c r="AZ72" s="113" t="s">
        <v>520</v>
      </c>
      <c r="BA72" s="114"/>
      <c r="BB72" s="112" t="s">
        <v>521</v>
      </c>
      <c r="BC72" s="113" t="s">
        <v>522</v>
      </c>
      <c r="BD72" s="113" t="s">
        <v>523</v>
      </c>
      <c r="BE72" s="55"/>
      <c r="BF72" s="53"/>
      <c r="BG72" s="54"/>
      <c r="BH72" s="54"/>
      <c r="BI72" s="55"/>
      <c r="BJ72" s="53"/>
      <c r="BK72" s="54"/>
      <c r="BL72" s="54"/>
      <c r="BM72" s="55"/>
    </row>
    <row r="75" spans="2:65" x14ac:dyDescent="0.25">
      <c r="B75" s="44"/>
      <c r="C75" s="45">
        <v>1</v>
      </c>
      <c r="D75" s="45">
        <v>1</v>
      </c>
      <c r="E75" s="46"/>
      <c r="F75" s="44"/>
      <c r="G75" s="45">
        <v>1</v>
      </c>
      <c r="H75" s="45">
        <v>1</v>
      </c>
      <c r="I75" s="46"/>
      <c r="J75" s="44">
        <v>1</v>
      </c>
      <c r="K75" s="45">
        <v>1</v>
      </c>
      <c r="L75" s="45"/>
      <c r="M75" s="46"/>
      <c r="N75" s="44">
        <v>1</v>
      </c>
      <c r="O75" s="45"/>
      <c r="P75" s="45">
        <v>1</v>
      </c>
      <c r="Q75" s="46"/>
      <c r="R75" s="44">
        <v>1</v>
      </c>
      <c r="S75" s="45"/>
      <c r="T75" s="45">
        <v>1</v>
      </c>
      <c r="U75" s="46">
        <v>1</v>
      </c>
      <c r="V75" s="44"/>
      <c r="W75" s="45"/>
      <c r="X75" s="45"/>
      <c r="Y75" s="46">
        <v>1</v>
      </c>
      <c r="Z75" s="44">
        <v>1</v>
      </c>
      <c r="AA75" s="45">
        <v>1</v>
      </c>
      <c r="AB75" s="45">
        <v>1</v>
      </c>
      <c r="AC75" s="46">
        <v>1</v>
      </c>
      <c r="AD75" s="44"/>
      <c r="AE75" s="45"/>
      <c r="AF75" s="45"/>
      <c r="AG75" s="46"/>
      <c r="AH75" s="112">
        <v>1</v>
      </c>
      <c r="AI75" s="113">
        <v>1</v>
      </c>
      <c r="AJ75" s="45"/>
      <c r="AK75" s="46"/>
      <c r="AL75" s="44"/>
      <c r="AM75" s="45">
        <v>1</v>
      </c>
      <c r="AN75" s="45">
        <v>1</v>
      </c>
      <c r="AO75" s="46"/>
      <c r="AP75" s="44">
        <v>1</v>
      </c>
      <c r="AQ75" s="45">
        <v>1</v>
      </c>
      <c r="AR75" s="45">
        <v>1</v>
      </c>
      <c r="AS75" s="46"/>
      <c r="AT75" s="44"/>
      <c r="AU75" s="45"/>
      <c r="AV75" s="45"/>
      <c r="AW75" s="46"/>
      <c r="AX75" s="44"/>
      <c r="AY75" s="45"/>
      <c r="AZ75" s="45"/>
      <c r="BA75" s="46"/>
      <c r="BB75" s="44"/>
      <c r="BC75" s="45"/>
      <c r="BD75" s="45"/>
      <c r="BE75" s="46"/>
      <c r="BF75" s="44"/>
      <c r="BG75" s="45"/>
      <c r="BH75" s="45"/>
      <c r="BI75" s="46"/>
      <c r="BJ75" s="44"/>
      <c r="BK75" s="45"/>
      <c r="BL75" s="45"/>
      <c r="BM75" s="46"/>
    </row>
    <row r="76" spans="2:65" x14ac:dyDescent="0.25">
      <c r="B76" s="44" t="s">
        <v>14</v>
      </c>
      <c r="C76" s="45" t="s">
        <v>15</v>
      </c>
      <c r="D76" s="45" t="s">
        <v>15</v>
      </c>
      <c r="E76" s="46"/>
      <c r="F76" s="44" t="s">
        <v>14</v>
      </c>
      <c r="G76" s="45" t="s">
        <v>15</v>
      </c>
      <c r="H76" s="45" t="s">
        <v>15</v>
      </c>
      <c r="I76" s="46"/>
      <c r="J76" s="44" t="s">
        <v>354</v>
      </c>
      <c r="K76" s="45" t="s">
        <v>354</v>
      </c>
      <c r="L76" s="45"/>
      <c r="M76" s="46"/>
      <c r="N76" s="44" t="s">
        <v>1556</v>
      </c>
      <c r="O76" s="45" t="s">
        <v>14</v>
      </c>
      <c r="P76" s="45" t="s">
        <v>525</v>
      </c>
      <c r="Q76" s="46" t="s">
        <v>14</v>
      </c>
      <c r="R76" s="44" t="s">
        <v>1558</v>
      </c>
      <c r="S76" s="45" t="s">
        <v>14</v>
      </c>
      <c r="T76" s="45" t="s">
        <v>526</v>
      </c>
      <c r="U76" s="46" t="s">
        <v>527</v>
      </c>
      <c r="V76" s="44" t="s">
        <v>14</v>
      </c>
      <c r="W76" s="45" t="s">
        <v>14</v>
      </c>
      <c r="X76" s="45" t="s">
        <v>14</v>
      </c>
      <c r="Y76" s="46" t="s">
        <v>1575</v>
      </c>
      <c r="Z76" s="44" t="s">
        <v>1235</v>
      </c>
      <c r="AA76" s="45" t="s">
        <v>1235</v>
      </c>
      <c r="AB76" s="45" t="s">
        <v>1602</v>
      </c>
      <c r="AC76" s="46" t="s">
        <v>1604</v>
      </c>
      <c r="AD76" s="44"/>
      <c r="AE76" s="45"/>
      <c r="AF76" s="45"/>
      <c r="AG76" s="46"/>
      <c r="AH76" s="112" t="s">
        <v>108</v>
      </c>
      <c r="AI76" s="113" t="s">
        <v>108</v>
      </c>
      <c r="AJ76" s="45"/>
      <c r="AK76" s="46"/>
      <c r="AL76" s="44" t="s">
        <v>14</v>
      </c>
      <c r="AM76" s="45" t="s">
        <v>1643</v>
      </c>
      <c r="AN76" s="45" t="s">
        <v>1643</v>
      </c>
      <c r="AO76" s="46"/>
      <c r="AP76" s="44" t="s">
        <v>1646</v>
      </c>
      <c r="AQ76" s="45" t="s">
        <v>1646</v>
      </c>
      <c r="AR76" s="45" t="s">
        <v>1646</v>
      </c>
      <c r="AS76" s="46"/>
      <c r="AT76" s="44"/>
      <c r="AU76" s="45"/>
      <c r="AV76" s="45"/>
      <c r="AW76" s="46"/>
      <c r="AX76" s="44"/>
      <c r="AY76" s="45"/>
      <c r="AZ76" s="45"/>
      <c r="BA76" s="46"/>
      <c r="BB76" s="44"/>
      <c r="BC76" s="45"/>
      <c r="BD76" s="45"/>
      <c r="BE76" s="46"/>
      <c r="BF76" s="44"/>
      <c r="BG76" s="45"/>
      <c r="BH76" s="45"/>
      <c r="BI76" s="46"/>
      <c r="BJ76" s="44"/>
      <c r="BK76" s="45"/>
      <c r="BL76" s="45"/>
      <c r="BM76" s="46"/>
    </row>
    <row r="77" spans="2:65" x14ac:dyDescent="0.25">
      <c r="B77" s="44" t="s">
        <v>528</v>
      </c>
      <c r="C77" s="45" t="s">
        <v>529</v>
      </c>
      <c r="D77" s="45" t="s">
        <v>530</v>
      </c>
      <c r="E77" s="46"/>
      <c r="F77" s="44" t="s">
        <v>531</v>
      </c>
      <c r="G77" s="45" t="s">
        <v>532</v>
      </c>
      <c r="H77" s="45" t="s">
        <v>533</v>
      </c>
      <c r="I77" s="46"/>
      <c r="J77" s="44" t="s">
        <v>534</v>
      </c>
      <c r="K77" s="45" t="s">
        <v>535</v>
      </c>
      <c r="L77" s="45"/>
      <c r="M77" s="46"/>
      <c r="N77" s="44" t="s">
        <v>536</v>
      </c>
      <c r="O77" s="45" t="s">
        <v>537</v>
      </c>
      <c r="P77" s="45" t="s">
        <v>538</v>
      </c>
      <c r="Q77" s="46" t="s">
        <v>539</v>
      </c>
      <c r="R77" s="44" t="s">
        <v>540</v>
      </c>
      <c r="S77" s="45" t="s">
        <v>541</v>
      </c>
      <c r="T77" s="45" t="s">
        <v>542</v>
      </c>
      <c r="U77" s="46" t="s">
        <v>543</v>
      </c>
      <c r="V77" s="44" t="s">
        <v>1576</v>
      </c>
      <c r="W77" s="45" t="s">
        <v>1577</v>
      </c>
      <c r="X77" s="45" t="s">
        <v>1578</v>
      </c>
      <c r="Y77" s="46" t="s">
        <v>1579</v>
      </c>
      <c r="Z77" s="44" t="s">
        <v>1599</v>
      </c>
      <c r="AA77" s="45" t="s">
        <v>1600</v>
      </c>
      <c r="AB77" s="45" t="s">
        <v>1601</v>
      </c>
      <c r="AC77" s="46" t="s">
        <v>1603</v>
      </c>
      <c r="AD77" s="44"/>
      <c r="AE77" s="45"/>
      <c r="AF77" s="45"/>
      <c r="AG77" s="46"/>
      <c r="AH77" s="112" t="s">
        <v>1625</v>
      </c>
      <c r="AI77" s="113" t="s">
        <v>1626</v>
      </c>
      <c r="AJ77" s="45"/>
      <c r="AK77" s="46"/>
      <c r="AL77" s="44" t="s">
        <v>1641</v>
      </c>
      <c r="AM77" s="45" t="s">
        <v>1642</v>
      </c>
      <c r="AN77" s="45" t="s">
        <v>1644</v>
      </c>
      <c r="AO77" s="46"/>
      <c r="AP77" s="44" t="s">
        <v>1655</v>
      </c>
      <c r="AQ77" s="45" t="s">
        <v>1656</v>
      </c>
      <c r="AR77" s="45" t="s">
        <v>1657</v>
      </c>
      <c r="AS77" s="46"/>
      <c r="AT77" s="44"/>
      <c r="AU77" s="45"/>
      <c r="AV77" s="45"/>
      <c r="AW77" s="46"/>
      <c r="AX77" s="44"/>
      <c r="AY77" s="45"/>
      <c r="AZ77" s="45"/>
      <c r="BA77" s="46"/>
      <c r="BB77" s="44"/>
      <c r="BC77" s="45"/>
      <c r="BD77" s="45"/>
      <c r="BE77" s="46"/>
      <c r="BF77" s="44"/>
      <c r="BG77" s="45"/>
      <c r="BH77" s="45"/>
      <c r="BI77" s="46"/>
      <c r="BJ77" s="44"/>
      <c r="BK77" s="45"/>
      <c r="BL77" s="45"/>
      <c r="BM77" s="46"/>
    </row>
    <row r="78" spans="2:65" x14ac:dyDescent="0.25">
      <c r="B78" s="47">
        <v>1</v>
      </c>
      <c r="C78" s="48">
        <v>1</v>
      </c>
      <c r="D78" s="48">
        <v>1</v>
      </c>
      <c r="E78" s="49"/>
      <c r="F78" s="47">
        <v>1</v>
      </c>
      <c r="G78" s="48">
        <v>1</v>
      </c>
      <c r="H78" s="48">
        <v>1</v>
      </c>
      <c r="I78" s="49"/>
      <c r="J78" s="47">
        <v>1</v>
      </c>
      <c r="K78" s="48">
        <v>1</v>
      </c>
      <c r="L78" s="48"/>
      <c r="M78" s="49"/>
      <c r="N78" s="47"/>
      <c r="O78" s="48">
        <v>1</v>
      </c>
      <c r="P78" s="48">
        <v>1</v>
      </c>
      <c r="Q78" s="49"/>
      <c r="R78" s="47"/>
      <c r="S78" s="48"/>
      <c r="T78" s="48">
        <v>1</v>
      </c>
      <c r="U78" s="49">
        <v>1</v>
      </c>
      <c r="V78" s="47"/>
      <c r="W78" s="48">
        <v>1</v>
      </c>
      <c r="X78" s="48"/>
      <c r="Y78" s="49">
        <v>1</v>
      </c>
      <c r="Z78" s="47">
        <v>1</v>
      </c>
      <c r="AA78" s="48">
        <v>1</v>
      </c>
      <c r="AB78" s="48">
        <v>1</v>
      </c>
      <c r="AC78" s="49">
        <v>1</v>
      </c>
      <c r="AD78" s="47"/>
      <c r="AE78" s="48"/>
      <c r="AF78" s="48"/>
      <c r="AG78" s="49"/>
      <c r="AH78" s="112">
        <v>1</v>
      </c>
      <c r="AI78" s="113">
        <v>1</v>
      </c>
      <c r="AJ78" s="48"/>
      <c r="AK78" s="49"/>
      <c r="AL78" s="47">
        <v>1</v>
      </c>
      <c r="AM78" s="48">
        <v>1</v>
      </c>
      <c r="AN78" s="48">
        <v>1</v>
      </c>
      <c r="AO78" s="49"/>
      <c r="AP78" s="47">
        <v>1</v>
      </c>
      <c r="AQ78" s="48">
        <v>1</v>
      </c>
      <c r="AR78" s="48">
        <v>1</v>
      </c>
      <c r="AS78" s="49"/>
      <c r="AT78" s="47"/>
      <c r="AU78" s="48"/>
      <c r="AV78" s="48"/>
      <c r="AW78" s="49"/>
      <c r="AX78" s="47"/>
      <c r="AY78" s="48"/>
      <c r="AZ78" s="48"/>
      <c r="BA78" s="49"/>
      <c r="BB78" s="47"/>
      <c r="BC78" s="48"/>
      <c r="BD78" s="48"/>
      <c r="BE78" s="49"/>
      <c r="BF78" s="47"/>
      <c r="BG78" s="48"/>
      <c r="BH78" s="48"/>
      <c r="BI78" s="49"/>
      <c r="BJ78" s="47"/>
      <c r="BK78" s="48"/>
      <c r="BL78" s="48"/>
      <c r="BM78" s="49"/>
    </row>
    <row r="79" spans="2:65" x14ac:dyDescent="0.25">
      <c r="B79" s="47" t="s">
        <v>544</v>
      </c>
      <c r="C79" s="48" t="s">
        <v>544</v>
      </c>
      <c r="D79" s="48" t="s">
        <v>544</v>
      </c>
      <c r="E79" s="49"/>
      <c r="F79" s="47" t="s">
        <v>15</v>
      </c>
      <c r="G79" s="48" t="s">
        <v>545</v>
      </c>
      <c r="H79" s="48" t="s">
        <v>545</v>
      </c>
      <c r="I79" s="49"/>
      <c r="J79" s="47" t="s">
        <v>453</v>
      </c>
      <c r="K79" s="48" t="s">
        <v>453</v>
      </c>
      <c r="L79" s="48"/>
      <c r="M79" s="49"/>
      <c r="N79" s="47" t="s">
        <v>14</v>
      </c>
      <c r="O79" s="48" t="s">
        <v>524</v>
      </c>
      <c r="P79" s="48" t="s">
        <v>525</v>
      </c>
      <c r="Q79" s="49" t="s">
        <v>14</v>
      </c>
      <c r="R79" s="47" t="s">
        <v>14</v>
      </c>
      <c r="S79" s="48" t="s">
        <v>14</v>
      </c>
      <c r="T79" s="48" t="s">
        <v>526</v>
      </c>
      <c r="U79" s="49" t="s">
        <v>527</v>
      </c>
      <c r="V79" s="47" t="s">
        <v>14</v>
      </c>
      <c r="W79" s="48" t="s">
        <v>1572</v>
      </c>
      <c r="X79" s="48" t="s">
        <v>14</v>
      </c>
      <c r="Y79" s="49" t="s">
        <v>1575</v>
      </c>
      <c r="Z79" s="47" t="s">
        <v>1594</v>
      </c>
      <c r="AA79" s="48" t="s">
        <v>1596</v>
      </c>
      <c r="AB79" s="48" t="s">
        <v>1596</v>
      </c>
      <c r="AC79" s="49" t="s">
        <v>1596</v>
      </c>
      <c r="AD79" s="47"/>
      <c r="AE79" s="48"/>
      <c r="AF79" s="48"/>
      <c r="AG79" s="49"/>
      <c r="AH79" s="112" t="s">
        <v>108</v>
      </c>
      <c r="AI79" s="113" t="s">
        <v>108</v>
      </c>
      <c r="AJ79" s="48"/>
      <c r="AK79" s="49"/>
      <c r="AL79" s="47" t="s">
        <v>1638</v>
      </c>
      <c r="AM79" s="48" t="s">
        <v>1638</v>
      </c>
      <c r="AN79" s="48" t="s">
        <v>15</v>
      </c>
      <c r="AO79" s="49"/>
      <c r="AP79" s="47" t="s">
        <v>1646</v>
      </c>
      <c r="AQ79" s="48" t="s">
        <v>1646</v>
      </c>
      <c r="AR79" s="48" t="s">
        <v>1646</v>
      </c>
      <c r="AS79" s="49"/>
      <c r="AT79" s="47"/>
      <c r="AU79" s="48"/>
      <c r="AV79" s="48"/>
      <c r="AW79" s="49"/>
      <c r="AX79" s="47"/>
      <c r="AY79" s="48"/>
      <c r="AZ79" s="48"/>
      <c r="BA79" s="49"/>
      <c r="BB79" s="47"/>
      <c r="BC79" s="48"/>
      <c r="BD79" s="48"/>
      <c r="BE79" s="49"/>
      <c r="BF79" s="47"/>
      <c r="BG79" s="48"/>
      <c r="BH79" s="48"/>
      <c r="BI79" s="49"/>
      <c r="BJ79" s="47"/>
      <c r="BK79" s="48"/>
      <c r="BL79" s="48"/>
      <c r="BM79" s="49"/>
    </row>
    <row r="80" spans="2:65" x14ac:dyDescent="0.25">
      <c r="B80" s="47" t="s">
        <v>546</v>
      </c>
      <c r="C80" s="48" t="s">
        <v>547</v>
      </c>
      <c r="D80" s="48" t="s">
        <v>548</v>
      </c>
      <c r="E80" s="49"/>
      <c r="F80" s="47" t="s">
        <v>549</v>
      </c>
      <c r="G80" s="48" t="s">
        <v>550</v>
      </c>
      <c r="H80" s="48" t="s">
        <v>551</v>
      </c>
      <c r="I80" s="49"/>
      <c r="J80" s="47" t="s">
        <v>552</v>
      </c>
      <c r="K80" s="48" t="s">
        <v>553</v>
      </c>
      <c r="L80" s="48"/>
      <c r="M80" s="49"/>
      <c r="N80" s="47" t="s">
        <v>554</v>
      </c>
      <c r="O80" s="48" t="s">
        <v>555</v>
      </c>
      <c r="P80" s="48" t="s">
        <v>556</v>
      </c>
      <c r="Q80" s="49" t="s">
        <v>557</v>
      </c>
      <c r="R80" s="47" t="s">
        <v>558</v>
      </c>
      <c r="S80" s="48" t="s">
        <v>559</v>
      </c>
      <c r="T80" s="48" t="s">
        <v>560</v>
      </c>
      <c r="U80" s="49" t="s">
        <v>561</v>
      </c>
      <c r="V80" s="47" t="s">
        <v>1570</v>
      </c>
      <c r="W80" s="48" t="s">
        <v>1571</v>
      </c>
      <c r="X80" s="48" t="s">
        <v>1573</v>
      </c>
      <c r="Y80" s="49" t="s">
        <v>1574</v>
      </c>
      <c r="Z80" s="47" t="s">
        <v>1593</v>
      </c>
      <c r="AA80" s="48" t="s">
        <v>1595</v>
      </c>
      <c r="AB80" s="48" t="s">
        <v>1597</v>
      </c>
      <c r="AC80" s="49" t="s">
        <v>1598</v>
      </c>
      <c r="AD80" s="47"/>
      <c r="AE80" s="48"/>
      <c r="AF80" s="48"/>
      <c r="AG80" s="49"/>
      <c r="AH80" s="112" t="s">
        <v>1623</v>
      </c>
      <c r="AI80" s="113" t="s">
        <v>1624</v>
      </c>
      <c r="AJ80" s="48"/>
      <c r="AK80" s="49"/>
      <c r="AL80" s="47" t="s">
        <v>1637</v>
      </c>
      <c r="AM80" s="48" t="s">
        <v>1639</v>
      </c>
      <c r="AN80" s="48" t="s">
        <v>1640</v>
      </c>
      <c r="AO80" s="49"/>
      <c r="AP80" s="47" t="s">
        <v>1652</v>
      </c>
      <c r="AQ80" s="48" t="s">
        <v>1653</v>
      </c>
      <c r="AR80" s="48" t="s">
        <v>1654</v>
      </c>
      <c r="AS80" s="49"/>
      <c r="AT80" s="47"/>
      <c r="AU80" s="48"/>
      <c r="AV80" s="48"/>
      <c r="AW80" s="49"/>
      <c r="AX80" s="47"/>
      <c r="AY80" s="48"/>
      <c r="AZ80" s="48"/>
      <c r="BA80" s="49"/>
      <c r="BB80" s="47"/>
      <c r="BC80" s="48"/>
      <c r="BD80" s="48"/>
      <c r="BE80" s="49"/>
      <c r="BF80" s="47"/>
      <c r="BG80" s="48"/>
      <c r="BH80" s="48"/>
      <c r="BI80" s="49"/>
      <c r="BJ80" s="47"/>
      <c r="BK80" s="48"/>
      <c r="BL80" s="48"/>
      <c r="BM80" s="49"/>
    </row>
    <row r="81" spans="2:65" x14ac:dyDescent="0.25">
      <c r="B81" s="50">
        <v>1</v>
      </c>
      <c r="C81" s="51">
        <v>1</v>
      </c>
      <c r="D81" s="51">
        <v>1</v>
      </c>
      <c r="E81" s="52"/>
      <c r="F81" s="50">
        <v>1</v>
      </c>
      <c r="G81" s="51">
        <v>1</v>
      </c>
      <c r="H81" s="51">
        <v>1</v>
      </c>
      <c r="I81" s="52"/>
      <c r="J81" s="50">
        <v>1</v>
      </c>
      <c r="K81" s="51">
        <v>1</v>
      </c>
      <c r="L81" s="51"/>
      <c r="M81" s="52"/>
      <c r="N81" s="50">
        <v>1</v>
      </c>
      <c r="O81" s="51">
        <v>1</v>
      </c>
      <c r="P81" s="51">
        <v>1</v>
      </c>
      <c r="Q81" s="52">
        <v>1</v>
      </c>
      <c r="R81" s="50">
        <v>1</v>
      </c>
      <c r="S81" s="51">
        <v>1</v>
      </c>
      <c r="T81" s="51"/>
      <c r="U81" s="52"/>
      <c r="V81" s="50"/>
      <c r="W81" s="51"/>
      <c r="X81" s="51">
        <v>1</v>
      </c>
      <c r="Y81" s="52">
        <v>1</v>
      </c>
      <c r="Z81" s="50">
        <v>1</v>
      </c>
      <c r="AA81" s="51"/>
      <c r="AB81" s="51">
        <v>1</v>
      </c>
      <c r="AC81" s="52">
        <v>1</v>
      </c>
      <c r="AD81" s="50">
        <v>1</v>
      </c>
      <c r="AE81" s="51">
        <v>1</v>
      </c>
      <c r="AF81" s="51">
        <v>1</v>
      </c>
      <c r="AG81" s="52"/>
      <c r="AH81" s="50">
        <v>1</v>
      </c>
      <c r="AI81" s="51">
        <v>1</v>
      </c>
      <c r="AJ81" s="51">
        <v>1</v>
      </c>
      <c r="AK81" s="52"/>
      <c r="AL81" s="50">
        <v>1</v>
      </c>
      <c r="AM81" s="51">
        <v>1</v>
      </c>
      <c r="AN81" s="51">
        <v>1</v>
      </c>
      <c r="AO81" s="52">
        <v>1</v>
      </c>
      <c r="AP81" s="50">
        <v>1</v>
      </c>
      <c r="AQ81" s="51">
        <v>1</v>
      </c>
      <c r="AR81" s="51">
        <v>1</v>
      </c>
      <c r="AS81" s="52"/>
      <c r="AT81" s="50"/>
      <c r="AU81" s="51"/>
      <c r="AV81" s="51"/>
      <c r="AW81" s="52"/>
      <c r="AX81" s="50"/>
      <c r="AY81" s="51"/>
      <c r="AZ81" s="51"/>
      <c r="BA81" s="52"/>
      <c r="BB81" s="50"/>
      <c r="BC81" s="51"/>
      <c r="BD81" s="51"/>
      <c r="BE81" s="52"/>
      <c r="BF81" s="50"/>
      <c r="BG81" s="51"/>
      <c r="BH81" s="51"/>
      <c r="BI81" s="52"/>
      <c r="BJ81" s="50"/>
      <c r="BK81" s="51"/>
      <c r="BL81" s="51"/>
      <c r="BM81" s="52"/>
    </row>
    <row r="82" spans="2:65" x14ac:dyDescent="0.25">
      <c r="B82" s="50" t="s">
        <v>562</v>
      </c>
      <c r="C82" s="51" t="s">
        <v>562</v>
      </c>
      <c r="D82" s="51" t="s">
        <v>562</v>
      </c>
      <c r="E82" s="52"/>
      <c r="F82" s="50" t="s">
        <v>563</v>
      </c>
      <c r="G82" s="51" t="s">
        <v>564</v>
      </c>
      <c r="H82" s="51" t="s">
        <v>15</v>
      </c>
      <c r="I82" s="52"/>
      <c r="J82" s="50" t="s">
        <v>453</v>
      </c>
      <c r="K82" s="51" t="s">
        <v>453</v>
      </c>
      <c r="L82" s="51"/>
      <c r="M82" s="52"/>
      <c r="N82" s="50" t="s">
        <v>1555</v>
      </c>
      <c r="O82" s="51" t="s">
        <v>1235</v>
      </c>
      <c r="P82" s="51" t="s">
        <v>1235</v>
      </c>
      <c r="Q82" s="52" t="s">
        <v>565</v>
      </c>
      <c r="R82" s="50" t="s">
        <v>1557</v>
      </c>
      <c r="S82" s="51" t="s">
        <v>583</v>
      </c>
      <c r="T82" s="51" t="s">
        <v>14</v>
      </c>
      <c r="U82" s="52" t="s">
        <v>14</v>
      </c>
      <c r="V82" s="50" t="s">
        <v>14</v>
      </c>
      <c r="W82" s="51" t="s">
        <v>14</v>
      </c>
      <c r="X82" s="51" t="s">
        <v>1563</v>
      </c>
      <c r="Y82" s="52" t="s">
        <v>1565</v>
      </c>
      <c r="Z82" s="50" t="s">
        <v>1587</v>
      </c>
      <c r="AA82" s="51" t="s">
        <v>14</v>
      </c>
      <c r="AB82" s="51" t="s">
        <v>1590</v>
      </c>
      <c r="AC82" s="52" t="s">
        <v>1592</v>
      </c>
      <c r="AD82" s="50" t="s">
        <v>1606</v>
      </c>
      <c r="AE82" s="51" t="s">
        <v>1608</v>
      </c>
      <c r="AF82" s="51" t="s">
        <v>1610</v>
      </c>
      <c r="AG82" s="52"/>
      <c r="AH82" s="50" t="s">
        <v>1620</v>
      </c>
      <c r="AI82" s="51" t="s">
        <v>1620</v>
      </c>
      <c r="AJ82" s="51" t="s">
        <v>1620</v>
      </c>
      <c r="AK82" s="52"/>
      <c r="AL82" s="50" t="s">
        <v>1632</v>
      </c>
      <c r="AM82" s="51" t="s">
        <v>1632</v>
      </c>
      <c r="AN82" s="51" t="s">
        <v>1635</v>
      </c>
      <c r="AO82" s="52" t="s">
        <v>1635</v>
      </c>
      <c r="AP82" s="50" t="s">
        <v>1646</v>
      </c>
      <c r="AQ82" s="51" t="s">
        <v>1646</v>
      </c>
      <c r="AR82" s="51" t="s">
        <v>1646</v>
      </c>
      <c r="AS82" s="52"/>
      <c r="AT82" s="50"/>
      <c r="AU82" s="51"/>
      <c r="AV82" s="51"/>
      <c r="AW82" s="52"/>
      <c r="AX82" s="50"/>
      <c r="AY82" s="51"/>
      <c r="AZ82" s="51"/>
      <c r="BA82" s="52"/>
      <c r="BB82" s="50"/>
      <c r="BC82" s="51"/>
      <c r="BD82" s="51"/>
      <c r="BE82" s="52"/>
      <c r="BF82" s="50"/>
      <c r="BG82" s="51"/>
      <c r="BH82" s="51"/>
      <c r="BI82" s="52"/>
      <c r="BJ82" s="50"/>
      <c r="BK82" s="51"/>
      <c r="BL82" s="51"/>
      <c r="BM82" s="52"/>
    </row>
    <row r="83" spans="2:65" x14ac:dyDescent="0.25">
      <c r="B83" s="50" t="s">
        <v>567</v>
      </c>
      <c r="C83" s="51" t="s">
        <v>568</v>
      </c>
      <c r="D83" s="51" t="s">
        <v>569</v>
      </c>
      <c r="E83" s="52"/>
      <c r="F83" s="50" t="s">
        <v>570</v>
      </c>
      <c r="G83" s="51" t="s">
        <v>571</v>
      </c>
      <c r="H83" s="51" t="s">
        <v>572</v>
      </c>
      <c r="I83" s="52"/>
      <c r="J83" s="50" t="s">
        <v>573</v>
      </c>
      <c r="K83" s="51" t="s">
        <v>574</v>
      </c>
      <c r="L83" s="51"/>
      <c r="M83" s="52"/>
      <c r="N83" s="50" t="s">
        <v>575</v>
      </c>
      <c r="O83" s="51" t="s">
        <v>576</v>
      </c>
      <c r="P83" s="51" t="s">
        <v>577</v>
      </c>
      <c r="Q83" s="52" t="s">
        <v>578</v>
      </c>
      <c r="R83" s="50" t="s">
        <v>579</v>
      </c>
      <c r="S83" s="51" t="s">
        <v>580</v>
      </c>
      <c r="T83" s="51" t="s">
        <v>581</v>
      </c>
      <c r="U83" s="52" t="s">
        <v>582</v>
      </c>
      <c r="V83" s="50" t="s">
        <v>1566</v>
      </c>
      <c r="W83" s="51" t="s">
        <v>1567</v>
      </c>
      <c r="X83" s="51" t="s">
        <v>1568</v>
      </c>
      <c r="Y83" s="52" t="s">
        <v>1569</v>
      </c>
      <c r="Z83" s="50" t="s">
        <v>1586</v>
      </c>
      <c r="AA83" s="51" t="s">
        <v>1588</v>
      </c>
      <c r="AB83" s="51" t="s">
        <v>1589</v>
      </c>
      <c r="AC83" s="52" t="s">
        <v>1591</v>
      </c>
      <c r="AD83" s="50" t="s">
        <v>1612</v>
      </c>
      <c r="AE83" s="51" t="s">
        <v>1613</v>
      </c>
      <c r="AF83" s="51" t="s">
        <v>1614</v>
      </c>
      <c r="AG83" s="52"/>
      <c r="AH83" s="50" t="s">
        <v>1619</v>
      </c>
      <c r="AI83" s="51" t="s">
        <v>1621</v>
      </c>
      <c r="AJ83" s="51" t="s">
        <v>1622</v>
      </c>
      <c r="AK83" s="52"/>
      <c r="AL83" s="50" t="s">
        <v>1631</v>
      </c>
      <c r="AM83" s="51" t="s">
        <v>1633</v>
      </c>
      <c r="AN83" s="51" t="s">
        <v>1634</v>
      </c>
      <c r="AO83" s="52" t="s">
        <v>1636</v>
      </c>
      <c r="AP83" s="50" t="s">
        <v>1649</v>
      </c>
      <c r="AQ83" s="51" t="s">
        <v>1650</v>
      </c>
      <c r="AR83" s="51" t="s">
        <v>1651</v>
      </c>
      <c r="AS83" s="52"/>
      <c r="AT83" s="50"/>
      <c r="AU83" s="51"/>
      <c r="AV83" s="51"/>
      <c r="AW83" s="52"/>
      <c r="AX83" s="50"/>
      <c r="AY83" s="51"/>
      <c r="AZ83" s="51"/>
      <c r="BA83" s="52"/>
      <c r="BB83" s="50"/>
      <c r="BC83" s="51"/>
      <c r="BD83" s="51"/>
      <c r="BE83" s="52"/>
      <c r="BF83" s="50"/>
      <c r="BG83" s="51"/>
      <c r="BH83" s="51"/>
      <c r="BI83" s="52"/>
      <c r="BJ83" s="50"/>
      <c r="BK83" s="51"/>
      <c r="BL83" s="51"/>
      <c r="BM83" s="52"/>
    </row>
    <row r="84" spans="2:65" x14ac:dyDescent="0.25">
      <c r="B84" s="53"/>
      <c r="C84" s="54">
        <v>1</v>
      </c>
      <c r="D84" s="54"/>
      <c r="E84" s="55">
        <v>1</v>
      </c>
      <c r="F84" s="53"/>
      <c r="G84" s="54">
        <v>1</v>
      </c>
      <c r="H84" s="54">
        <v>1</v>
      </c>
      <c r="I84" s="55"/>
      <c r="J84" s="53">
        <v>1</v>
      </c>
      <c r="K84" s="54">
        <v>1</v>
      </c>
      <c r="L84" s="54"/>
      <c r="M84" s="55"/>
      <c r="N84" s="53">
        <v>1</v>
      </c>
      <c r="O84" s="54">
        <v>1</v>
      </c>
      <c r="P84" s="54">
        <v>1</v>
      </c>
      <c r="Q84" s="55"/>
      <c r="R84" s="53"/>
      <c r="S84" s="54">
        <v>1</v>
      </c>
      <c r="T84" s="54">
        <v>1</v>
      </c>
      <c r="U84" s="55"/>
      <c r="V84" s="53">
        <v>1</v>
      </c>
      <c r="W84" s="54"/>
      <c r="X84" s="54">
        <v>1</v>
      </c>
      <c r="Y84" s="55">
        <v>1</v>
      </c>
      <c r="Z84" s="53"/>
      <c r="AA84" s="54">
        <v>1</v>
      </c>
      <c r="AB84" s="54">
        <v>1</v>
      </c>
      <c r="AC84" s="55"/>
      <c r="AD84" s="53">
        <v>1</v>
      </c>
      <c r="AE84" s="54">
        <v>1</v>
      </c>
      <c r="AF84" s="54">
        <v>1</v>
      </c>
      <c r="AG84" s="55"/>
      <c r="AH84" s="53">
        <v>1</v>
      </c>
      <c r="AI84" s="54">
        <v>1</v>
      </c>
      <c r="AJ84" s="54">
        <v>1</v>
      </c>
      <c r="AK84" s="55"/>
      <c r="AL84" s="53">
        <v>1</v>
      </c>
      <c r="AM84" s="54">
        <v>1</v>
      </c>
      <c r="AN84" s="54">
        <v>1</v>
      </c>
      <c r="AO84" s="55"/>
      <c r="AP84" s="53">
        <v>1</v>
      </c>
      <c r="AQ84" s="54"/>
      <c r="AR84" s="54">
        <v>1</v>
      </c>
      <c r="AS84" s="55"/>
      <c r="AT84" s="53"/>
      <c r="AU84" s="54"/>
      <c r="AV84" s="54"/>
      <c r="AW84" s="55"/>
      <c r="AX84" s="53"/>
      <c r="AY84" s="54"/>
      <c r="AZ84" s="54"/>
      <c r="BA84" s="55"/>
      <c r="BB84" s="53"/>
      <c r="BC84" s="54"/>
      <c r="BD84" s="54"/>
      <c r="BE84" s="55"/>
      <c r="BF84" s="53"/>
      <c r="BG84" s="54"/>
      <c r="BH84" s="54"/>
      <c r="BI84" s="55"/>
      <c r="BJ84" s="53"/>
      <c r="BK84" s="54"/>
      <c r="BL84" s="54"/>
      <c r="BM84" s="55"/>
    </row>
    <row r="85" spans="2:65" x14ac:dyDescent="0.25">
      <c r="B85" s="53" t="s">
        <v>14</v>
      </c>
      <c r="C85" s="54">
        <v>2841100500100</v>
      </c>
      <c r="D85" s="54" t="s">
        <v>14</v>
      </c>
      <c r="E85" s="55">
        <v>2841100300100</v>
      </c>
      <c r="F85" s="53" t="s">
        <v>14</v>
      </c>
      <c r="G85" s="54" t="s">
        <v>1554</v>
      </c>
      <c r="H85" s="54" t="s">
        <v>1554</v>
      </c>
      <c r="I85" s="55"/>
      <c r="J85" s="53" t="s">
        <v>453</v>
      </c>
      <c r="K85" s="54" t="s">
        <v>453</v>
      </c>
      <c r="L85" s="54" t="s">
        <v>14</v>
      </c>
      <c r="M85" s="55"/>
      <c r="N85" s="53" t="s">
        <v>1555</v>
      </c>
      <c r="O85" s="54" t="s">
        <v>1235</v>
      </c>
      <c r="P85" s="54" t="s">
        <v>1235</v>
      </c>
      <c r="Q85" s="55" t="s">
        <v>14</v>
      </c>
      <c r="R85" s="53" t="s">
        <v>14</v>
      </c>
      <c r="S85" s="54" t="s">
        <v>15</v>
      </c>
      <c r="T85" s="54" t="s">
        <v>566</v>
      </c>
      <c r="U85" s="55" t="s">
        <v>14</v>
      </c>
      <c r="V85" s="53" t="s">
        <v>1560</v>
      </c>
      <c r="W85" s="54" t="s">
        <v>14</v>
      </c>
      <c r="X85" s="54" t="s">
        <v>1563</v>
      </c>
      <c r="Y85" s="55" t="s">
        <v>1565</v>
      </c>
      <c r="Z85" s="53" t="s">
        <v>14</v>
      </c>
      <c r="AA85" s="54" t="s">
        <v>1582</v>
      </c>
      <c r="AB85" s="54" t="s">
        <v>1584</v>
      </c>
      <c r="AC85" s="55" t="s">
        <v>14</v>
      </c>
      <c r="AD85" s="53" t="s">
        <v>1606</v>
      </c>
      <c r="AE85" s="54" t="s">
        <v>1608</v>
      </c>
      <c r="AF85" s="54" t="s">
        <v>1610</v>
      </c>
      <c r="AG85" s="55" t="s">
        <v>14</v>
      </c>
      <c r="AH85" s="53" t="s">
        <v>1616</v>
      </c>
      <c r="AI85" s="54" t="s">
        <v>1616</v>
      </c>
      <c r="AJ85" s="54" t="s">
        <v>1616</v>
      </c>
      <c r="AK85" s="55"/>
      <c r="AL85" s="53" t="s">
        <v>1628</v>
      </c>
      <c r="AM85" s="54" t="s">
        <v>1628</v>
      </c>
      <c r="AN85" s="54" t="s">
        <v>563</v>
      </c>
      <c r="AO85" s="55"/>
      <c r="AP85" s="53" t="s">
        <v>1646</v>
      </c>
      <c r="AQ85" s="54" t="s">
        <v>14</v>
      </c>
      <c r="AR85" s="54" t="s">
        <v>1646</v>
      </c>
      <c r="AS85" s="55"/>
      <c r="AT85" s="53"/>
      <c r="AU85" s="54"/>
      <c r="AV85" s="54"/>
      <c r="AW85" s="55"/>
      <c r="AX85" s="53"/>
      <c r="AY85" s="54"/>
      <c r="AZ85" s="54"/>
      <c r="BA85" s="55"/>
      <c r="BB85" s="53"/>
      <c r="BC85" s="54"/>
      <c r="BD85" s="54"/>
      <c r="BE85" s="55"/>
      <c r="BF85" s="53"/>
      <c r="BG85" s="54"/>
      <c r="BH85" s="54"/>
      <c r="BI85" s="55"/>
      <c r="BJ85" s="53"/>
      <c r="BK85" s="54"/>
      <c r="BL85" s="54"/>
      <c r="BM85" s="55"/>
    </row>
    <row r="86" spans="2:65" x14ac:dyDescent="0.25">
      <c r="B86" s="53" t="s">
        <v>584</v>
      </c>
      <c r="C86" s="54" t="s">
        <v>585</v>
      </c>
      <c r="D86" s="54" t="s">
        <v>586</v>
      </c>
      <c r="E86" s="55" t="s">
        <v>587</v>
      </c>
      <c r="F86" s="53" t="s">
        <v>588</v>
      </c>
      <c r="G86" s="54" t="s">
        <v>589</v>
      </c>
      <c r="H86" s="54" t="s">
        <v>590</v>
      </c>
      <c r="I86" s="55"/>
      <c r="J86" s="53" t="s">
        <v>591</v>
      </c>
      <c r="K86" s="54" t="s">
        <v>592</v>
      </c>
      <c r="L86" s="54" t="s">
        <v>593</v>
      </c>
      <c r="M86" s="55"/>
      <c r="N86" s="53" t="s">
        <v>594</v>
      </c>
      <c r="O86" s="54" t="s">
        <v>595</v>
      </c>
      <c r="P86" s="54" t="s">
        <v>596</v>
      </c>
      <c r="Q86" s="55" t="s">
        <v>597</v>
      </c>
      <c r="R86" s="53" t="s">
        <v>598</v>
      </c>
      <c r="S86" s="54" t="s">
        <v>599</v>
      </c>
      <c r="T86" s="54" t="s">
        <v>600</v>
      </c>
      <c r="U86" s="55" t="s">
        <v>601</v>
      </c>
      <c r="V86" s="53" t="s">
        <v>1559</v>
      </c>
      <c r="W86" s="54" t="s">
        <v>1561</v>
      </c>
      <c r="X86" s="54" t="s">
        <v>1562</v>
      </c>
      <c r="Y86" s="55" t="s">
        <v>1564</v>
      </c>
      <c r="Z86" s="53" t="s">
        <v>1580</v>
      </c>
      <c r="AA86" s="54" t="s">
        <v>1581</v>
      </c>
      <c r="AB86" s="54" t="s">
        <v>1583</v>
      </c>
      <c r="AC86" s="55" t="s">
        <v>1585</v>
      </c>
      <c r="AD86" s="53" t="s">
        <v>1605</v>
      </c>
      <c r="AE86" s="54" t="s">
        <v>1607</v>
      </c>
      <c r="AF86" s="54" t="s">
        <v>1609</v>
      </c>
      <c r="AG86" s="55" t="s">
        <v>1611</v>
      </c>
      <c r="AH86" s="53" t="s">
        <v>1615</v>
      </c>
      <c r="AI86" s="54" t="s">
        <v>1617</v>
      </c>
      <c r="AJ86" s="54" t="s">
        <v>1618</v>
      </c>
      <c r="AK86" s="55"/>
      <c r="AL86" s="53" t="s">
        <v>1627</v>
      </c>
      <c r="AM86" s="54" t="s">
        <v>1629</v>
      </c>
      <c r="AN86" s="54" t="s">
        <v>1630</v>
      </c>
      <c r="AO86" s="55"/>
      <c r="AP86" s="53" t="s">
        <v>1645</v>
      </c>
      <c r="AQ86" s="54" t="s">
        <v>1647</v>
      </c>
      <c r="AR86" s="54" t="s">
        <v>1648</v>
      </c>
      <c r="AS86" s="55"/>
      <c r="AT86" s="53"/>
      <c r="AU86" s="54"/>
      <c r="AV86" s="54"/>
      <c r="AW86" s="55"/>
      <c r="AX86" s="53"/>
      <c r="AY86" s="54"/>
      <c r="AZ86" s="54"/>
      <c r="BA86" s="55"/>
      <c r="BB86" s="53"/>
      <c r="BC86" s="54"/>
      <c r="BD86" s="54"/>
      <c r="BE86" s="55"/>
      <c r="BF86" s="53"/>
      <c r="BG86" s="54"/>
      <c r="BH86" s="54"/>
      <c r="BI86" s="55"/>
      <c r="BJ86" s="53"/>
      <c r="BK86" s="54"/>
      <c r="BL86" s="54"/>
      <c r="BM86" s="55"/>
    </row>
    <row r="109" spans="2:65" x14ac:dyDescent="0.25">
      <c r="B109" s="44"/>
      <c r="C109" s="45"/>
      <c r="D109" s="45"/>
      <c r="E109" s="46"/>
      <c r="F109" s="44"/>
      <c r="G109" s="45"/>
      <c r="H109" s="45"/>
      <c r="I109" s="46"/>
      <c r="J109" s="44"/>
      <c r="K109" s="45"/>
      <c r="L109" s="45"/>
      <c r="M109" s="46"/>
      <c r="N109" s="44"/>
      <c r="O109" s="45"/>
      <c r="P109" s="45"/>
      <c r="Q109" s="46"/>
      <c r="R109" s="44"/>
      <c r="S109" s="45"/>
      <c r="T109" s="45"/>
      <c r="U109" s="46"/>
      <c r="V109" s="44"/>
      <c r="W109" s="45"/>
      <c r="X109" s="45"/>
      <c r="Y109" s="46"/>
      <c r="Z109" s="44"/>
      <c r="AA109" s="45"/>
      <c r="AB109" s="45"/>
      <c r="AC109" s="46"/>
      <c r="AD109" s="44"/>
      <c r="AE109" s="45"/>
      <c r="AF109" s="45"/>
      <c r="AG109" s="46"/>
      <c r="AH109" s="44"/>
      <c r="AI109" s="45"/>
      <c r="AJ109" s="45"/>
      <c r="AK109" s="46"/>
      <c r="AL109" s="44"/>
      <c r="AM109" s="45"/>
      <c r="AN109" s="45"/>
      <c r="AO109" s="46"/>
      <c r="AP109" s="44"/>
      <c r="AQ109" s="45"/>
      <c r="AR109" s="45"/>
      <c r="AS109" s="46"/>
      <c r="AT109" s="44"/>
      <c r="AU109" s="45"/>
      <c r="AV109" s="45"/>
      <c r="AW109" s="46"/>
      <c r="AX109" s="44"/>
      <c r="AY109" s="45"/>
      <c r="AZ109" s="45"/>
      <c r="BA109" s="46"/>
      <c r="BB109" s="44">
        <v>1</v>
      </c>
      <c r="BC109" s="45">
        <v>1</v>
      </c>
      <c r="BD109" s="45"/>
      <c r="BE109" s="46"/>
      <c r="BF109" s="44"/>
      <c r="BG109" s="45"/>
      <c r="BH109" s="45"/>
      <c r="BI109" s="46"/>
      <c r="BJ109" s="44"/>
      <c r="BK109" s="45"/>
      <c r="BL109" s="45"/>
      <c r="BM109" s="46"/>
    </row>
    <row r="110" spans="2:65" x14ac:dyDescent="0.25">
      <c r="B110" s="44"/>
      <c r="C110" s="45"/>
      <c r="D110" s="45"/>
      <c r="E110" s="46"/>
      <c r="F110" s="44"/>
      <c r="G110" s="45"/>
      <c r="H110" s="45"/>
      <c r="I110" s="46"/>
      <c r="J110" s="44"/>
      <c r="K110" s="45"/>
      <c r="L110" s="45"/>
      <c r="M110" s="46"/>
      <c r="N110" s="44"/>
      <c r="O110" s="45"/>
      <c r="P110" s="45"/>
      <c r="Q110" s="46"/>
      <c r="R110" s="44"/>
      <c r="S110" s="45"/>
      <c r="T110" s="45"/>
      <c r="U110" s="46"/>
      <c r="V110" s="44"/>
      <c r="W110" s="45"/>
      <c r="X110" s="45"/>
      <c r="Y110" s="46"/>
      <c r="Z110" s="44"/>
      <c r="AA110" s="45"/>
      <c r="AB110" s="45"/>
      <c r="AC110" s="46"/>
      <c r="AD110" s="44"/>
      <c r="AE110" s="45"/>
      <c r="AF110" s="45"/>
      <c r="AG110" s="46"/>
      <c r="AH110" s="44"/>
      <c r="AI110" s="45"/>
      <c r="AJ110" s="45"/>
      <c r="AK110" s="46"/>
      <c r="AL110" s="44"/>
      <c r="AM110" s="45"/>
      <c r="AN110" s="45"/>
      <c r="AO110" s="46"/>
      <c r="AP110" s="44"/>
      <c r="AQ110" s="45"/>
      <c r="AR110" s="45"/>
      <c r="AS110" s="46"/>
      <c r="AT110" s="44"/>
      <c r="AU110" s="45"/>
      <c r="AV110" s="45"/>
      <c r="AW110" s="46"/>
      <c r="AX110" s="44"/>
      <c r="AY110" s="45"/>
      <c r="AZ110" s="45"/>
      <c r="BA110" s="46"/>
      <c r="BB110" s="44" t="s">
        <v>172</v>
      </c>
      <c r="BC110" s="45" t="s">
        <v>172</v>
      </c>
      <c r="BD110" s="45"/>
      <c r="BE110" s="46"/>
      <c r="BF110" s="44" t="s">
        <v>14</v>
      </c>
      <c r="BG110" s="45" t="s">
        <v>14</v>
      </c>
      <c r="BH110" s="45" t="s">
        <v>14</v>
      </c>
      <c r="BI110" s="46" t="s">
        <v>14</v>
      </c>
      <c r="BJ110" s="44"/>
      <c r="BK110" s="45"/>
      <c r="BL110" s="45"/>
      <c r="BM110" s="46"/>
    </row>
    <row r="111" spans="2:65" x14ac:dyDescent="0.25">
      <c r="B111" s="44"/>
      <c r="C111" s="45"/>
      <c r="D111" s="45"/>
      <c r="E111" s="46"/>
      <c r="F111" s="44"/>
      <c r="G111" s="45"/>
      <c r="H111" s="45"/>
      <c r="I111" s="46"/>
      <c r="J111" s="44"/>
      <c r="K111" s="45"/>
      <c r="L111" s="45"/>
      <c r="M111" s="46"/>
      <c r="N111" s="44"/>
      <c r="O111" s="45"/>
      <c r="P111" s="45"/>
      <c r="Q111" s="46"/>
      <c r="R111" s="44"/>
      <c r="S111" s="45"/>
      <c r="T111" s="45"/>
      <c r="U111" s="46"/>
      <c r="V111" s="44"/>
      <c r="W111" s="45"/>
      <c r="X111" s="45"/>
      <c r="Y111" s="46"/>
      <c r="Z111" s="44"/>
      <c r="AA111" s="45"/>
      <c r="AB111" s="45"/>
      <c r="AC111" s="46"/>
      <c r="AD111" s="44"/>
      <c r="AE111" s="45"/>
      <c r="AF111" s="45"/>
      <c r="AG111" s="46"/>
      <c r="AH111" s="44"/>
      <c r="AI111" s="45"/>
      <c r="AJ111" s="45"/>
      <c r="AK111" s="46"/>
      <c r="AL111" s="44"/>
      <c r="AM111" s="45"/>
      <c r="AN111" s="45"/>
      <c r="AO111" s="46"/>
      <c r="AP111" s="44"/>
      <c r="AQ111" s="45"/>
      <c r="AR111" s="45"/>
      <c r="AS111" s="46"/>
      <c r="AT111" s="44"/>
      <c r="AU111" s="45"/>
      <c r="AV111" s="45"/>
      <c r="AW111" s="46"/>
      <c r="AX111" s="44"/>
      <c r="AY111" s="45"/>
      <c r="AZ111" s="45"/>
      <c r="BA111" s="46"/>
      <c r="BB111" s="44" t="s">
        <v>173</v>
      </c>
      <c r="BC111" s="45" t="s">
        <v>174</v>
      </c>
      <c r="BD111" s="45"/>
      <c r="BE111" s="46"/>
      <c r="BF111" s="44" t="s">
        <v>175</v>
      </c>
      <c r="BG111" s="45" t="s">
        <v>176</v>
      </c>
      <c r="BH111" s="45" t="s">
        <v>177</v>
      </c>
      <c r="BI111" s="46" t="s">
        <v>178</v>
      </c>
      <c r="BJ111" s="44"/>
      <c r="BK111" s="45"/>
      <c r="BL111" s="45"/>
      <c r="BM111" s="46"/>
    </row>
    <row r="112" spans="2:65" x14ac:dyDescent="0.25">
      <c r="B112" s="47">
        <v>1</v>
      </c>
      <c r="C112" s="48">
        <v>1</v>
      </c>
      <c r="D112" s="48">
        <v>1</v>
      </c>
      <c r="E112" s="49"/>
      <c r="F112" s="47">
        <v>1</v>
      </c>
      <c r="G112" s="48">
        <v>1</v>
      </c>
      <c r="H112" s="48">
        <v>1</v>
      </c>
      <c r="I112" s="49"/>
      <c r="J112" s="47">
        <v>1</v>
      </c>
      <c r="K112" s="48">
        <v>1</v>
      </c>
      <c r="L112" s="48"/>
      <c r="M112" s="49"/>
      <c r="N112" s="47"/>
      <c r="O112" s="48"/>
      <c r="P112" s="48"/>
      <c r="Q112" s="49"/>
      <c r="R112" s="47"/>
      <c r="S112" s="48"/>
      <c r="T112" s="48"/>
      <c r="U112" s="49"/>
      <c r="V112" s="47"/>
      <c r="W112" s="48"/>
      <c r="X112" s="48"/>
      <c r="Y112" s="49"/>
      <c r="Z112" s="47"/>
      <c r="AA112" s="48"/>
      <c r="AB112" s="48"/>
      <c r="AC112" s="49"/>
      <c r="AD112" s="47"/>
      <c r="AE112" s="48"/>
      <c r="AF112" s="48"/>
      <c r="AG112" s="49"/>
      <c r="AH112" s="47"/>
      <c r="AI112" s="48"/>
      <c r="AJ112" s="48"/>
      <c r="AK112" s="49"/>
      <c r="AL112" s="47"/>
      <c r="AM112" s="48"/>
      <c r="AN112" s="48"/>
      <c r="AO112" s="49"/>
      <c r="AP112" s="47"/>
      <c r="AQ112" s="48"/>
      <c r="AR112" s="48"/>
      <c r="AS112" s="49"/>
      <c r="AT112" s="47"/>
      <c r="AU112" s="48"/>
      <c r="AV112" s="48"/>
      <c r="AW112" s="49"/>
      <c r="AX112" s="47"/>
      <c r="AY112" s="48"/>
      <c r="AZ112" s="48"/>
      <c r="BA112" s="49"/>
      <c r="BB112" s="47"/>
      <c r="BC112" s="48">
        <v>1</v>
      </c>
      <c r="BD112" s="48"/>
      <c r="BE112" s="49"/>
      <c r="BF112" s="47">
        <v>1</v>
      </c>
      <c r="BG112" s="48">
        <v>1</v>
      </c>
      <c r="BH112" s="48">
        <v>1</v>
      </c>
      <c r="BI112" s="49"/>
      <c r="BJ112" s="47">
        <v>1</v>
      </c>
      <c r="BK112" s="48">
        <v>1</v>
      </c>
      <c r="BL112" s="48">
        <v>1</v>
      </c>
      <c r="BM112" s="49"/>
    </row>
    <row r="113" spans="2:65" x14ac:dyDescent="0.25">
      <c r="B113" s="47" t="s">
        <v>179</v>
      </c>
      <c r="C113" s="48" t="s">
        <v>179</v>
      </c>
      <c r="D113" s="48" t="s">
        <v>179</v>
      </c>
      <c r="E113" s="49"/>
      <c r="F113" s="47" t="s">
        <v>180</v>
      </c>
      <c r="G113" s="48" t="s">
        <v>180</v>
      </c>
      <c r="H113" s="48" t="s">
        <v>180</v>
      </c>
      <c r="I113" s="49"/>
      <c r="J113" s="47" t="s">
        <v>181</v>
      </c>
      <c r="K113" s="48" t="s">
        <v>182</v>
      </c>
      <c r="L113" s="48"/>
      <c r="M113" s="49"/>
      <c r="N113" s="47"/>
      <c r="O113" s="48"/>
      <c r="P113" s="48"/>
      <c r="Q113" s="49"/>
      <c r="R113" s="47"/>
      <c r="S113" s="48"/>
      <c r="T113" s="48"/>
      <c r="U113" s="49"/>
      <c r="V113" s="47"/>
      <c r="W113" s="48"/>
      <c r="X113" s="48"/>
      <c r="Y113" s="49"/>
      <c r="Z113" s="47"/>
      <c r="AA113" s="48"/>
      <c r="AB113" s="48"/>
      <c r="AC113" s="49"/>
      <c r="AD113" s="47"/>
      <c r="AE113" s="48"/>
      <c r="AF113" s="48"/>
      <c r="AG113" s="49"/>
      <c r="AH113" s="47"/>
      <c r="AI113" s="48"/>
      <c r="AJ113" s="48"/>
      <c r="AK113" s="49"/>
      <c r="AL113" s="47"/>
      <c r="AM113" s="48"/>
      <c r="AN113" s="48"/>
      <c r="AO113" s="49"/>
      <c r="AP113" s="47"/>
      <c r="AQ113" s="48"/>
      <c r="AR113" s="48"/>
      <c r="AS113" s="49"/>
      <c r="AT113" s="47"/>
      <c r="AU113" s="48"/>
      <c r="AV113" s="48"/>
      <c r="AW113" s="49"/>
      <c r="AX113" s="47"/>
      <c r="AY113" s="48"/>
      <c r="AZ113" s="48"/>
      <c r="BA113" s="49"/>
      <c r="BB113" s="47" t="s">
        <v>14</v>
      </c>
      <c r="BC113" s="48" t="s">
        <v>183</v>
      </c>
      <c r="BD113" s="48"/>
      <c r="BE113" s="49"/>
      <c r="BF113" s="47" t="s">
        <v>184</v>
      </c>
      <c r="BG113" s="48" t="s">
        <v>184</v>
      </c>
      <c r="BH113" s="48" t="s">
        <v>184</v>
      </c>
      <c r="BI113" s="49"/>
      <c r="BJ113" s="47" t="s">
        <v>185</v>
      </c>
      <c r="BK113" s="48" t="s">
        <v>185</v>
      </c>
      <c r="BL113" s="48" t="s">
        <v>185</v>
      </c>
      <c r="BM113" s="49"/>
    </row>
    <row r="114" spans="2:65" x14ac:dyDescent="0.25">
      <c r="B114" s="47" t="s">
        <v>186</v>
      </c>
      <c r="C114" s="48" t="s">
        <v>187</v>
      </c>
      <c r="D114" s="48" t="s">
        <v>188</v>
      </c>
      <c r="E114" s="49"/>
      <c r="F114" s="47" t="s">
        <v>189</v>
      </c>
      <c r="G114" s="48" t="s">
        <v>190</v>
      </c>
      <c r="H114" s="48" t="s">
        <v>191</v>
      </c>
      <c r="I114" s="49"/>
      <c r="J114" s="47" t="s">
        <v>192</v>
      </c>
      <c r="K114" s="48" t="s">
        <v>193</v>
      </c>
      <c r="L114" s="48"/>
      <c r="M114" s="49"/>
      <c r="N114" s="47"/>
      <c r="O114" s="48"/>
      <c r="P114" s="48"/>
      <c r="Q114" s="49"/>
      <c r="R114" s="47"/>
      <c r="S114" s="48"/>
      <c r="T114" s="48"/>
      <c r="U114" s="49"/>
      <c r="V114" s="47"/>
      <c r="W114" s="48"/>
      <c r="X114" s="48"/>
      <c r="Y114" s="49"/>
      <c r="Z114" s="47"/>
      <c r="AA114" s="48"/>
      <c r="AB114" s="48"/>
      <c r="AC114" s="49"/>
      <c r="AD114" s="47"/>
      <c r="AE114" s="48"/>
      <c r="AF114" s="48"/>
      <c r="AG114" s="49"/>
      <c r="AH114" s="47"/>
      <c r="AI114" s="48"/>
      <c r="AJ114" s="48"/>
      <c r="AK114" s="49"/>
      <c r="AL114" s="47"/>
      <c r="AM114" s="48"/>
      <c r="AN114" s="48"/>
      <c r="AO114" s="49"/>
      <c r="AP114" s="47"/>
      <c r="AQ114" s="48"/>
      <c r="AR114" s="48"/>
      <c r="AS114" s="49"/>
      <c r="AT114" s="47"/>
      <c r="AU114" s="48"/>
      <c r="AV114" s="48"/>
      <c r="AW114" s="49"/>
      <c r="AX114" s="47"/>
      <c r="AY114" s="48"/>
      <c r="AZ114" s="48"/>
      <c r="BA114" s="49"/>
      <c r="BB114" s="47" t="s">
        <v>194</v>
      </c>
      <c r="BC114" s="48" t="s">
        <v>195</v>
      </c>
      <c r="BD114" s="48"/>
      <c r="BE114" s="49"/>
      <c r="BF114" s="47" t="s">
        <v>196</v>
      </c>
      <c r="BG114" s="48" t="s">
        <v>197</v>
      </c>
      <c r="BH114" s="48" t="s">
        <v>198</v>
      </c>
      <c r="BI114" s="49"/>
      <c r="BJ114" s="47" t="s">
        <v>199</v>
      </c>
      <c r="BK114" s="48" t="s">
        <v>200</v>
      </c>
      <c r="BL114" s="48" t="s">
        <v>201</v>
      </c>
      <c r="BM114" s="49"/>
    </row>
    <row r="115" spans="2:65" x14ac:dyDescent="0.25">
      <c r="B115" s="50">
        <v>1</v>
      </c>
      <c r="C115" s="51">
        <v>1</v>
      </c>
      <c r="D115" s="51">
        <v>1</v>
      </c>
      <c r="E115" s="52"/>
      <c r="F115" s="50">
        <v>1</v>
      </c>
      <c r="G115" s="51">
        <v>1</v>
      </c>
      <c r="H115" s="51">
        <v>1</v>
      </c>
      <c r="I115" s="52"/>
      <c r="J115" s="50">
        <v>1</v>
      </c>
      <c r="K115" s="51">
        <v>1</v>
      </c>
      <c r="L115" s="51"/>
      <c r="M115" s="52"/>
      <c r="N115" s="50"/>
      <c r="O115" s="51"/>
      <c r="P115" s="51"/>
      <c r="Q115" s="52"/>
      <c r="R115" s="50"/>
      <c r="S115" s="51"/>
      <c r="T115" s="51"/>
      <c r="U115" s="52"/>
      <c r="V115" s="50"/>
      <c r="W115" s="51"/>
      <c r="X115" s="51"/>
      <c r="Y115" s="52"/>
      <c r="Z115" s="50"/>
      <c r="AA115" s="51"/>
      <c r="AB115" s="51"/>
      <c r="AC115" s="52"/>
      <c r="AD115" s="50"/>
      <c r="AE115" s="51"/>
      <c r="AF115" s="51"/>
      <c r="AG115" s="52"/>
      <c r="AH115" s="50"/>
      <c r="AI115" s="51"/>
      <c r="AJ115" s="51"/>
      <c r="AK115" s="52"/>
      <c r="AL115" s="50"/>
      <c r="AM115" s="51"/>
      <c r="AN115" s="51"/>
      <c r="AO115" s="52"/>
      <c r="AP115" s="50"/>
      <c r="AQ115" s="51"/>
      <c r="AR115" s="51"/>
      <c r="AS115" s="52"/>
      <c r="AT115" s="50"/>
      <c r="AU115" s="51"/>
      <c r="AV115" s="51"/>
      <c r="AW115" s="52"/>
      <c r="AX115" s="50"/>
      <c r="AY115" s="51"/>
      <c r="AZ115" s="51"/>
      <c r="BA115" s="52"/>
      <c r="BB115" s="50">
        <v>1</v>
      </c>
      <c r="BC115" s="51">
        <v>1</v>
      </c>
      <c r="BD115" s="51"/>
      <c r="BE115" s="52"/>
      <c r="BF115" s="50">
        <v>1</v>
      </c>
      <c r="BG115" s="51">
        <v>1</v>
      </c>
      <c r="BH115" s="51">
        <v>1</v>
      </c>
      <c r="BI115" s="52"/>
      <c r="BJ115" s="50">
        <v>1</v>
      </c>
      <c r="BK115" s="51">
        <v>1</v>
      </c>
      <c r="BL115" s="51">
        <v>1</v>
      </c>
      <c r="BM115" s="52"/>
    </row>
    <row r="116" spans="2:65" x14ac:dyDescent="0.25">
      <c r="B116" s="50" t="s">
        <v>15</v>
      </c>
      <c r="C116" s="51" t="s">
        <v>15</v>
      </c>
      <c r="D116" s="51" t="s">
        <v>15</v>
      </c>
      <c r="E116" s="52"/>
      <c r="F116" s="50" t="s">
        <v>180</v>
      </c>
      <c r="G116" s="51" t="s">
        <v>180</v>
      </c>
      <c r="H116" s="51" t="s">
        <v>180</v>
      </c>
      <c r="I116" s="52"/>
      <c r="J116" s="50" t="s">
        <v>180</v>
      </c>
      <c r="K116" s="51" t="s">
        <v>180</v>
      </c>
      <c r="L116" s="51"/>
      <c r="M116" s="52"/>
      <c r="N116" s="50"/>
      <c r="O116" s="51"/>
      <c r="P116" s="51"/>
      <c r="Q116" s="52"/>
      <c r="R116" s="50"/>
      <c r="S116" s="51"/>
      <c r="T116" s="51"/>
      <c r="U116" s="52"/>
      <c r="V116" s="50"/>
      <c r="W116" s="51"/>
      <c r="X116" s="51"/>
      <c r="Y116" s="52"/>
      <c r="Z116" s="50"/>
      <c r="AA116" s="51"/>
      <c r="AB116" s="51"/>
      <c r="AC116" s="52"/>
      <c r="AD116" s="50"/>
      <c r="AE116" s="51"/>
      <c r="AF116" s="51"/>
      <c r="AG116" s="52"/>
      <c r="AH116" s="50"/>
      <c r="AI116" s="51"/>
      <c r="AJ116" s="51"/>
      <c r="AK116" s="52"/>
      <c r="AL116" s="50"/>
      <c r="AM116" s="51"/>
      <c r="AN116" s="51"/>
      <c r="AO116" s="52"/>
      <c r="AP116" s="50"/>
      <c r="AQ116" s="51"/>
      <c r="AR116" s="51"/>
      <c r="AS116" s="52"/>
      <c r="AT116" s="50"/>
      <c r="AU116" s="51"/>
      <c r="AV116" s="51"/>
      <c r="AW116" s="52"/>
      <c r="AX116" s="50"/>
      <c r="AY116" s="51"/>
      <c r="AZ116" s="51"/>
      <c r="BA116" s="52"/>
      <c r="BB116" s="50" t="s">
        <v>202</v>
      </c>
      <c r="BC116" s="51" t="s">
        <v>202</v>
      </c>
      <c r="BD116" s="51"/>
      <c r="BE116" s="52"/>
      <c r="BF116" s="50" t="s">
        <v>203</v>
      </c>
      <c r="BG116" s="51" t="s">
        <v>203</v>
      </c>
      <c r="BH116" s="51" t="s">
        <v>203</v>
      </c>
      <c r="BI116" s="52"/>
      <c r="BJ116" s="50" t="s">
        <v>15</v>
      </c>
      <c r="BK116" s="51" t="s">
        <v>15</v>
      </c>
      <c r="BL116" s="51" t="s">
        <v>15</v>
      </c>
      <c r="BM116" s="52"/>
    </row>
    <row r="117" spans="2:65" x14ac:dyDescent="0.25">
      <c r="B117" s="50" t="s">
        <v>204</v>
      </c>
      <c r="C117" s="51" t="s">
        <v>205</v>
      </c>
      <c r="D117" s="51" t="s">
        <v>206</v>
      </c>
      <c r="E117" s="52"/>
      <c r="F117" s="50" t="s">
        <v>207</v>
      </c>
      <c r="G117" s="51" t="s">
        <v>208</v>
      </c>
      <c r="H117" s="51" t="s">
        <v>209</v>
      </c>
      <c r="I117" s="52"/>
      <c r="J117" s="50" t="s">
        <v>210</v>
      </c>
      <c r="K117" s="51" t="s">
        <v>211</v>
      </c>
      <c r="L117" s="51"/>
      <c r="M117" s="52"/>
      <c r="N117" s="50"/>
      <c r="O117" s="51"/>
      <c r="P117" s="51"/>
      <c r="Q117" s="52"/>
      <c r="R117" s="50"/>
      <c r="S117" s="51"/>
      <c r="T117" s="51"/>
      <c r="U117" s="52"/>
      <c r="V117" s="50"/>
      <c r="W117" s="51"/>
      <c r="X117" s="51"/>
      <c r="Y117" s="52"/>
      <c r="Z117" s="50"/>
      <c r="AA117" s="51"/>
      <c r="AB117" s="51"/>
      <c r="AC117" s="52"/>
      <c r="AD117" s="50"/>
      <c r="AE117" s="51"/>
      <c r="AF117" s="51"/>
      <c r="AG117" s="52"/>
      <c r="AH117" s="50"/>
      <c r="AI117" s="51"/>
      <c r="AJ117" s="51"/>
      <c r="AK117" s="52"/>
      <c r="AL117" s="50"/>
      <c r="AM117" s="51"/>
      <c r="AN117" s="51"/>
      <c r="AO117" s="52"/>
      <c r="AP117" s="50"/>
      <c r="AQ117" s="51"/>
      <c r="AR117" s="51"/>
      <c r="AS117" s="52"/>
      <c r="AT117" s="50"/>
      <c r="AU117" s="51"/>
      <c r="AV117" s="51"/>
      <c r="AW117" s="52"/>
      <c r="AX117" s="50"/>
      <c r="AY117" s="51"/>
      <c r="AZ117" s="51"/>
      <c r="BA117" s="52"/>
      <c r="BB117" s="50" t="s">
        <v>212</v>
      </c>
      <c r="BC117" s="51" t="s">
        <v>213</v>
      </c>
      <c r="BD117" s="51"/>
      <c r="BE117" s="52"/>
      <c r="BF117" s="50" t="s">
        <v>214</v>
      </c>
      <c r="BG117" s="51" t="s">
        <v>215</v>
      </c>
      <c r="BH117" s="51" t="s">
        <v>216</v>
      </c>
      <c r="BI117" s="52"/>
      <c r="BJ117" s="50" t="s">
        <v>217</v>
      </c>
      <c r="BK117" s="51" t="s">
        <v>218</v>
      </c>
      <c r="BL117" s="51" t="s">
        <v>219</v>
      </c>
      <c r="BM117" s="52"/>
    </row>
    <row r="118" spans="2:65" x14ac:dyDescent="0.25">
      <c r="B118" s="53">
        <v>1</v>
      </c>
      <c r="C118" s="54">
        <v>1</v>
      </c>
      <c r="D118" s="54">
        <v>1</v>
      </c>
      <c r="E118" s="55"/>
      <c r="F118" s="53">
        <v>1</v>
      </c>
      <c r="G118" s="54">
        <v>1</v>
      </c>
      <c r="H118" s="54"/>
      <c r="I118" s="55">
        <v>1</v>
      </c>
      <c r="J118" s="53">
        <v>1</v>
      </c>
      <c r="K118" s="54">
        <v>1</v>
      </c>
      <c r="L118" s="54"/>
      <c r="M118" s="55"/>
      <c r="N118" s="53"/>
      <c r="O118" s="54"/>
      <c r="P118" s="54"/>
      <c r="Q118" s="55"/>
      <c r="R118" s="53"/>
      <c r="S118" s="54"/>
      <c r="T118" s="54"/>
      <c r="U118" s="55"/>
      <c r="V118" s="53"/>
      <c r="W118" s="54"/>
      <c r="X118" s="54"/>
      <c r="Y118" s="55"/>
      <c r="Z118" s="53"/>
      <c r="AA118" s="54"/>
      <c r="AB118" s="54"/>
      <c r="AC118" s="55"/>
      <c r="AD118" s="53"/>
      <c r="AE118" s="54"/>
      <c r="AF118" s="54"/>
      <c r="AG118" s="55"/>
      <c r="AH118" s="53"/>
      <c r="AI118" s="54"/>
      <c r="AJ118" s="54"/>
      <c r="AK118" s="55"/>
      <c r="AL118" s="53"/>
      <c r="AM118" s="54"/>
      <c r="AN118" s="54"/>
      <c r="AO118" s="55"/>
      <c r="AP118" s="53"/>
      <c r="AQ118" s="54"/>
      <c r="AR118" s="54"/>
      <c r="AS118" s="55"/>
      <c r="AT118" s="53"/>
      <c r="AU118" s="54"/>
      <c r="AV118" s="54"/>
      <c r="AW118" s="55"/>
      <c r="AX118" s="53"/>
      <c r="AY118" s="54"/>
      <c r="AZ118" s="54"/>
      <c r="BA118" s="55"/>
      <c r="BB118" s="53"/>
      <c r="BC118" s="54"/>
      <c r="BD118" s="54"/>
      <c r="BE118" s="55"/>
      <c r="BF118" s="53">
        <v>1</v>
      </c>
      <c r="BG118" s="54">
        <v>1</v>
      </c>
      <c r="BH118" s="54">
        <v>1</v>
      </c>
      <c r="BI118" s="55"/>
      <c r="BJ118" s="53">
        <v>1</v>
      </c>
      <c r="BK118" s="54">
        <v>1</v>
      </c>
      <c r="BL118" s="54">
        <v>1</v>
      </c>
      <c r="BM118" s="55"/>
    </row>
    <row r="119" spans="2:65" x14ac:dyDescent="0.25">
      <c r="B119" s="53" t="s">
        <v>15</v>
      </c>
      <c r="C119" s="54" t="s">
        <v>15</v>
      </c>
      <c r="D119" s="54" t="s">
        <v>15</v>
      </c>
      <c r="E119" s="55"/>
      <c r="F119" s="53" t="s">
        <v>1544</v>
      </c>
      <c r="G119" s="54" t="s">
        <v>15</v>
      </c>
      <c r="H119" s="54" t="s">
        <v>14</v>
      </c>
      <c r="I119" s="55" t="s">
        <v>15</v>
      </c>
      <c r="J119" s="53" t="s">
        <v>180</v>
      </c>
      <c r="K119" s="54" t="s">
        <v>180</v>
      </c>
      <c r="L119" s="54"/>
      <c r="M119" s="55"/>
      <c r="N119" s="53"/>
      <c r="O119" s="54"/>
      <c r="P119" s="54"/>
      <c r="Q119" s="55"/>
      <c r="R119" s="53"/>
      <c r="S119" s="54"/>
      <c r="T119" s="54"/>
      <c r="U119" s="55"/>
      <c r="V119" s="53"/>
      <c r="W119" s="54"/>
      <c r="X119" s="54"/>
      <c r="Y119" s="55"/>
      <c r="Z119" s="53"/>
      <c r="AA119" s="54"/>
      <c r="AB119" s="54"/>
      <c r="AC119" s="55"/>
      <c r="AD119" s="53"/>
      <c r="AE119" s="54"/>
      <c r="AF119" s="54"/>
      <c r="AG119" s="55"/>
      <c r="AH119" s="53"/>
      <c r="AI119" s="54"/>
      <c r="AJ119" s="54"/>
      <c r="AK119" s="55"/>
      <c r="AL119" s="53"/>
      <c r="AM119" s="54"/>
      <c r="AN119" s="54"/>
      <c r="AO119" s="55"/>
      <c r="AP119" s="53"/>
      <c r="AQ119" s="54"/>
      <c r="AR119" s="54"/>
      <c r="AS119" s="55"/>
      <c r="AT119" s="53"/>
      <c r="AU119" s="54"/>
      <c r="AV119" s="54"/>
      <c r="AW119" s="55"/>
      <c r="AX119" s="53"/>
      <c r="AY119" s="54"/>
      <c r="AZ119" s="54"/>
      <c r="BA119" s="55"/>
      <c r="BB119" s="53" t="s">
        <v>14</v>
      </c>
      <c r="BC119" s="54" t="s">
        <v>14</v>
      </c>
      <c r="BD119" s="54"/>
      <c r="BE119" s="55"/>
      <c r="BF119" s="53" t="s">
        <v>203</v>
      </c>
      <c r="BG119" s="54" t="s">
        <v>203</v>
      </c>
      <c r="BH119" s="54" t="s">
        <v>203</v>
      </c>
      <c r="BI119" s="55"/>
      <c r="BJ119" s="53" t="s">
        <v>220</v>
      </c>
      <c r="BK119" s="54" t="s">
        <v>220</v>
      </c>
      <c r="BL119" s="54" t="s">
        <v>220</v>
      </c>
      <c r="BM119" s="55"/>
    </row>
    <row r="120" spans="2:65" x14ac:dyDescent="0.25">
      <c r="B120" s="53" t="s">
        <v>221</v>
      </c>
      <c r="C120" s="54" t="s">
        <v>222</v>
      </c>
      <c r="D120" s="54" t="s">
        <v>223</v>
      </c>
      <c r="E120" s="55"/>
      <c r="F120" s="53" t="s">
        <v>224</v>
      </c>
      <c r="G120" s="54" t="s">
        <v>225</v>
      </c>
      <c r="H120" s="54" t="s">
        <v>226</v>
      </c>
      <c r="I120" s="55" t="s">
        <v>227</v>
      </c>
      <c r="J120" s="53" t="s">
        <v>228</v>
      </c>
      <c r="K120" s="54" t="s">
        <v>229</v>
      </c>
      <c r="L120" s="54"/>
      <c r="M120" s="55"/>
      <c r="N120" s="53"/>
      <c r="O120" s="54"/>
      <c r="P120" s="54"/>
      <c r="Q120" s="55"/>
      <c r="R120" s="53"/>
      <c r="S120" s="54"/>
      <c r="T120" s="54"/>
      <c r="U120" s="55"/>
      <c r="V120" s="53"/>
      <c r="W120" s="54"/>
      <c r="X120" s="54"/>
      <c r="Y120" s="55"/>
      <c r="Z120" s="53"/>
      <c r="AA120" s="54"/>
      <c r="AB120" s="54"/>
      <c r="AC120" s="55"/>
      <c r="AD120" s="53"/>
      <c r="AE120" s="54"/>
      <c r="AF120" s="54"/>
      <c r="AG120" s="55"/>
      <c r="AH120" s="53"/>
      <c r="AI120" s="54"/>
      <c r="AJ120" s="54"/>
      <c r="AK120" s="55"/>
      <c r="AL120" s="53"/>
      <c r="AM120" s="54"/>
      <c r="AN120" s="54"/>
      <c r="AO120" s="55"/>
      <c r="AP120" s="53"/>
      <c r="AQ120" s="54"/>
      <c r="AR120" s="54"/>
      <c r="AS120" s="55"/>
      <c r="AT120" s="53"/>
      <c r="AU120" s="54"/>
      <c r="AV120" s="54"/>
      <c r="AW120" s="55"/>
      <c r="AX120" s="53"/>
      <c r="AY120" s="54"/>
      <c r="AZ120" s="54"/>
      <c r="BA120" s="55"/>
      <c r="BB120" s="53" t="s">
        <v>230</v>
      </c>
      <c r="BC120" s="54" t="s">
        <v>231</v>
      </c>
      <c r="BD120" s="54"/>
      <c r="BE120" s="55"/>
      <c r="BF120" s="53" t="s">
        <v>232</v>
      </c>
      <c r="BG120" s="54" t="s">
        <v>233</v>
      </c>
      <c r="BH120" s="54" t="s">
        <v>234</v>
      </c>
      <c r="BI120" s="55"/>
      <c r="BJ120" s="53" t="s">
        <v>235</v>
      </c>
      <c r="BK120" s="54" t="s">
        <v>236</v>
      </c>
      <c r="BL120" s="54" t="s">
        <v>237</v>
      </c>
      <c r="BM120" s="55"/>
    </row>
    <row r="123" spans="2:65" x14ac:dyDescent="0.25">
      <c r="B123" s="44">
        <v>1</v>
      </c>
      <c r="C123" s="45"/>
      <c r="D123" s="45">
        <v>1</v>
      </c>
      <c r="E123" s="46"/>
      <c r="F123" s="44"/>
      <c r="G123" s="45">
        <v>1</v>
      </c>
      <c r="H123" s="45">
        <v>1</v>
      </c>
      <c r="I123" s="46"/>
      <c r="J123" s="44">
        <v>1</v>
      </c>
      <c r="K123" s="45">
        <v>1</v>
      </c>
      <c r="L123" s="45"/>
      <c r="M123" s="46"/>
      <c r="N123" s="44">
        <v>1</v>
      </c>
      <c r="O123" s="45">
        <v>1</v>
      </c>
      <c r="P123" s="45">
        <v>1</v>
      </c>
      <c r="Q123" s="46"/>
      <c r="R123" s="44">
        <v>1</v>
      </c>
      <c r="S123" s="45">
        <v>1</v>
      </c>
      <c r="T123" s="45">
        <v>1</v>
      </c>
      <c r="U123" s="46"/>
      <c r="V123" s="44">
        <v>1</v>
      </c>
      <c r="W123" s="45">
        <v>1</v>
      </c>
      <c r="X123" s="45">
        <v>1</v>
      </c>
      <c r="Y123" s="46"/>
      <c r="Z123" s="44">
        <v>1</v>
      </c>
      <c r="AA123" s="45"/>
      <c r="AB123" s="45">
        <v>1</v>
      </c>
      <c r="AC123" s="46"/>
      <c r="AD123" s="44"/>
      <c r="AE123" s="45"/>
      <c r="AF123" s="45"/>
      <c r="AG123" s="46"/>
      <c r="AH123" s="44"/>
      <c r="AI123" s="45"/>
      <c r="AJ123" s="45"/>
      <c r="AK123" s="46"/>
      <c r="AL123" s="44">
        <v>1</v>
      </c>
      <c r="AM123" s="45">
        <v>1</v>
      </c>
      <c r="AN123" s="45">
        <v>1</v>
      </c>
      <c r="AO123" s="46"/>
      <c r="AP123" s="44"/>
      <c r="AQ123" s="45">
        <v>1</v>
      </c>
      <c r="AR123" s="45">
        <v>1</v>
      </c>
      <c r="AS123" s="46"/>
      <c r="AT123" s="44">
        <v>1</v>
      </c>
      <c r="AU123" s="45"/>
      <c r="AV123" s="45">
        <v>1</v>
      </c>
      <c r="AW123" s="46"/>
      <c r="AX123" s="44">
        <v>1</v>
      </c>
      <c r="AY123" s="45"/>
      <c r="AZ123" s="45">
        <v>1</v>
      </c>
      <c r="BA123" s="46"/>
      <c r="BB123" s="44">
        <v>1</v>
      </c>
      <c r="BC123" s="45">
        <v>1</v>
      </c>
      <c r="BD123" s="45"/>
      <c r="BE123" s="46"/>
      <c r="BF123" s="44">
        <v>1</v>
      </c>
      <c r="BG123" s="45">
        <v>1</v>
      </c>
      <c r="BH123" s="45">
        <v>1</v>
      </c>
      <c r="BI123" s="46"/>
      <c r="BJ123" s="44">
        <v>1</v>
      </c>
      <c r="BK123" s="45">
        <v>1</v>
      </c>
      <c r="BL123" s="45"/>
      <c r="BM123" s="46"/>
    </row>
    <row r="124" spans="2:65" x14ac:dyDescent="0.25">
      <c r="B124" s="44" t="s">
        <v>238</v>
      </c>
      <c r="C124" s="45" t="s">
        <v>14</v>
      </c>
      <c r="D124" s="45" t="s">
        <v>238</v>
      </c>
      <c r="E124" s="46"/>
      <c r="F124" s="44" t="s">
        <v>14</v>
      </c>
      <c r="G124" s="45" t="s">
        <v>239</v>
      </c>
      <c r="H124" s="45" t="s">
        <v>239</v>
      </c>
      <c r="I124" s="46"/>
      <c r="J124" s="44" t="s">
        <v>240</v>
      </c>
      <c r="K124" s="45" t="s">
        <v>240</v>
      </c>
      <c r="L124" s="45"/>
      <c r="M124" s="46"/>
      <c r="N124" s="44" t="s">
        <v>241</v>
      </c>
      <c r="O124" s="45" t="s">
        <v>241</v>
      </c>
      <c r="P124" s="45" t="s">
        <v>241</v>
      </c>
      <c r="Q124" s="46"/>
      <c r="R124" s="44" t="s">
        <v>1548</v>
      </c>
      <c r="S124" s="45" t="s">
        <v>1548</v>
      </c>
      <c r="T124" s="45" t="s">
        <v>1548</v>
      </c>
      <c r="U124" s="46"/>
      <c r="V124" s="44" t="s">
        <v>242</v>
      </c>
      <c r="W124" s="45" t="s">
        <v>242</v>
      </c>
      <c r="X124" s="45" t="s">
        <v>242</v>
      </c>
      <c r="Y124" s="46"/>
      <c r="Z124" s="44" t="s">
        <v>1549</v>
      </c>
      <c r="AA124" s="45" t="s">
        <v>14</v>
      </c>
      <c r="AB124" s="45" t="s">
        <v>1549</v>
      </c>
      <c r="AC124" s="46"/>
      <c r="AD124" s="44"/>
      <c r="AE124" s="45"/>
      <c r="AF124" s="45"/>
      <c r="AG124" s="46"/>
      <c r="AH124" s="44"/>
      <c r="AI124" s="45"/>
      <c r="AJ124" s="45"/>
      <c r="AK124" s="46"/>
      <c r="AL124" s="44" t="s">
        <v>243</v>
      </c>
      <c r="AM124" s="45" t="s">
        <v>243</v>
      </c>
      <c r="AN124" s="45" t="s">
        <v>243</v>
      </c>
      <c r="AO124" s="46"/>
      <c r="AP124" s="44" t="s">
        <v>14</v>
      </c>
      <c r="AQ124" s="45" t="s">
        <v>1550</v>
      </c>
      <c r="AR124" s="45" t="s">
        <v>1550</v>
      </c>
      <c r="AS124" s="46" t="s">
        <v>14</v>
      </c>
      <c r="AT124" s="44" t="s">
        <v>244</v>
      </c>
      <c r="AU124" s="45" t="s">
        <v>14</v>
      </c>
      <c r="AV124" s="45" t="s">
        <v>244</v>
      </c>
      <c r="AW124" s="46"/>
      <c r="AX124" s="44" t="s">
        <v>245</v>
      </c>
      <c r="AY124" s="45" t="s">
        <v>14</v>
      </c>
      <c r="AZ124" s="45" t="s">
        <v>245</v>
      </c>
      <c r="BA124" s="46" t="s">
        <v>14</v>
      </c>
      <c r="BB124" s="44" t="s">
        <v>246</v>
      </c>
      <c r="BC124" s="45" t="s">
        <v>246</v>
      </c>
      <c r="BD124" s="45"/>
      <c r="BE124" s="46"/>
      <c r="BF124" s="44" t="s">
        <v>247</v>
      </c>
      <c r="BG124" s="45" t="s">
        <v>247</v>
      </c>
      <c r="BH124" s="45" t="s">
        <v>247</v>
      </c>
      <c r="BI124" s="46"/>
      <c r="BJ124" s="44" t="s">
        <v>248</v>
      </c>
      <c r="BK124" s="45" t="s">
        <v>248</v>
      </c>
      <c r="BL124" s="45" t="s">
        <v>14</v>
      </c>
      <c r="BM124" s="46"/>
    </row>
    <row r="125" spans="2:65" x14ac:dyDescent="0.25">
      <c r="B125" s="44" t="s">
        <v>249</v>
      </c>
      <c r="C125" s="45" t="s">
        <v>250</v>
      </c>
      <c r="D125" s="45" t="s">
        <v>251</v>
      </c>
      <c r="E125" s="46"/>
      <c r="F125" s="44" t="s">
        <v>252</v>
      </c>
      <c r="G125" s="45" t="s">
        <v>253</v>
      </c>
      <c r="H125" s="45" t="s">
        <v>254</v>
      </c>
      <c r="I125" s="46"/>
      <c r="J125" s="44" t="s">
        <v>255</v>
      </c>
      <c r="K125" s="45" t="s">
        <v>256</v>
      </c>
      <c r="L125" s="45"/>
      <c r="M125" s="46"/>
      <c r="N125" s="44" t="s">
        <v>257</v>
      </c>
      <c r="O125" s="45" t="s">
        <v>258</v>
      </c>
      <c r="P125" s="45" t="s">
        <v>259</v>
      </c>
      <c r="Q125" s="46"/>
      <c r="R125" s="44" t="s">
        <v>260</v>
      </c>
      <c r="S125" s="45" t="s">
        <v>261</v>
      </c>
      <c r="T125" s="45" t="s">
        <v>262</v>
      </c>
      <c r="U125" s="46"/>
      <c r="V125" s="44" t="s">
        <v>263</v>
      </c>
      <c r="W125" s="45" t="s">
        <v>264</v>
      </c>
      <c r="X125" s="45" t="s">
        <v>265</v>
      </c>
      <c r="Y125" s="46"/>
      <c r="Z125" s="44" t="s">
        <v>266</v>
      </c>
      <c r="AA125" s="45" t="s">
        <v>267</v>
      </c>
      <c r="AB125" s="45" t="s">
        <v>268</v>
      </c>
      <c r="AC125" s="46"/>
      <c r="AD125" s="44"/>
      <c r="AE125" s="45"/>
      <c r="AF125" s="45"/>
      <c r="AG125" s="46"/>
      <c r="AH125" s="44"/>
      <c r="AI125" s="45"/>
      <c r="AJ125" s="45"/>
      <c r="AK125" s="46"/>
      <c r="AL125" s="44" t="s">
        <v>269</v>
      </c>
      <c r="AM125" s="45" t="s">
        <v>270</v>
      </c>
      <c r="AN125" s="45" t="s">
        <v>271</v>
      </c>
      <c r="AO125" s="46"/>
      <c r="AP125" s="44" t="s">
        <v>272</v>
      </c>
      <c r="AQ125" s="45" t="s">
        <v>273</v>
      </c>
      <c r="AR125" s="45" t="s">
        <v>274</v>
      </c>
      <c r="AS125" s="46" t="s">
        <v>275</v>
      </c>
      <c r="AT125" s="44" t="s">
        <v>276</v>
      </c>
      <c r="AU125" s="45" t="s">
        <v>277</v>
      </c>
      <c r="AV125" s="45" t="s">
        <v>278</v>
      </c>
      <c r="AW125" s="46"/>
      <c r="AX125" s="44" t="s">
        <v>279</v>
      </c>
      <c r="AY125" s="45" t="s">
        <v>280</v>
      </c>
      <c r="AZ125" s="45" t="s">
        <v>281</v>
      </c>
      <c r="BA125" s="46" t="s">
        <v>282</v>
      </c>
      <c r="BB125" s="44" t="s">
        <v>283</v>
      </c>
      <c r="BC125" s="45" t="s">
        <v>284</v>
      </c>
      <c r="BD125" s="45"/>
      <c r="BE125" s="46"/>
      <c r="BF125" s="44" t="s">
        <v>285</v>
      </c>
      <c r="BG125" s="45" t="s">
        <v>286</v>
      </c>
      <c r="BH125" s="45" t="s">
        <v>287</v>
      </c>
      <c r="BI125" s="46"/>
      <c r="BJ125" s="44" t="s">
        <v>288</v>
      </c>
      <c r="BK125" s="45" t="s">
        <v>289</v>
      </c>
      <c r="BL125" s="45" t="s">
        <v>290</v>
      </c>
      <c r="BM125" s="46"/>
    </row>
    <row r="126" spans="2:65" x14ac:dyDescent="0.25">
      <c r="B126" s="47">
        <v>1</v>
      </c>
      <c r="C126" s="48">
        <v>1</v>
      </c>
      <c r="D126" s="48"/>
      <c r="E126" s="49"/>
      <c r="F126" s="47">
        <v>1</v>
      </c>
      <c r="G126" s="48">
        <v>1</v>
      </c>
      <c r="H126" s="48">
        <v>1</v>
      </c>
      <c r="I126" s="49"/>
      <c r="J126" s="47">
        <v>1</v>
      </c>
      <c r="K126" s="48">
        <v>1</v>
      </c>
      <c r="L126" s="48"/>
      <c r="M126" s="49"/>
      <c r="N126" s="47">
        <v>1</v>
      </c>
      <c r="O126" s="48">
        <v>1</v>
      </c>
      <c r="P126" s="48">
        <v>1</v>
      </c>
      <c r="Q126" s="49"/>
      <c r="R126" s="47">
        <v>1</v>
      </c>
      <c r="S126" s="48"/>
      <c r="T126" s="48"/>
      <c r="U126" s="49"/>
      <c r="V126" s="47">
        <v>1</v>
      </c>
      <c r="W126" s="48">
        <v>1</v>
      </c>
      <c r="X126" s="48">
        <v>1</v>
      </c>
      <c r="Y126" s="49"/>
      <c r="Z126" s="47"/>
      <c r="AA126" s="48"/>
      <c r="AB126" s="48"/>
      <c r="AC126" s="49"/>
      <c r="AD126" s="47">
        <v>1</v>
      </c>
      <c r="AE126" s="48">
        <v>1</v>
      </c>
      <c r="AF126" s="48">
        <v>1</v>
      </c>
      <c r="AG126" s="49"/>
      <c r="AH126" s="47"/>
      <c r="AI126" s="48"/>
      <c r="AJ126" s="48"/>
      <c r="AK126" s="49"/>
      <c r="AL126" s="47">
        <v>1</v>
      </c>
      <c r="AM126" s="48">
        <v>1</v>
      </c>
      <c r="AN126" s="48">
        <v>1</v>
      </c>
      <c r="AO126" s="49">
        <v>1</v>
      </c>
      <c r="AP126" s="47">
        <v>1</v>
      </c>
      <c r="AQ126" s="48">
        <v>1</v>
      </c>
      <c r="AR126" s="48"/>
      <c r="AS126" s="49">
        <v>1</v>
      </c>
      <c r="AT126" s="47">
        <v>1</v>
      </c>
      <c r="AU126" s="48">
        <v>1</v>
      </c>
      <c r="AV126" s="48">
        <v>1</v>
      </c>
      <c r="AW126" s="49">
        <v>1</v>
      </c>
      <c r="AX126" s="47"/>
      <c r="AY126" s="48"/>
      <c r="AZ126" s="48"/>
      <c r="BA126" s="49"/>
      <c r="BB126" s="47">
        <v>1</v>
      </c>
      <c r="BC126" s="48">
        <v>1</v>
      </c>
      <c r="BD126" s="48"/>
      <c r="BE126" s="49"/>
      <c r="BF126" s="47"/>
      <c r="BG126" s="48">
        <v>1</v>
      </c>
      <c r="BH126" s="48"/>
      <c r="BI126" s="49"/>
      <c r="BJ126" s="47">
        <v>1</v>
      </c>
      <c r="BK126" s="48">
        <v>1</v>
      </c>
      <c r="BL126" s="48">
        <v>1</v>
      </c>
      <c r="BM126" s="49"/>
    </row>
    <row r="127" spans="2:65" x14ac:dyDescent="0.25">
      <c r="B127" s="47" t="s">
        <v>291</v>
      </c>
      <c r="C127" s="48" t="s">
        <v>291</v>
      </c>
      <c r="D127" s="48" t="s">
        <v>14</v>
      </c>
      <c r="E127" s="49"/>
      <c r="F127" s="47" t="s">
        <v>1231</v>
      </c>
      <c r="G127" s="48" t="s">
        <v>1231</v>
      </c>
      <c r="H127" s="48" t="s">
        <v>1231</v>
      </c>
      <c r="I127" s="49"/>
      <c r="J127" s="47" t="s">
        <v>1546</v>
      </c>
      <c r="K127" s="48" t="s">
        <v>1546</v>
      </c>
      <c r="L127" s="48"/>
      <c r="M127" s="49"/>
      <c r="N127" s="47" t="s">
        <v>293</v>
      </c>
      <c r="O127" s="48" t="s">
        <v>293</v>
      </c>
      <c r="P127" s="48" t="s">
        <v>293</v>
      </c>
      <c r="Q127" s="49"/>
      <c r="R127" s="47" t="s">
        <v>294</v>
      </c>
      <c r="S127" s="48" t="s">
        <v>14</v>
      </c>
      <c r="T127" s="48" t="s">
        <v>14</v>
      </c>
      <c r="U127" s="49"/>
      <c r="V127" s="47" t="s">
        <v>295</v>
      </c>
      <c r="W127" s="48" t="s">
        <v>295</v>
      </c>
      <c r="X127" s="48" t="s">
        <v>295</v>
      </c>
      <c r="Y127" s="49"/>
      <c r="Z127" s="47"/>
      <c r="AA127" s="48"/>
      <c r="AB127" s="48"/>
      <c r="AC127" s="49"/>
      <c r="AD127" s="47" t="s">
        <v>296</v>
      </c>
      <c r="AE127" s="48" t="s">
        <v>296</v>
      </c>
      <c r="AF127" s="48" t="s">
        <v>296</v>
      </c>
      <c r="AG127" s="49"/>
      <c r="AH127" s="47"/>
      <c r="AI127" s="48"/>
      <c r="AJ127" s="48"/>
      <c r="AK127" s="49"/>
      <c r="AL127" s="47" t="s">
        <v>1234</v>
      </c>
      <c r="AM127" s="48" t="s">
        <v>1234</v>
      </c>
      <c r="AN127" s="48" t="s">
        <v>1234</v>
      </c>
      <c r="AO127" s="49" t="s">
        <v>1234</v>
      </c>
      <c r="AP127" s="47" t="s">
        <v>297</v>
      </c>
      <c r="AQ127" s="48" t="s">
        <v>297</v>
      </c>
      <c r="AR127" s="48" t="s">
        <v>14</v>
      </c>
      <c r="AS127" s="49" t="s">
        <v>297</v>
      </c>
      <c r="AT127" s="47" t="s">
        <v>298</v>
      </c>
      <c r="AU127" s="48" t="s">
        <v>298</v>
      </c>
      <c r="AV127" s="48" t="s">
        <v>298</v>
      </c>
      <c r="AW127" s="49" t="s">
        <v>298</v>
      </c>
      <c r="AX127" s="47" t="s">
        <v>14</v>
      </c>
      <c r="AY127" s="48" t="s">
        <v>14</v>
      </c>
      <c r="AZ127" s="48" t="s">
        <v>14</v>
      </c>
      <c r="BA127" s="49" t="s">
        <v>14</v>
      </c>
      <c r="BB127" s="47" t="s">
        <v>246</v>
      </c>
      <c r="BC127" s="48" t="s">
        <v>246</v>
      </c>
      <c r="BD127" s="48"/>
      <c r="BE127" s="49"/>
      <c r="BF127" s="47" t="s">
        <v>14</v>
      </c>
      <c r="BG127" s="48" t="s">
        <v>299</v>
      </c>
      <c r="BH127" s="48" t="s">
        <v>14</v>
      </c>
      <c r="BI127" s="49" t="s">
        <v>14</v>
      </c>
      <c r="BJ127" s="47" t="s">
        <v>248</v>
      </c>
      <c r="BK127" s="48" t="s">
        <v>248</v>
      </c>
      <c r="BL127" s="48" t="s">
        <v>248</v>
      </c>
      <c r="BM127" s="49"/>
    </row>
    <row r="128" spans="2:65" x14ac:dyDescent="0.25">
      <c r="B128" s="47" t="s">
        <v>300</v>
      </c>
      <c r="C128" s="48" t="s">
        <v>301</v>
      </c>
      <c r="D128" s="48" t="s">
        <v>302</v>
      </c>
      <c r="E128" s="49"/>
      <c r="F128" s="47" t="s">
        <v>303</v>
      </c>
      <c r="G128" s="48" t="s">
        <v>304</v>
      </c>
      <c r="H128" s="48" t="s">
        <v>305</v>
      </c>
      <c r="I128" s="49"/>
      <c r="J128" s="47" t="s">
        <v>306</v>
      </c>
      <c r="K128" s="48" t="s">
        <v>307</v>
      </c>
      <c r="L128" s="48"/>
      <c r="M128" s="49"/>
      <c r="N128" s="47" t="s">
        <v>308</v>
      </c>
      <c r="O128" s="48" t="s">
        <v>309</v>
      </c>
      <c r="P128" s="48" t="s">
        <v>310</v>
      </c>
      <c r="Q128" s="49"/>
      <c r="R128" s="47" t="s">
        <v>311</v>
      </c>
      <c r="S128" s="48" t="s">
        <v>312</v>
      </c>
      <c r="T128" s="48" t="s">
        <v>313</v>
      </c>
      <c r="U128" s="49"/>
      <c r="V128" s="47" t="s">
        <v>314</v>
      </c>
      <c r="W128" s="48" t="s">
        <v>315</v>
      </c>
      <c r="X128" s="48" t="s">
        <v>316</v>
      </c>
      <c r="Y128" s="49"/>
      <c r="Z128" s="47"/>
      <c r="AA128" s="48"/>
      <c r="AB128" s="48"/>
      <c r="AC128" s="49"/>
      <c r="AD128" s="47" t="s">
        <v>317</v>
      </c>
      <c r="AE128" s="48" t="s">
        <v>318</v>
      </c>
      <c r="AF128" s="48" t="s">
        <v>319</v>
      </c>
      <c r="AG128" s="49"/>
      <c r="AH128" s="47"/>
      <c r="AI128" s="48"/>
      <c r="AJ128" s="48"/>
      <c r="AK128" s="49"/>
      <c r="AL128" s="47" t="s">
        <v>320</v>
      </c>
      <c r="AM128" s="48" t="s">
        <v>321</v>
      </c>
      <c r="AN128" s="48" t="s">
        <v>322</v>
      </c>
      <c r="AO128" s="49" t="s">
        <v>323</v>
      </c>
      <c r="AP128" s="47" t="s">
        <v>324</v>
      </c>
      <c r="AQ128" s="48" t="s">
        <v>325</v>
      </c>
      <c r="AR128" s="48" t="s">
        <v>326</v>
      </c>
      <c r="AS128" s="49" t="s">
        <v>327</v>
      </c>
      <c r="AT128" s="47" t="s">
        <v>328</v>
      </c>
      <c r="AU128" s="48" t="s">
        <v>329</v>
      </c>
      <c r="AV128" s="48" t="s">
        <v>330</v>
      </c>
      <c r="AW128" s="49" t="s">
        <v>331</v>
      </c>
      <c r="AX128" s="47" t="s">
        <v>332</v>
      </c>
      <c r="AY128" s="48" t="s">
        <v>333</v>
      </c>
      <c r="AZ128" s="48" t="s">
        <v>334</v>
      </c>
      <c r="BA128" s="49" t="s">
        <v>335</v>
      </c>
      <c r="BB128" s="47" t="s">
        <v>336</v>
      </c>
      <c r="BC128" s="48" t="s">
        <v>337</v>
      </c>
      <c r="BD128" s="48"/>
      <c r="BE128" s="49"/>
      <c r="BF128" s="47" t="s">
        <v>338</v>
      </c>
      <c r="BG128" s="48" t="s">
        <v>339</v>
      </c>
      <c r="BH128" s="48" t="s">
        <v>340</v>
      </c>
      <c r="BI128" s="49" t="s">
        <v>341</v>
      </c>
      <c r="BJ128" s="47" t="s">
        <v>342</v>
      </c>
      <c r="BK128" s="48" t="s">
        <v>343</v>
      </c>
      <c r="BL128" s="48" t="s">
        <v>344</v>
      </c>
      <c r="BM128" s="49"/>
    </row>
    <row r="129" spans="2:65" x14ac:dyDescent="0.25">
      <c r="B129" s="50"/>
      <c r="C129" s="51">
        <v>1</v>
      </c>
      <c r="D129" s="51">
        <v>1</v>
      </c>
      <c r="E129" s="52"/>
      <c r="F129" s="50"/>
      <c r="G129" s="51">
        <v>1</v>
      </c>
      <c r="H129" s="51">
        <v>1</v>
      </c>
      <c r="I129" s="52"/>
      <c r="J129" s="50"/>
      <c r="K129" s="51"/>
      <c r="L129" s="51"/>
      <c r="M129" s="52"/>
      <c r="N129" s="50">
        <v>1</v>
      </c>
      <c r="O129" s="51">
        <v>1</v>
      </c>
      <c r="P129" s="51">
        <v>1</v>
      </c>
      <c r="Q129" s="52"/>
      <c r="R129" s="50"/>
      <c r="S129" s="51">
        <v>1</v>
      </c>
      <c r="T129" s="51">
        <v>1</v>
      </c>
      <c r="U129" s="52"/>
      <c r="V129" s="50">
        <v>1</v>
      </c>
      <c r="W129" s="51">
        <v>1</v>
      </c>
      <c r="X129" s="51">
        <v>1</v>
      </c>
      <c r="Y129" s="52"/>
      <c r="Z129" s="50"/>
      <c r="AA129" s="51"/>
      <c r="AB129" s="51"/>
      <c r="AC129" s="52"/>
      <c r="AD129" s="50">
        <v>1</v>
      </c>
      <c r="AE129" s="51">
        <v>1</v>
      </c>
      <c r="AF129" s="51">
        <v>1</v>
      </c>
      <c r="AG129" s="52"/>
      <c r="AH129" s="50"/>
      <c r="AI129" s="51"/>
      <c r="AJ129" s="51"/>
      <c r="AK129" s="52"/>
      <c r="AL129" s="50">
        <v>1</v>
      </c>
      <c r="AM129" s="51">
        <v>1</v>
      </c>
      <c r="AN129" s="51">
        <v>1</v>
      </c>
      <c r="AO129" s="52"/>
      <c r="AP129" s="50">
        <v>1</v>
      </c>
      <c r="AQ129" s="51">
        <v>1</v>
      </c>
      <c r="AR129" s="51">
        <v>1</v>
      </c>
      <c r="AS129" s="52"/>
      <c r="AT129" s="50">
        <v>1</v>
      </c>
      <c r="AU129" s="51">
        <v>1</v>
      </c>
      <c r="AV129" s="51">
        <v>1</v>
      </c>
      <c r="AW129" s="52"/>
      <c r="AX129" s="50">
        <v>1</v>
      </c>
      <c r="AY129" s="51">
        <v>1</v>
      </c>
      <c r="AZ129" s="51">
        <v>1</v>
      </c>
      <c r="BA129" s="52"/>
      <c r="BB129" s="50">
        <v>1</v>
      </c>
      <c r="BC129" s="51">
        <v>1</v>
      </c>
      <c r="BD129" s="51"/>
      <c r="BE129" s="52"/>
      <c r="BF129" s="50">
        <v>1</v>
      </c>
      <c r="BG129" s="51"/>
      <c r="BH129" s="51"/>
      <c r="BI129" s="52"/>
      <c r="BJ129" s="50">
        <v>1</v>
      </c>
      <c r="BK129" s="51">
        <v>1</v>
      </c>
      <c r="BL129" s="51">
        <v>1</v>
      </c>
      <c r="BM129" s="52"/>
    </row>
    <row r="130" spans="2:65" x14ac:dyDescent="0.25">
      <c r="B130" s="50" t="s">
        <v>14</v>
      </c>
      <c r="C130" s="51" t="s">
        <v>345</v>
      </c>
      <c r="D130" s="51" t="s">
        <v>345</v>
      </c>
      <c r="E130" s="52"/>
      <c r="F130" s="50" t="s">
        <v>14</v>
      </c>
      <c r="G130" s="51" t="s">
        <v>292</v>
      </c>
      <c r="H130" s="51" t="s">
        <v>292</v>
      </c>
      <c r="I130" s="52"/>
      <c r="J130" s="50" t="s">
        <v>14</v>
      </c>
      <c r="K130" s="51" t="s">
        <v>14</v>
      </c>
      <c r="L130" s="51" t="s">
        <v>14</v>
      </c>
      <c r="M130" s="52"/>
      <c r="N130" s="50" t="s">
        <v>241</v>
      </c>
      <c r="O130" s="51" t="s">
        <v>241</v>
      </c>
      <c r="P130" s="51" t="s">
        <v>241</v>
      </c>
      <c r="Q130" s="52"/>
      <c r="R130" s="50" t="s">
        <v>14</v>
      </c>
      <c r="S130" s="51" t="s">
        <v>1232</v>
      </c>
      <c r="T130" s="51" t="s">
        <v>347</v>
      </c>
      <c r="U130" s="52" t="s">
        <v>14</v>
      </c>
      <c r="V130" s="50" t="s">
        <v>348</v>
      </c>
      <c r="W130" s="51" t="s">
        <v>348</v>
      </c>
      <c r="X130" s="51" t="s">
        <v>348</v>
      </c>
      <c r="Y130" s="52"/>
      <c r="Z130" s="50" t="s">
        <v>14</v>
      </c>
      <c r="AA130" s="51" t="s">
        <v>14</v>
      </c>
      <c r="AB130" s="51" t="s">
        <v>14</v>
      </c>
      <c r="AC130" s="52"/>
      <c r="AD130" s="50" t="s">
        <v>349</v>
      </c>
      <c r="AE130" s="51" t="s">
        <v>349</v>
      </c>
      <c r="AF130" s="51" t="s">
        <v>349</v>
      </c>
      <c r="AG130" s="52"/>
      <c r="AH130" s="50"/>
      <c r="AI130" s="51"/>
      <c r="AJ130" s="51"/>
      <c r="AK130" s="52"/>
      <c r="AL130" s="50" t="s">
        <v>1233</v>
      </c>
      <c r="AM130" s="51" t="s">
        <v>1233</v>
      </c>
      <c r="AN130" s="51" t="s">
        <v>1233</v>
      </c>
      <c r="AO130" s="52"/>
      <c r="AP130" s="50" t="s">
        <v>350</v>
      </c>
      <c r="AQ130" s="51" t="s">
        <v>350</v>
      </c>
      <c r="AR130" s="51" t="s">
        <v>350</v>
      </c>
      <c r="AS130" s="52"/>
      <c r="AT130" s="50" t="s">
        <v>351</v>
      </c>
      <c r="AU130" s="51" t="s">
        <v>351</v>
      </c>
      <c r="AV130" s="51" t="s">
        <v>351</v>
      </c>
      <c r="AW130" s="52"/>
      <c r="AX130" s="50" t="s">
        <v>352</v>
      </c>
      <c r="AY130" s="51" t="s">
        <v>352</v>
      </c>
      <c r="AZ130" s="51" t="s">
        <v>352</v>
      </c>
      <c r="BA130" s="52"/>
      <c r="BB130" s="50" t="s">
        <v>353</v>
      </c>
      <c r="BC130" s="51" t="s">
        <v>353</v>
      </c>
      <c r="BD130" s="51"/>
      <c r="BE130" s="52"/>
      <c r="BF130" s="50" t="s">
        <v>1552</v>
      </c>
      <c r="BG130" s="51" t="s">
        <v>14</v>
      </c>
      <c r="BH130" s="51" t="s">
        <v>14</v>
      </c>
      <c r="BI130" s="52" t="s">
        <v>14</v>
      </c>
      <c r="BJ130" s="50" t="s">
        <v>248</v>
      </c>
      <c r="BK130" s="51" t="s">
        <v>248</v>
      </c>
      <c r="BL130" s="51" t="s">
        <v>248</v>
      </c>
      <c r="BM130" s="52"/>
    </row>
    <row r="131" spans="2:65" x14ac:dyDescent="0.25">
      <c r="B131" s="50" t="s">
        <v>355</v>
      </c>
      <c r="C131" s="51" t="s">
        <v>356</v>
      </c>
      <c r="D131" s="51" t="s">
        <v>357</v>
      </c>
      <c r="E131" s="52"/>
      <c r="F131" s="50" t="s">
        <v>358</v>
      </c>
      <c r="G131" s="51" t="s">
        <v>359</v>
      </c>
      <c r="H131" s="51" t="s">
        <v>360</v>
      </c>
      <c r="I131" s="52"/>
      <c r="J131" s="50" t="s">
        <v>361</v>
      </c>
      <c r="K131" s="51" t="s">
        <v>362</v>
      </c>
      <c r="L131" s="51" t="s">
        <v>363</v>
      </c>
      <c r="M131" s="52"/>
      <c r="N131" s="50" t="s">
        <v>364</v>
      </c>
      <c r="O131" s="51" t="s">
        <v>365</v>
      </c>
      <c r="P131" s="51" t="s">
        <v>366</v>
      </c>
      <c r="Q131" s="52"/>
      <c r="R131" s="50" t="s">
        <v>367</v>
      </c>
      <c r="S131" s="51" t="s">
        <v>368</v>
      </c>
      <c r="T131" s="51" t="s">
        <v>369</v>
      </c>
      <c r="U131" s="52" t="s">
        <v>370</v>
      </c>
      <c r="V131" s="50" t="s">
        <v>371</v>
      </c>
      <c r="W131" s="51" t="s">
        <v>372</v>
      </c>
      <c r="X131" s="51" t="s">
        <v>373</v>
      </c>
      <c r="Y131" s="52"/>
      <c r="Z131" s="50" t="s">
        <v>374</v>
      </c>
      <c r="AA131" s="51" t="s">
        <v>375</v>
      </c>
      <c r="AB131" s="51" t="s">
        <v>376</v>
      </c>
      <c r="AC131" s="52"/>
      <c r="AD131" s="50" t="s">
        <v>377</v>
      </c>
      <c r="AE131" s="51" t="s">
        <v>378</v>
      </c>
      <c r="AF131" s="51" t="s">
        <v>379</v>
      </c>
      <c r="AG131" s="52"/>
      <c r="AH131" s="50"/>
      <c r="AI131" s="51"/>
      <c r="AJ131" s="51"/>
      <c r="AK131" s="52"/>
      <c r="AL131" s="50" t="s">
        <v>380</v>
      </c>
      <c r="AM131" s="51" t="s">
        <v>381</v>
      </c>
      <c r="AN131" s="51" t="s">
        <v>382</v>
      </c>
      <c r="AO131" s="52"/>
      <c r="AP131" s="50" t="s">
        <v>383</v>
      </c>
      <c r="AQ131" s="51" t="s">
        <v>384</v>
      </c>
      <c r="AR131" s="51" t="s">
        <v>385</v>
      </c>
      <c r="AS131" s="52"/>
      <c r="AT131" s="50" t="s">
        <v>386</v>
      </c>
      <c r="AU131" s="51" t="s">
        <v>387</v>
      </c>
      <c r="AV131" s="51" t="s">
        <v>388</v>
      </c>
      <c r="AW131" s="52"/>
      <c r="AX131" s="50" t="s">
        <v>389</v>
      </c>
      <c r="AY131" s="51" t="s">
        <v>390</v>
      </c>
      <c r="AZ131" s="51" t="s">
        <v>391</v>
      </c>
      <c r="BA131" s="52"/>
      <c r="BB131" s="50" t="s">
        <v>392</v>
      </c>
      <c r="BC131" s="51" t="s">
        <v>393</v>
      </c>
      <c r="BD131" s="51"/>
      <c r="BE131" s="52"/>
      <c r="BF131" s="50" t="s">
        <v>394</v>
      </c>
      <c r="BG131" s="51" t="s">
        <v>395</v>
      </c>
      <c r="BH131" s="51" t="s">
        <v>396</v>
      </c>
      <c r="BI131" s="52" t="s">
        <v>397</v>
      </c>
      <c r="BJ131" s="50" t="s">
        <v>398</v>
      </c>
      <c r="BK131" s="51" t="s">
        <v>399</v>
      </c>
      <c r="BL131" s="51" t="s">
        <v>400</v>
      </c>
      <c r="BM131" s="52"/>
    </row>
    <row r="132" spans="2:65" x14ac:dyDescent="0.25">
      <c r="B132" s="53">
        <v>1</v>
      </c>
      <c r="C132" s="54">
        <v>1</v>
      </c>
      <c r="D132" s="54">
        <v>1</v>
      </c>
      <c r="E132" s="55"/>
      <c r="F132" s="53">
        <v>1</v>
      </c>
      <c r="G132" s="54">
        <v>1</v>
      </c>
      <c r="H132" s="54">
        <v>1</v>
      </c>
      <c r="I132" s="55"/>
      <c r="J132" s="53">
        <v>1</v>
      </c>
      <c r="K132" s="54">
        <v>1</v>
      </c>
      <c r="L132" s="54">
        <v>1</v>
      </c>
      <c r="M132" s="55"/>
      <c r="N132" s="53">
        <v>1</v>
      </c>
      <c r="O132" s="54">
        <v>1</v>
      </c>
      <c r="P132" s="54">
        <v>1</v>
      </c>
      <c r="Q132" s="55"/>
      <c r="R132" s="53">
        <v>1</v>
      </c>
      <c r="S132" s="54">
        <v>1</v>
      </c>
      <c r="T132" s="54">
        <v>1</v>
      </c>
      <c r="U132" s="55">
        <v>1</v>
      </c>
      <c r="V132" s="53">
        <v>1</v>
      </c>
      <c r="W132" s="54">
        <v>1</v>
      </c>
      <c r="X132" s="54">
        <v>1</v>
      </c>
      <c r="Y132" s="55"/>
      <c r="Z132" s="53">
        <v>1</v>
      </c>
      <c r="AA132" s="54">
        <v>1</v>
      </c>
      <c r="AB132" s="54">
        <v>1</v>
      </c>
      <c r="AC132" s="55"/>
      <c r="AD132" s="53"/>
      <c r="AE132" s="54"/>
      <c r="AF132" s="54"/>
      <c r="AG132" s="55"/>
      <c r="AH132" s="53"/>
      <c r="AI132" s="54"/>
      <c r="AJ132" s="54"/>
      <c r="AK132" s="55"/>
      <c r="AL132" s="53"/>
      <c r="AM132" s="54"/>
      <c r="AN132" s="54"/>
      <c r="AO132" s="55"/>
      <c r="AP132" s="53">
        <v>1</v>
      </c>
      <c r="AQ132" s="54">
        <v>1</v>
      </c>
      <c r="AR132" s="54">
        <v>1</v>
      </c>
      <c r="AS132" s="55">
        <v>1</v>
      </c>
      <c r="AT132" s="53">
        <v>1</v>
      </c>
      <c r="AU132" s="54"/>
      <c r="AV132" s="54">
        <v>1</v>
      </c>
      <c r="AW132" s="55">
        <v>1</v>
      </c>
      <c r="AX132" s="53"/>
      <c r="AY132" s="54"/>
      <c r="AZ132" s="54"/>
      <c r="BA132" s="55"/>
      <c r="BB132" s="53">
        <v>1</v>
      </c>
      <c r="BC132" s="54">
        <v>1</v>
      </c>
      <c r="BD132" s="54"/>
      <c r="BE132" s="55"/>
      <c r="BF132" s="53">
        <v>1</v>
      </c>
      <c r="BG132" s="54">
        <v>1</v>
      </c>
      <c r="BH132" s="54">
        <v>1</v>
      </c>
      <c r="BI132" s="55">
        <v>1</v>
      </c>
      <c r="BJ132" s="53">
        <v>1</v>
      </c>
      <c r="BK132" s="54">
        <v>1</v>
      </c>
      <c r="BL132" s="54">
        <v>1</v>
      </c>
      <c r="BM132" s="55"/>
    </row>
    <row r="133" spans="2:65" x14ac:dyDescent="0.25">
      <c r="B133" s="53" t="s">
        <v>1545</v>
      </c>
      <c r="C133" s="54" t="s">
        <v>1545</v>
      </c>
      <c r="D133" s="54" t="s">
        <v>1545</v>
      </c>
      <c r="E133" s="55"/>
      <c r="F133" s="53" t="s">
        <v>346</v>
      </c>
      <c r="G133" s="54" t="s">
        <v>346</v>
      </c>
      <c r="H133" s="54" t="s">
        <v>346</v>
      </c>
      <c r="I133" s="55"/>
      <c r="J133" s="53" t="s">
        <v>401</v>
      </c>
      <c r="K133" s="54" t="s">
        <v>401</v>
      </c>
      <c r="L133" s="54" t="s">
        <v>401</v>
      </c>
      <c r="M133" s="55"/>
      <c r="N133" s="53" t="s">
        <v>241</v>
      </c>
      <c r="O133" s="54" t="s">
        <v>241</v>
      </c>
      <c r="P133" s="54" t="s">
        <v>241</v>
      </c>
      <c r="Q133" s="55"/>
      <c r="R133" s="53" t="s">
        <v>402</v>
      </c>
      <c r="S133" s="54" t="s">
        <v>1547</v>
      </c>
      <c r="T133" s="54" t="s">
        <v>1547</v>
      </c>
      <c r="U133" s="55" t="s">
        <v>1547</v>
      </c>
      <c r="V133" s="53" t="s">
        <v>403</v>
      </c>
      <c r="W133" s="54" t="s">
        <v>403</v>
      </c>
      <c r="X133" s="54" t="s">
        <v>403</v>
      </c>
      <c r="Y133" s="55"/>
      <c r="Z133" s="53" t="s">
        <v>404</v>
      </c>
      <c r="AA133" s="54" t="s">
        <v>404</v>
      </c>
      <c r="AB133" s="54" t="s">
        <v>404</v>
      </c>
      <c r="AC133" s="55" t="s">
        <v>14</v>
      </c>
      <c r="AD133" s="53" t="s">
        <v>14</v>
      </c>
      <c r="AE133" s="54" t="s">
        <v>14</v>
      </c>
      <c r="AF133" s="54" t="s">
        <v>14</v>
      </c>
      <c r="AG133" s="55"/>
      <c r="AH133" s="53"/>
      <c r="AI133" s="54"/>
      <c r="AJ133" s="54"/>
      <c r="AK133" s="55"/>
      <c r="AL133" s="53"/>
      <c r="AM133" s="54"/>
      <c r="AN133" s="54"/>
      <c r="AO133" s="55"/>
      <c r="AP133" s="53" t="s">
        <v>405</v>
      </c>
      <c r="AQ133" s="54" t="s">
        <v>405</v>
      </c>
      <c r="AR133" s="54" t="s">
        <v>405</v>
      </c>
      <c r="AS133" s="55" t="s">
        <v>405</v>
      </c>
      <c r="AT133" s="53" t="s">
        <v>1551</v>
      </c>
      <c r="AU133" s="54" t="s">
        <v>14</v>
      </c>
      <c r="AV133" s="54" t="s">
        <v>406</v>
      </c>
      <c r="AW133" s="55" t="s">
        <v>406</v>
      </c>
      <c r="AX133" s="53"/>
      <c r="AY133" s="54"/>
      <c r="AZ133" s="54"/>
      <c r="BA133" s="55"/>
      <c r="BB133" s="53" t="s">
        <v>407</v>
      </c>
      <c r="BC133" s="54" t="s">
        <v>407</v>
      </c>
      <c r="BD133" s="54"/>
      <c r="BE133" s="55"/>
      <c r="BF133" s="53" t="s">
        <v>15</v>
      </c>
      <c r="BG133" s="54" t="s">
        <v>408</v>
      </c>
      <c r="BH133" s="54" t="s">
        <v>408</v>
      </c>
      <c r="BI133" s="55" t="s">
        <v>408</v>
      </c>
      <c r="BJ133" s="53" t="s">
        <v>248</v>
      </c>
      <c r="BK133" s="54" t="s">
        <v>248</v>
      </c>
      <c r="BL133" s="54" t="s">
        <v>248</v>
      </c>
      <c r="BM133" s="55"/>
    </row>
    <row r="134" spans="2:65" x14ac:dyDescent="0.25">
      <c r="B134" s="53" t="s">
        <v>409</v>
      </c>
      <c r="C134" s="54" t="s">
        <v>410</v>
      </c>
      <c r="D134" s="54" t="s">
        <v>411</v>
      </c>
      <c r="E134" s="55"/>
      <c r="F134" s="53" t="s">
        <v>412</v>
      </c>
      <c r="G134" s="54" t="s">
        <v>413</v>
      </c>
      <c r="H134" s="54" t="s">
        <v>414</v>
      </c>
      <c r="I134" s="55"/>
      <c r="J134" s="53" t="s">
        <v>415</v>
      </c>
      <c r="K134" s="54" t="s">
        <v>416</v>
      </c>
      <c r="L134" s="54" t="s">
        <v>417</v>
      </c>
      <c r="M134" s="55"/>
      <c r="N134" s="53" t="s">
        <v>418</v>
      </c>
      <c r="O134" s="54" t="s">
        <v>419</v>
      </c>
      <c r="P134" s="54" t="s">
        <v>420</v>
      </c>
      <c r="Q134" s="55"/>
      <c r="R134" s="53" t="s">
        <v>421</v>
      </c>
      <c r="S134" s="54" t="s">
        <v>422</v>
      </c>
      <c r="T134" s="54" t="s">
        <v>423</v>
      </c>
      <c r="U134" s="55" t="s">
        <v>424</v>
      </c>
      <c r="V134" s="53" t="s">
        <v>425</v>
      </c>
      <c r="W134" s="54" t="s">
        <v>426</v>
      </c>
      <c r="X134" s="54" t="s">
        <v>427</v>
      </c>
      <c r="Y134" s="55"/>
      <c r="Z134" s="53" t="s">
        <v>428</v>
      </c>
      <c r="AA134" s="54" t="s">
        <v>429</v>
      </c>
      <c r="AB134" s="54" t="s">
        <v>430</v>
      </c>
      <c r="AC134" s="55" t="s">
        <v>431</v>
      </c>
      <c r="AD134" s="53" t="s">
        <v>432</v>
      </c>
      <c r="AE134" s="54" t="s">
        <v>433</v>
      </c>
      <c r="AF134" s="54" t="s">
        <v>434</v>
      </c>
      <c r="AG134" s="55"/>
      <c r="AH134" s="53"/>
      <c r="AI134" s="54"/>
      <c r="AJ134" s="54"/>
      <c r="AK134" s="55"/>
      <c r="AL134" s="53"/>
      <c r="AM134" s="54"/>
      <c r="AN134" s="54"/>
      <c r="AO134" s="55"/>
      <c r="AP134" s="53" t="s">
        <v>435</v>
      </c>
      <c r="AQ134" s="54" t="s">
        <v>436</v>
      </c>
      <c r="AR134" s="54" t="s">
        <v>437</v>
      </c>
      <c r="AS134" s="55" t="s">
        <v>438</v>
      </c>
      <c r="AT134" s="53" t="s">
        <v>439</v>
      </c>
      <c r="AU134" s="54" t="s">
        <v>440</v>
      </c>
      <c r="AV134" s="54" t="s">
        <v>441</v>
      </c>
      <c r="AW134" s="55" t="s">
        <v>442</v>
      </c>
      <c r="AX134" s="53"/>
      <c r="AY134" s="54"/>
      <c r="AZ134" s="54"/>
      <c r="BA134" s="55"/>
      <c r="BB134" s="53" t="s">
        <v>443</v>
      </c>
      <c r="BC134" s="54" t="s">
        <v>444</v>
      </c>
      <c r="BD134" s="54"/>
      <c r="BE134" s="55"/>
      <c r="BF134" s="53" t="s">
        <v>445</v>
      </c>
      <c r="BG134" s="54" t="s">
        <v>446</v>
      </c>
      <c r="BH134" s="54" t="s">
        <v>447</v>
      </c>
      <c r="BI134" s="55" t="s">
        <v>448</v>
      </c>
      <c r="BJ134" s="53" t="s">
        <v>449</v>
      </c>
      <c r="BK134" s="54" t="s">
        <v>450</v>
      </c>
      <c r="BL134" s="54" t="s">
        <v>451</v>
      </c>
      <c r="BM134" s="55"/>
    </row>
  </sheetData>
  <conditionalFormatting sqref="F5:I16">
    <cfRule type="containsBlanks" dxfId="658" priority="650">
      <formula>LEN(TRIM(F5))=0</formula>
    </cfRule>
  </conditionalFormatting>
  <conditionalFormatting sqref="F15:I15">
    <cfRule type="containsText" dxfId="657" priority="649" operator="containsText" text="&lt;&lt;empty&gt;&gt;">
      <formula>NOT(ISERROR(SEARCH("&lt;&lt;empty&gt;&gt;",F15)))</formula>
    </cfRule>
  </conditionalFormatting>
  <conditionalFormatting sqref="F12:I12">
    <cfRule type="containsText" dxfId="656" priority="648" operator="containsText" text="&lt;&lt;empty&gt;&gt;">
      <formula>NOT(ISERROR(SEARCH("&lt;&lt;empty&gt;&gt;",F12)))</formula>
    </cfRule>
  </conditionalFormatting>
  <conditionalFormatting sqref="F9:I9">
    <cfRule type="containsText" dxfId="655" priority="647" operator="containsText" text="&lt;&lt;empty&gt;&gt;">
      <formula>NOT(ISERROR(SEARCH("&lt;&lt;empty&gt;&gt;",F9)))</formula>
    </cfRule>
  </conditionalFormatting>
  <conditionalFormatting sqref="F6:I6">
    <cfRule type="containsText" dxfId="654" priority="646" operator="containsText" text="&lt;&lt;empty&gt;&gt;">
      <formula>NOT(ISERROR(SEARCH("&lt;&lt;empty&gt;&gt;",F6)))</formula>
    </cfRule>
  </conditionalFormatting>
  <conditionalFormatting sqref="J33:M44">
    <cfRule type="containsBlanks" dxfId="653" priority="475">
      <formula>LEN(TRIM(J33))=0</formula>
    </cfRule>
  </conditionalFormatting>
  <conditionalFormatting sqref="J43:M43">
    <cfRule type="containsText" dxfId="652" priority="474" operator="containsText" text="&lt;&lt;empty&gt;&gt;">
      <formula>NOT(ISERROR(SEARCH("&lt;&lt;empty&gt;&gt;",J43)))</formula>
    </cfRule>
  </conditionalFormatting>
  <conditionalFormatting sqref="J40:M40">
    <cfRule type="containsText" dxfId="651" priority="473" operator="containsText" text="&lt;&lt;empty&gt;&gt;">
      <formula>NOT(ISERROR(SEARCH("&lt;&lt;empty&gt;&gt;",J40)))</formula>
    </cfRule>
  </conditionalFormatting>
  <conditionalFormatting sqref="J37:M37">
    <cfRule type="containsText" dxfId="650" priority="472" operator="containsText" text="&lt;&lt;empty&gt;&gt;">
      <formula>NOT(ISERROR(SEARCH("&lt;&lt;empty&gt;&gt;",J37)))</formula>
    </cfRule>
  </conditionalFormatting>
  <conditionalFormatting sqref="J34:M34">
    <cfRule type="containsText" dxfId="649" priority="471" operator="containsText" text="&lt;&lt;empty&gt;&gt;">
      <formula>NOT(ISERROR(SEARCH("&lt;&lt;empty&gt;&gt;",J34)))</formula>
    </cfRule>
  </conditionalFormatting>
  <conditionalFormatting sqref="N5:Q16">
    <cfRule type="containsBlanks" dxfId="648" priority="640">
      <formula>LEN(TRIM(N5))=0</formula>
    </cfRule>
  </conditionalFormatting>
  <conditionalFormatting sqref="N15:Q15">
    <cfRule type="containsText" dxfId="647" priority="639" operator="containsText" text="&lt;&lt;empty&gt;&gt;">
      <formula>NOT(ISERROR(SEARCH("&lt;&lt;empty&gt;&gt;",N15)))</formula>
    </cfRule>
  </conditionalFormatting>
  <conditionalFormatting sqref="N12:Q12">
    <cfRule type="containsText" dxfId="646" priority="638" operator="containsText" text="&lt;&lt;empty&gt;&gt;">
      <formula>NOT(ISERROR(SEARCH("&lt;&lt;empty&gt;&gt;",N12)))</formula>
    </cfRule>
  </conditionalFormatting>
  <conditionalFormatting sqref="N9:Q9">
    <cfRule type="containsText" dxfId="645" priority="637" operator="containsText" text="&lt;&lt;empty&gt;&gt;">
      <formula>NOT(ISERROR(SEARCH("&lt;&lt;empty&gt;&gt;",N9)))</formula>
    </cfRule>
  </conditionalFormatting>
  <conditionalFormatting sqref="N6:Q6">
    <cfRule type="containsText" dxfId="644" priority="636" operator="containsText" text="&lt;&lt;empty&gt;&gt;">
      <formula>NOT(ISERROR(SEARCH("&lt;&lt;empty&gt;&gt;",N6)))</formula>
    </cfRule>
  </conditionalFormatting>
  <conditionalFormatting sqref="J5:M16">
    <cfRule type="containsBlanks" dxfId="643" priority="635">
      <formula>LEN(TRIM(J5))=0</formula>
    </cfRule>
  </conditionalFormatting>
  <conditionalFormatting sqref="J15:M15">
    <cfRule type="containsText" dxfId="642" priority="634" operator="containsText" text="&lt;&lt;empty&gt;&gt;">
      <formula>NOT(ISERROR(SEARCH("&lt;&lt;empty&gt;&gt;",J15)))</formula>
    </cfRule>
  </conditionalFormatting>
  <conditionalFormatting sqref="J12:M12">
    <cfRule type="containsText" dxfId="641" priority="633" operator="containsText" text="&lt;&lt;empty&gt;&gt;">
      <formula>NOT(ISERROR(SEARCH("&lt;&lt;empty&gt;&gt;",J12)))</formula>
    </cfRule>
  </conditionalFormatting>
  <conditionalFormatting sqref="J9:M9">
    <cfRule type="containsText" dxfId="640" priority="632" operator="containsText" text="&lt;&lt;empty&gt;&gt;">
      <formula>NOT(ISERROR(SEARCH("&lt;&lt;empty&gt;&gt;",J9)))</formula>
    </cfRule>
  </conditionalFormatting>
  <conditionalFormatting sqref="J6:M6">
    <cfRule type="containsText" dxfId="639" priority="631" operator="containsText" text="&lt;&lt;empty&gt;&gt;">
      <formula>NOT(ISERROR(SEARCH("&lt;&lt;empty&gt;&gt;",J6)))</formula>
    </cfRule>
  </conditionalFormatting>
  <conditionalFormatting sqref="V5:Y16">
    <cfRule type="containsBlanks" dxfId="638" priority="630">
      <formula>LEN(TRIM(V5))=0</formula>
    </cfRule>
  </conditionalFormatting>
  <conditionalFormatting sqref="V15:Y15">
    <cfRule type="containsText" dxfId="637" priority="629" operator="containsText" text="&lt;&lt;empty&gt;&gt;">
      <formula>NOT(ISERROR(SEARCH("&lt;&lt;empty&gt;&gt;",V15)))</formula>
    </cfRule>
  </conditionalFormatting>
  <conditionalFormatting sqref="V12:Y12">
    <cfRule type="containsText" dxfId="636" priority="628" operator="containsText" text="&lt;&lt;empty&gt;&gt;">
      <formula>NOT(ISERROR(SEARCH("&lt;&lt;empty&gt;&gt;",V12)))</formula>
    </cfRule>
  </conditionalFormatting>
  <conditionalFormatting sqref="V9:Y9">
    <cfRule type="containsText" dxfId="635" priority="627" operator="containsText" text="&lt;&lt;empty&gt;&gt;">
      <formula>NOT(ISERROR(SEARCH("&lt;&lt;empty&gt;&gt;",V9)))</formula>
    </cfRule>
  </conditionalFormatting>
  <conditionalFormatting sqref="V6:Y6">
    <cfRule type="containsText" dxfId="634" priority="626" operator="containsText" text="&lt;&lt;empty&gt;&gt;">
      <formula>NOT(ISERROR(SEARCH("&lt;&lt;empty&gt;&gt;",V6)))</formula>
    </cfRule>
  </conditionalFormatting>
  <conditionalFormatting sqref="R5:U16">
    <cfRule type="containsBlanks" dxfId="633" priority="625">
      <formula>LEN(TRIM(R5))=0</formula>
    </cfRule>
  </conditionalFormatting>
  <conditionalFormatting sqref="R15:U15">
    <cfRule type="containsText" dxfId="632" priority="624" operator="containsText" text="&lt;&lt;empty&gt;&gt;">
      <formula>NOT(ISERROR(SEARCH("&lt;&lt;empty&gt;&gt;",R15)))</formula>
    </cfRule>
  </conditionalFormatting>
  <conditionalFormatting sqref="R12:U12">
    <cfRule type="containsText" dxfId="631" priority="623" operator="containsText" text="&lt;&lt;empty&gt;&gt;">
      <formula>NOT(ISERROR(SEARCH("&lt;&lt;empty&gt;&gt;",R12)))</formula>
    </cfRule>
  </conditionalFormatting>
  <conditionalFormatting sqref="R9:U9">
    <cfRule type="containsText" dxfId="630" priority="622" operator="containsText" text="&lt;&lt;empty&gt;&gt;">
      <formula>NOT(ISERROR(SEARCH("&lt;&lt;empty&gt;&gt;",R9)))</formula>
    </cfRule>
  </conditionalFormatting>
  <conditionalFormatting sqref="R6:U6">
    <cfRule type="containsText" dxfId="629" priority="621" operator="containsText" text="&lt;&lt;empty&gt;&gt;">
      <formula>NOT(ISERROR(SEARCH("&lt;&lt;empty&gt;&gt;",R6)))</formula>
    </cfRule>
  </conditionalFormatting>
  <conditionalFormatting sqref="AD5:AG16">
    <cfRule type="containsBlanks" dxfId="628" priority="620">
      <formula>LEN(TRIM(AD5))=0</formula>
    </cfRule>
  </conditionalFormatting>
  <conditionalFormatting sqref="AD15:AG15">
    <cfRule type="containsText" dxfId="627" priority="619" operator="containsText" text="&lt;&lt;empty&gt;&gt;">
      <formula>NOT(ISERROR(SEARCH("&lt;&lt;empty&gt;&gt;",AD15)))</formula>
    </cfRule>
  </conditionalFormatting>
  <conditionalFormatting sqref="AD12:AG12">
    <cfRule type="containsText" dxfId="626" priority="618" operator="containsText" text="&lt;&lt;empty&gt;&gt;">
      <formula>NOT(ISERROR(SEARCH("&lt;&lt;empty&gt;&gt;",AD12)))</formula>
    </cfRule>
  </conditionalFormatting>
  <conditionalFormatting sqref="AD9:AG9">
    <cfRule type="containsText" dxfId="625" priority="617" operator="containsText" text="&lt;&lt;empty&gt;&gt;">
      <formula>NOT(ISERROR(SEARCH("&lt;&lt;empty&gt;&gt;",AD9)))</formula>
    </cfRule>
  </conditionalFormatting>
  <conditionalFormatting sqref="AD6:AG6">
    <cfRule type="containsText" dxfId="624" priority="616" operator="containsText" text="&lt;&lt;empty&gt;&gt;">
      <formula>NOT(ISERROR(SEARCH("&lt;&lt;empty&gt;&gt;",AD6)))</formula>
    </cfRule>
  </conditionalFormatting>
  <conditionalFormatting sqref="Z5:AC16">
    <cfRule type="containsBlanks" dxfId="623" priority="615">
      <formula>LEN(TRIM(Z5))=0</formula>
    </cfRule>
  </conditionalFormatting>
  <conditionalFormatting sqref="Z15:AC15">
    <cfRule type="containsText" dxfId="622" priority="614" operator="containsText" text="&lt;&lt;empty&gt;&gt;">
      <formula>NOT(ISERROR(SEARCH("&lt;&lt;empty&gt;&gt;",Z15)))</formula>
    </cfRule>
  </conditionalFormatting>
  <conditionalFormatting sqref="Z12:AC12">
    <cfRule type="containsText" dxfId="621" priority="613" operator="containsText" text="&lt;&lt;empty&gt;&gt;">
      <formula>NOT(ISERROR(SEARCH("&lt;&lt;empty&gt;&gt;",Z12)))</formula>
    </cfRule>
  </conditionalFormatting>
  <conditionalFormatting sqref="Z9:AC9">
    <cfRule type="containsText" dxfId="620" priority="612" operator="containsText" text="&lt;&lt;empty&gt;&gt;">
      <formula>NOT(ISERROR(SEARCH("&lt;&lt;empty&gt;&gt;",Z9)))</formula>
    </cfRule>
  </conditionalFormatting>
  <conditionalFormatting sqref="Z6:AC6">
    <cfRule type="containsText" dxfId="619" priority="611" operator="containsText" text="&lt;&lt;empty&gt;&gt;">
      <formula>NOT(ISERROR(SEARCH("&lt;&lt;empty&gt;&gt;",Z6)))</formula>
    </cfRule>
  </conditionalFormatting>
  <conditionalFormatting sqref="AL5:AO16">
    <cfRule type="containsBlanks" dxfId="618" priority="610">
      <formula>LEN(TRIM(AL5))=0</formula>
    </cfRule>
  </conditionalFormatting>
  <conditionalFormatting sqref="AL15:AO15">
    <cfRule type="containsText" dxfId="617" priority="609" operator="containsText" text="&lt;&lt;empty&gt;&gt;">
      <formula>NOT(ISERROR(SEARCH("&lt;&lt;empty&gt;&gt;",AL15)))</formula>
    </cfRule>
  </conditionalFormatting>
  <conditionalFormatting sqref="AL12:AO12">
    <cfRule type="containsText" dxfId="616" priority="608" operator="containsText" text="&lt;&lt;empty&gt;&gt;">
      <formula>NOT(ISERROR(SEARCH("&lt;&lt;empty&gt;&gt;",AL12)))</formula>
    </cfRule>
  </conditionalFormatting>
  <conditionalFormatting sqref="AL9:AO9">
    <cfRule type="containsText" dxfId="615" priority="607" operator="containsText" text="&lt;&lt;empty&gt;&gt;">
      <formula>NOT(ISERROR(SEARCH("&lt;&lt;empty&gt;&gt;",AL9)))</formula>
    </cfRule>
  </conditionalFormatting>
  <conditionalFormatting sqref="AL6:AO6">
    <cfRule type="containsText" dxfId="614" priority="606" operator="containsText" text="&lt;&lt;empty&gt;&gt;">
      <formula>NOT(ISERROR(SEARCH("&lt;&lt;empty&gt;&gt;",AL6)))</formula>
    </cfRule>
  </conditionalFormatting>
  <conditionalFormatting sqref="AH5:AK16">
    <cfRule type="containsBlanks" dxfId="613" priority="605">
      <formula>LEN(TRIM(AH5))=0</formula>
    </cfRule>
  </conditionalFormatting>
  <conditionalFormatting sqref="AH15:AK15">
    <cfRule type="containsText" dxfId="612" priority="604" operator="containsText" text="&lt;&lt;empty&gt;&gt;">
      <formula>NOT(ISERROR(SEARCH("&lt;&lt;empty&gt;&gt;",AH15)))</formula>
    </cfRule>
  </conditionalFormatting>
  <conditionalFormatting sqref="AH12:AK12">
    <cfRule type="containsText" dxfId="611" priority="603" operator="containsText" text="&lt;&lt;empty&gt;&gt;">
      <formula>NOT(ISERROR(SEARCH("&lt;&lt;empty&gt;&gt;",AH12)))</formula>
    </cfRule>
  </conditionalFormatting>
  <conditionalFormatting sqref="AH9:AK9">
    <cfRule type="containsText" dxfId="610" priority="602" operator="containsText" text="&lt;&lt;empty&gt;&gt;">
      <formula>NOT(ISERROR(SEARCH("&lt;&lt;empty&gt;&gt;",AH9)))</formula>
    </cfRule>
  </conditionalFormatting>
  <conditionalFormatting sqref="AH6:AK6">
    <cfRule type="containsText" dxfId="609" priority="601" operator="containsText" text="&lt;&lt;empty&gt;&gt;">
      <formula>NOT(ISERROR(SEARCH("&lt;&lt;empty&gt;&gt;",AH6)))</formula>
    </cfRule>
  </conditionalFormatting>
  <conditionalFormatting sqref="AT5:AW16">
    <cfRule type="containsBlanks" dxfId="608" priority="600">
      <formula>LEN(TRIM(AT5))=0</formula>
    </cfRule>
  </conditionalFormatting>
  <conditionalFormatting sqref="AT15:AW15">
    <cfRule type="containsText" dxfId="607" priority="599" operator="containsText" text="&lt;&lt;empty&gt;&gt;">
      <formula>NOT(ISERROR(SEARCH("&lt;&lt;empty&gt;&gt;",AT15)))</formula>
    </cfRule>
  </conditionalFormatting>
  <conditionalFormatting sqref="AT12:AW12">
    <cfRule type="containsText" dxfId="606" priority="598" operator="containsText" text="&lt;&lt;empty&gt;&gt;">
      <formula>NOT(ISERROR(SEARCH("&lt;&lt;empty&gt;&gt;",AT12)))</formula>
    </cfRule>
  </conditionalFormatting>
  <conditionalFormatting sqref="AT9:AW9">
    <cfRule type="containsText" dxfId="605" priority="597" operator="containsText" text="&lt;&lt;empty&gt;&gt;">
      <formula>NOT(ISERROR(SEARCH("&lt;&lt;empty&gt;&gt;",AT9)))</formula>
    </cfRule>
  </conditionalFormatting>
  <conditionalFormatting sqref="AT6:AW6">
    <cfRule type="containsText" dxfId="604" priority="596" operator="containsText" text="&lt;&lt;empty&gt;&gt;">
      <formula>NOT(ISERROR(SEARCH("&lt;&lt;empty&gt;&gt;",AT6)))</formula>
    </cfRule>
  </conditionalFormatting>
  <conditionalFormatting sqref="AP5:AS16">
    <cfRule type="containsBlanks" dxfId="603" priority="595">
      <formula>LEN(TRIM(AP5))=0</formula>
    </cfRule>
  </conditionalFormatting>
  <conditionalFormatting sqref="AP15:AS15">
    <cfRule type="containsText" dxfId="602" priority="594" operator="containsText" text="&lt;&lt;empty&gt;&gt;">
      <formula>NOT(ISERROR(SEARCH("&lt;&lt;empty&gt;&gt;",AP15)))</formula>
    </cfRule>
  </conditionalFormatting>
  <conditionalFormatting sqref="AP12:AS12">
    <cfRule type="containsText" dxfId="601" priority="593" operator="containsText" text="&lt;&lt;empty&gt;&gt;">
      <formula>NOT(ISERROR(SEARCH("&lt;&lt;empty&gt;&gt;",AP12)))</formula>
    </cfRule>
  </conditionalFormatting>
  <conditionalFormatting sqref="AP9:AS9">
    <cfRule type="containsText" dxfId="600" priority="592" operator="containsText" text="&lt;&lt;empty&gt;&gt;">
      <formula>NOT(ISERROR(SEARCH("&lt;&lt;empty&gt;&gt;",AP9)))</formula>
    </cfRule>
  </conditionalFormatting>
  <conditionalFormatting sqref="AP6:AS6">
    <cfRule type="containsText" dxfId="599" priority="591" operator="containsText" text="&lt;&lt;empty&gt;&gt;">
      <formula>NOT(ISERROR(SEARCH("&lt;&lt;empty&gt;&gt;",AP6)))</formula>
    </cfRule>
  </conditionalFormatting>
  <conditionalFormatting sqref="BB5:BE16">
    <cfRule type="containsBlanks" dxfId="598" priority="590">
      <formula>LEN(TRIM(BB5))=0</formula>
    </cfRule>
  </conditionalFormatting>
  <conditionalFormatting sqref="BB15:BE15">
    <cfRule type="containsText" dxfId="597" priority="589" operator="containsText" text="&lt;&lt;empty&gt;&gt;">
      <formula>NOT(ISERROR(SEARCH("&lt;&lt;empty&gt;&gt;",BB15)))</formula>
    </cfRule>
  </conditionalFormatting>
  <conditionalFormatting sqref="BB12:BE12">
    <cfRule type="containsText" dxfId="596" priority="588" operator="containsText" text="&lt;&lt;empty&gt;&gt;">
      <formula>NOT(ISERROR(SEARCH("&lt;&lt;empty&gt;&gt;",BB12)))</formula>
    </cfRule>
  </conditionalFormatting>
  <conditionalFormatting sqref="BB9:BE9">
    <cfRule type="containsText" dxfId="595" priority="587" operator="containsText" text="&lt;&lt;empty&gt;&gt;">
      <formula>NOT(ISERROR(SEARCH("&lt;&lt;empty&gt;&gt;",BB9)))</formula>
    </cfRule>
  </conditionalFormatting>
  <conditionalFormatting sqref="BB6:BE6">
    <cfRule type="containsText" dxfId="594" priority="586" operator="containsText" text="&lt;&lt;empty&gt;&gt;">
      <formula>NOT(ISERROR(SEARCH("&lt;&lt;empty&gt;&gt;",BB6)))</formula>
    </cfRule>
  </conditionalFormatting>
  <conditionalFormatting sqref="AX5:BA16">
    <cfRule type="containsBlanks" dxfId="593" priority="585">
      <formula>LEN(TRIM(AX5))=0</formula>
    </cfRule>
  </conditionalFormatting>
  <conditionalFormatting sqref="AX15:BA15">
    <cfRule type="containsText" dxfId="592" priority="584" operator="containsText" text="&lt;&lt;empty&gt;&gt;">
      <formula>NOT(ISERROR(SEARCH("&lt;&lt;empty&gt;&gt;",AX15)))</formula>
    </cfRule>
  </conditionalFormatting>
  <conditionalFormatting sqref="AX12:BA12">
    <cfRule type="containsText" dxfId="591" priority="583" operator="containsText" text="&lt;&lt;empty&gt;&gt;">
      <formula>NOT(ISERROR(SEARCH("&lt;&lt;empty&gt;&gt;",AX12)))</formula>
    </cfRule>
  </conditionalFormatting>
  <conditionalFormatting sqref="AX9:BA9">
    <cfRule type="containsText" dxfId="590" priority="582" operator="containsText" text="&lt;&lt;empty&gt;&gt;">
      <formula>NOT(ISERROR(SEARCH("&lt;&lt;empty&gt;&gt;",AX9)))</formula>
    </cfRule>
  </conditionalFormatting>
  <conditionalFormatting sqref="AX6:BA6">
    <cfRule type="containsText" dxfId="589" priority="581" operator="containsText" text="&lt;&lt;empty&gt;&gt;">
      <formula>NOT(ISERROR(SEARCH("&lt;&lt;empty&gt;&gt;",AX6)))</formula>
    </cfRule>
  </conditionalFormatting>
  <conditionalFormatting sqref="BF5:BI16">
    <cfRule type="containsBlanks" dxfId="588" priority="580">
      <formula>LEN(TRIM(BF5))=0</formula>
    </cfRule>
  </conditionalFormatting>
  <conditionalFormatting sqref="BF15:BI15">
    <cfRule type="containsText" dxfId="587" priority="579" operator="containsText" text="&lt;&lt;empty&gt;&gt;">
      <formula>NOT(ISERROR(SEARCH("&lt;&lt;empty&gt;&gt;",BF15)))</formula>
    </cfRule>
  </conditionalFormatting>
  <conditionalFormatting sqref="BF12:BI12">
    <cfRule type="containsText" dxfId="586" priority="578" operator="containsText" text="&lt;&lt;empty&gt;&gt;">
      <formula>NOT(ISERROR(SEARCH("&lt;&lt;empty&gt;&gt;",BF12)))</formula>
    </cfRule>
  </conditionalFormatting>
  <conditionalFormatting sqref="BF9:BI9">
    <cfRule type="containsText" dxfId="585" priority="577" operator="containsText" text="&lt;&lt;empty&gt;&gt;">
      <formula>NOT(ISERROR(SEARCH("&lt;&lt;empty&gt;&gt;",BF9)))</formula>
    </cfRule>
  </conditionalFormatting>
  <conditionalFormatting sqref="BF6:BI6">
    <cfRule type="containsText" dxfId="584" priority="576" operator="containsText" text="&lt;&lt;empty&gt;&gt;">
      <formula>NOT(ISERROR(SEARCH("&lt;&lt;empty&gt;&gt;",BF6)))</formula>
    </cfRule>
  </conditionalFormatting>
  <conditionalFormatting sqref="BJ5:BM16">
    <cfRule type="containsBlanks" dxfId="583" priority="575">
      <formula>LEN(TRIM(BJ5))=0</formula>
    </cfRule>
  </conditionalFormatting>
  <conditionalFormatting sqref="BJ15:BM15">
    <cfRule type="containsText" dxfId="582" priority="574" operator="containsText" text="&lt;&lt;empty&gt;&gt;">
      <formula>NOT(ISERROR(SEARCH("&lt;&lt;empty&gt;&gt;",BJ15)))</formula>
    </cfRule>
  </conditionalFormatting>
  <conditionalFormatting sqref="BJ12:BM12">
    <cfRule type="containsText" dxfId="581" priority="573" operator="containsText" text="&lt;&lt;empty&gt;&gt;">
      <formula>NOT(ISERROR(SEARCH("&lt;&lt;empty&gt;&gt;",BJ12)))</formula>
    </cfRule>
  </conditionalFormatting>
  <conditionalFormatting sqref="BJ9:BM9">
    <cfRule type="containsText" dxfId="580" priority="572" operator="containsText" text="&lt;&lt;empty&gt;&gt;">
      <formula>NOT(ISERROR(SEARCH("&lt;&lt;empty&gt;&gt;",BJ9)))</formula>
    </cfRule>
  </conditionalFormatting>
  <conditionalFormatting sqref="BJ6:BM6">
    <cfRule type="containsText" dxfId="579" priority="571" operator="containsText" text="&lt;&lt;empty&gt;&gt;">
      <formula>NOT(ISERROR(SEARCH("&lt;&lt;empty&gt;&gt;",BJ6)))</formula>
    </cfRule>
  </conditionalFormatting>
  <conditionalFormatting sqref="F19:I30">
    <cfRule type="containsBlanks" dxfId="578" priority="570">
      <formula>LEN(TRIM(F19))=0</formula>
    </cfRule>
  </conditionalFormatting>
  <conditionalFormatting sqref="F29:I29">
    <cfRule type="containsText" dxfId="577" priority="569" operator="containsText" text="&lt;&lt;empty&gt;&gt;">
      <formula>NOT(ISERROR(SEARCH("&lt;&lt;empty&gt;&gt;",F29)))</formula>
    </cfRule>
  </conditionalFormatting>
  <conditionalFormatting sqref="F26:I26">
    <cfRule type="containsText" dxfId="576" priority="568" operator="containsText" text="&lt;&lt;empty&gt;&gt;">
      <formula>NOT(ISERROR(SEARCH("&lt;&lt;empty&gt;&gt;",F26)))</formula>
    </cfRule>
  </conditionalFormatting>
  <conditionalFormatting sqref="F23:I23">
    <cfRule type="containsText" dxfId="575" priority="567" operator="containsText" text="&lt;&lt;empty&gt;&gt;">
      <formula>NOT(ISERROR(SEARCH("&lt;&lt;empty&gt;&gt;",F23)))</formula>
    </cfRule>
  </conditionalFormatting>
  <conditionalFormatting sqref="F20:I20">
    <cfRule type="containsText" dxfId="574" priority="566" operator="containsText" text="&lt;&lt;empty&gt;&gt;">
      <formula>NOT(ISERROR(SEARCH("&lt;&lt;empty&gt;&gt;",F20)))</formula>
    </cfRule>
  </conditionalFormatting>
  <conditionalFormatting sqref="B19:E30">
    <cfRule type="containsBlanks" dxfId="573" priority="565">
      <formula>LEN(TRIM(B19))=0</formula>
    </cfRule>
  </conditionalFormatting>
  <conditionalFormatting sqref="B29:E29">
    <cfRule type="containsText" dxfId="572" priority="564" operator="containsText" text="&lt;&lt;empty&gt;&gt;">
      <formula>NOT(ISERROR(SEARCH("&lt;&lt;empty&gt;&gt;",B29)))</formula>
    </cfRule>
  </conditionalFormatting>
  <conditionalFormatting sqref="B26:E26">
    <cfRule type="containsText" dxfId="571" priority="563" operator="containsText" text="&lt;&lt;empty&gt;&gt;">
      <formula>NOT(ISERROR(SEARCH("&lt;&lt;empty&gt;&gt;",B26)))</formula>
    </cfRule>
  </conditionalFormatting>
  <conditionalFormatting sqref="B23:E23">
    <cfRule type="containsText" dxfId="570" priority="562" operator="containsText" text="&lt;&lt;empty&gt;&gt;">
      <formula>NOT(ISERROR(SEARCH("&lt;&lt;empty&gt;&gt;",B23)))</formula>
    </cfRule>
  </conditionalFormatting>
  <conditionalFormatting sqref="B20:E20">
    <cfRule type="containsText" dxfId="569" priority="561" operator="containsText" text="&lt;&lt;empty&gt;&gt;">
      <formula>NOT(ISERROR(SEARCH("&lt;&lt;empty&gt;&gt;",B20)))</formula>
    </cfRule>
  </conditionalFormatting>
  <conditionalFormatting sqref="N19:Q30">
    <cfRule type="containsBlanks" dxfId="568" priority="560">
      <formula>LEN(TRIM(N19))=0</formula>
    </cfRule>
  </conditionalFormatting>
  <conditionalFormatting sqref="N29:Q29">
    <cfRule type="containsText" dxfId="567" priority="559" operator="containsText" text="&lt;&lt;empty&gt;&gt;">
      <formula>NOT(ISERROR(SEARCH("&lt;&lt;empty&gt;&gt;",N29)))</formula>
    </cfRule>
  </conditionalFormatting>
  <conditionalFormatting sqref="N26:Q26">
    <cfRule type="containsText" dxfId="566" priority="558" operator="containsText" text="&lt;&lt;empty&gt;&gt;">
      <formula>NOT(ISERROR(SEARCH("&lt;&lt;empty&gt;&gt;",N26)))</formula>
    </cfRule>
  </conditionalFormatting>
  <conditionalFormatting sqref="N23:Q23">
    <cfRule type="containsText" dxfId="565" priority="557" operator="containsText" text="&lt;&lt;empty&gt;&gt;">
      <formula>NOT(ISERROR(SEARCH("&lt;&lt;empty&gt;&gt;",N23)))</formula>
    </cfRule>
  </conditionalFormatting>
  <conditionalFormatting sqref="N20:Q20">
    <cfRule type="containsText" dxfId="564" priority="556" operator="containsText" text="&lt;&lt;empty&gt;&gt;">
      <formula>NOT(ISERROR(SEARCH("&lt;&lt;empty&gt;&gt;",N20)))</formula>
    </cfRule>
  </conditionalFormatting>
  <conditionalFormatting sqref="J19:M30">
    <cfRule type="containsBlanks" dxfId="563" priority="555">
      <formula>LEN(TRIM(J19))=0</formula>
    </cfRule>
  </conditionalFormatting>
  <conditionalFormatting sqref="J29:M29">
    <cfRule type="containsText" dxfId="562" priority="554" operator="containsText" text="&lt;&lt;empty&gt;&gt;">
      <formula>NOT(ISERROR(SEARCH("&lt;&lt;empty&gt;&gt;",J29)))</formula>
    </cfRule>
  </conditionalFormatting>
  <conditionalFormatting sqref="J26:M26">
    <cfRule type="containsText" dxfId="561" priority="553" operator="containsText" text="&lt;&lt;empty&gt;&gt;">
      <formula>NOT(ISERROR(SEARCH("&lt;&lt;empty&gt;&gt;",J26)))</formula>
    </cfRule>
  </conditionalFormatting>
  <conditionalFormatting sqref="J23:M23">
    <cfRule type="containsText" dxfId="560" priority="552" operator="containsText" text="&lt;&lt;empty&gt;&gt;">
      <formula>NOT(ISERROR(SEARCH("&lt;&lt;empty&gt;&gt;",J23)))</formula>
    </cfRule>
  </conditionalFormatting>
  <conditionalFormatting sqref="J20:M20">
    <cfRule type="containsText" dxfId="559" priority="551" operator="containsText" text="&lt;&lt;empty&gt;&gt;">
      <formula>NOT(ISERROR(SEARCH("&lt;&lt;empty&gt;&gt;",J20)))</formula>
    </cfRule>
  </conditionalFormatting>
  <conditionalFormatting sqref="V19:Y30">
    <cfRule type="containsBlanks" dxfId="558" priority="550">
      <formula>LEN(TRIM(V19))=0</formula>
    </cfRule>
  </conditionalFormatting>
  <conditionalFormatting sqref="V29:Y29">
    <cfRule type="containsText" dxfId="557" priority="549" operator="containsText" text="&lt;&lt;empty&gt;&gt;">
      <formula>NOT(ISERROR(SEARCH("&lt;&lt;empty&gt;&gt;",V29)))</formula>
    </cfRule>
  </conditionalFormatting>
  <conditionalFormatting sqref="V26:Y26">
    <cfRule type="containsText" dxfId="556" priority="548" operator="containsText" text="&lt;&lt;empty&gt;&gt;">
      <formula>NOT(ISERROR(SEARCH("&lt;&lt;empty&gt;&gt;",V26)))</formula>
    </cfRule>
  </conditionalFormatting>
  <conditionalFormatting sqref="V23:Y23">
    <cfRule type="containsText" dxfId="555" priority="547" operator="containsText" text="&lt;&lt;empty&gt;&gt;">
      <formula>NOT(ISERROR(SEARCH("&lt;&lt;empty&gt;&gt;",V23)))</formula>
    </cfRule>
  </conditionalFormatting>
  <conditionalFormatting sqref="V20:Y20">
    <cfRule type="containsText" dxfId="554" priority="546" operator="containsText" text="&lt;&lt;empty&gt;&gt;">
      <formula>NOT(ISERROR(SEARCH("&lt;&lt;empty&gt;&gt;",V20)))</formula>
    </cfRule>
  </conditionalFormatting>
  <conditionalFormatting sqref="R19:U30">
    <cfRule type="containsBlanks" dxfId="553" priority="545">
      <formula>LEN(TRIM(R19))=0</formula>
    </cfRule>
  </conditionalFormatting>
  <conditionalFormatting sqref="R29:U29">
    <cfRule type="containsText" dxfId="552" priority="544" operator="containsText" text="&lt;&lt;empty&gt;&gt;">
      <formula>NOT(ISERROR(SEARCH("&lt;&lt;empty&gt;&gt;",R29)))</formula>
    </cfRule>
  </conditionalFormatting>
  <conditionalFormatting sqref="R26:U26">
    <cfRule type="containsText" dxfId="551" priority="543" operator="containsText" text="&lt;&lt;empty&gt;&gt;">
      <formula>NOT(ISERROR(SEARCH("&lt;&lt;empty&gt;&gt;",R26)))</formula>
    </cfRule>
  </conditionalFormatting>
  <conditionalFormatting sqref="R23:U23">
    <cfRule type="containsText" dxfId="550" priority="542" operator="containsText" text="&lt;&lt;empty&gt;&gt;">
      <formula>NOT(ISERROR(SEARCH("&lt;&lt;empty&gt;&gt;",R23)))</formula>
    </cfRule>
  </conditionalFormatting>
  <conditionalFormatting sqref="R20:U20">
    <cfRule type="containsText" dxfId="549" priority="541" operator="containsText" text="&lt;&lt;empty&gt;&gt;">
      <formula>NOT(ISERROR(SEARCH("&lt;&lt;empty&gt;&gt;",R20)))</formula>
    </cfRule>
  </conditionalFormatting>
  <conditionalFormatting sqref="AD19:AG30">
    <cfRule type="containsBlanks" dxfId="548" priority="540">
      <formula>LEN(TRIM(AD19))=0</formula>
    </cfRule>
  </conditionalFormatting>
  <conditionalFormatting sqref="AD29:AG29">
    <cfRule type="containsText" dxfId="547" priority="539" operator="containsText" text="&lt;&lt;empty&gt;&gt;">
      <formula>NOT(ISERROR(SEARCH("&lt;&lt;empty&gt;&gt;",AD29)))</formula>
    </cfRule>
  </conditionalFormatting>
  <conditionalFormatting sqref="AD26:AG26">
    <cfRule type="containsText" dxfId="546" priority="538" operator="containsText" text="&lt;&lt;empty&gt;&gt;">
      <formula>NOT(ISERROR(SEARCH("&lt;&lt;empty&gt;&gt;",AD26)))</formula>
    </cfRule>
  </conditionalFormatting>
  <conditionalFormatting sqref="AD23:AG23">
    <cfRule type="containsText" dxfId="545" priority="537" operator="containsText" text="&lt;&lt;empty&gt;&gt;">
      <formula>NOT(ISERROR(SEARCH("&lt;&lt;empty&gt;&gt;",AD23)))</formula>
    </cfRule>
  </conditionalFormatting>
  <conditionalFormatting sqref="AD20:AG20">
    <cfRule type="containsText" dxfId="544" priority="536" operator="containsText" text="&lt;&lt;empty&gt;&gt;">
      <formula>NOT(ISERROR(SEARCH("&lt;&lt;empty&gt;&gt;",AD20)))</formula>
    </cfRule>
  </conditionalFormatting>
  <conditionalFormatting sqref="Z19:AC30">
    <cfRule type="containsBlanks" dxfId="543" priority="535">
      <formula>LEN(TRIM(Z19))=0</formula>
    </cfRule>
  </conditionalFormatting>
  <conditionalFormatting sqref="Z29:AC29">
    <cfRule type="containsText" dxfId="542" priority="534" operator="containsText" text="&lt;&lt;empty&gt;&gt;">
      <formula>NOT(ISERROR(SEARCH("&lt;&lt;empty&gt;&gt;",Z29)))</formula>
    </cfRule>
  </conditionalFormatting>
  <conditionalFormatting sqref="Z26:AC26">
    <cfRule type="containsText" dxfId="541" priority="533" operator="containsText" text="&lt;&lt;empty&gt;&gt;">
      <formula>NOT(ISERROR(SEARCH("&lt;&lt;empty&gt;&gt;",Z26)))</formula>
    </cfRule>
  </conditionalFormatting>
  <conditionalFormatting sqref="Z23:AC23">
    <cfRule type="containsText" dxfId="540" priority="532" operator="containsText" text="&lt;&lt;empty&gt;&gt;">
      <formula>NOT(ISERROR(SEARCH("&lt;&lt;empty&gt;&gt;",Z23)))</formula>
    </cfRule>
  </conditionalFormatting>
  <conditionalFormatting sqref="Z20:AC20">
    <cfRule type="containsText" dxfId="539" priority="531" operator="containsText" text="&lt;&lt;empty&gt;&gt;">
      <formula>NOT(ISERROR(SEARCH("&lt;&lt;empty&gt;&gt;",Z20)))</formula>
    </cfRule>
  </conditionalFormatting>
  <conditionalFormatting sqref="AL19:AO30">
    <cfRule type="containsBlanks" dxfId="538" priority="530">
      <formula>LEN(TRIM(AL19))=0</formula>
    </cfRule>
  </conditionalFormatting>
  <conditionalFormatting sqref="AL29:AO29">
    <cfRule type="containsText" dxfId="537" priority="529" operator="containsText" text="&lt;&lt;empty&gt;&gt;">
      <formula>NOT(ISERROR(SEARCH("&lt;&lt;empty&gt;&gt;",AL29)))</formula>
    </cfRule>
  </conditionalFormatting>
  <conditionalFormatting sqref="AL26:AO26">
    <cfRule type="containsText" dxfId="536" priority="528" operator="containsText" text="&lt;&lt;empty&gt;&gt;">
      <formula>NOT(ISERROR(SEARCH("&lt;&lt;empty&gt;&gt;",AL26)))</formula>
    </cfRule>
  </conditionalFormatting>
  <conditionalFormatting sqref="AL23:AO23">
    <cfRule type="containsText" dxfId="535" priority="527" operator="containsText" text="&lt;&lt;empty&gt;&gt;">
      <formula>NOT(ISERROR(SEARCH("&lt;&lt;empty&gt;&gt;",AL23)))</formula>
    </cfRule>
  </conditionalFormatting>
  <conditionalFormatting sqref="AL20:AO20">
    <cfRule type="containsText" dxfId="534" priority="526" operator="containsText" text="&lt;&lt;empty&gt;&gt;">
      <formula>NOT(ISERROR(SEARCH("&lt;&lt;empty&gt;&gt;",AL20)))</formula>
    </cfRule>
  </conditionalFormatting>
  <conditionalFormatting sqref="AH19:AK30">
    <cfRule type="containsBlanks" dxfId="533" priority="525">
      <formula>LEN(TRIM(AH19))=0</formula>
    </cfRule>
  </conditionalFormatting>
  <conditionalFormatting sqref="AH29:AK29">
    <cfRule type="containsText" dxfId="532" priority="524" operator="containsText" text="&lt;&lt;empty&gt;&gt;">
      <formula>NOT(ISERROR(SEARCH("&lt;&lt;empty&gt;&gt;",AH29)))</formula>
    </cfRule>
  </conditionalFormatting>
  <conditionalFormatting sqref="AH26:AK26">
    <cfRule type="containsText" dxfId="531" priority="523" operator="containsText" text="&lt;&lt;empty&gt;&gt;">
      <formula>NOT(ISERROR(SEARCH("&lt;&lt;empty&gt;&gt;",AH26)))</formula>
    </cfRule>
  </conditionalFormatting>
  <conditionalFormatting sqref="AH23:AK23">
    <cfRule type="containsText" dxfId="530" priority="522" operator="containsText" text="&lt;&lt;empty&gt;&gt;">
      <formula>NOT(ISERROR(SEARCH("&lt;&lt;empty&gt;&gt;",AH23)))</formula>
    </cfRule>
  </conditionalFormatting>
  <conditionalFormatting sqref="AH20:AK20">
    <cfRule type="containsText" dxfId="529" priority="521" operator="containsText" text="&lt;&lt;empty&gt;&gt;">
      <formula>NOT(ISERROR(SEARCH("&lt;&lt;empty&gt;&gt;",AH20)))</formula>
    </cfRule>
  </conditionalFormatting>
  <conditionalFormatting sqref="AT19:AW30">
    <cfRule type="containsBlanks" dxfId="528" priority="520">
      <formula>LEN(TRIM(AT19))=0</formula>
    </cfRule>
  </conditionalFormatting>
  <conditionalFormatting sqref="AT29:AW29">
    <cfRule type="containsText" dxfId="527" priority="519" operator="containsText" text="&lt;&lt;empty&gt;&gt;">
      <formula>NOT(ISERROR(SEARCH("&lt;&lt;empty&gt;&gt;",AT29)))</formula>
    </cfRule>
  </conditionalFormatting>
  <conditionalFormatting sqref="AT26:AW26">
    <cfRule type="containsText" dxfId="526" priority="518" operator="containsText" text="&lt;&lt;empty&gt;&gt;">
      <formula>NOT(ISERROR(SEARCH("&lt;&lt;empty&gt;&gt;",AT26)))</formula>
    </cfRule>
  </conditionalFormatting>
  <conditionalFormatting sqref="AT23:AW23">
    <cfRule type="containsText" dxfId="525" priority="517" operator="containsText" text="&lt;&lt;empty&gt;&gt;">
      <formula>NOT(ISERROR(SEARCH("&lt;&lt;empty&gt;&gt;",AT23)))</formula>
    </cfRule>
  </conditionalFormatting>
  <conditionalFormatting sqref="AT20:AW20">
    <cfRule type="containsText" dxfId="524" priority="516" operator="containsText" text="&lt;&lt;empty&gt;&gt;">
      <formula>NOT(ISERROR(SEARCH("&lt;&lt;empty&gt;&gt;",AT20)))</formula>
    </cfRule>
  </conditionalFormatting>
  <conditionalFormatting sqref="AP19:AS30">
    <cfRule type="containsBlanks" dxfId="523" priority="515">
      <formula>LEN(TRIM(AP19))=0</formula>
    </cfRule>
  </conditionalFormatting>
  <conditionalFormatting sqref="AP29:AS29">
    <cfRule type="containsText" dxfId="522" priority="514" operator="containsText" text="&lt;&lt;empty&gt;&gt;">
      <formula>NOT(ISERROR(SEARCH("&lt;&lt;empty&gt;&gt;",AP29)))</formula>
    </cfRule>
  </conditionalFormatting>
  <conditionalFormatting sqref="AP26:AS26">
    <cfRule type="containsText" dxfId="521" priority="513" operator="containsText" text="&lt;&lt;empty&gt;&gt;">
      <formula>NOT(ISERROR(SEARCH("&lt;&lt;empty&gt;&gt;",AP26)))</formula>
    </cfRule>
  </conditionalFormatting>
  <conditionalFormatting sqref="AP23:AS23">
    <cfRule type="containsText" dxfId="520" priority="512" operator="containsText" text="&lt;&lt;empty&gt;&gt;">
      <formula>NOT(ISERROR(SEARCH("&lt;&lt;empty&gt;&gt;",AP23)))</formula>
    </cfRule>
  </conditionalFormatting>
  <conditionalFormatting sqref="AP20:AS20">
    <cfRule type="containsText" dxfId="519" priority="511" operator="containsText" text="&lt;&lt;empty&gt;&gt;">
      <formula>NOT(ISERROR(SEARCH("&lt;&lt;empty&gt;&gt;",AP20)))</formula>
    </cfRule>
  </conditionalFormatting>
  <conditionalFormatting sqref="BB19:BE30">
    <cfRule type="containsBlanks" dxfId="518" priority="510">
      <formula>LEN(TRIM(BB19))=0</formula>
    </cfRule>
  </conditionalFormatting>
  <conditionalFormatting sqref="BB29:BE29">
    <cfRule type="containsText" dxfId="517" priority="509" operator="containsText" text="&lt;&lt;empty&gt;&gt;">
      <formula>NOT(ISERROR(SEARCH("&lt;&lt;empty&gt;&gt;",BB29)))</formula>
    </cfRule>
  </conditionalFormatting>
  <conditionalFormatting sqref="BB26:BE26">
    <cfRule type="containsText" dxfId="516" priority="508" operator="containsText" text="&lt;&lt;empty&gt;&gt;">
      <formula>NOT(ISERROR(SEARCH("&lt;&lt;empty&gt;&gt;",BB26)))</formula>
    </cfRule>
  </conditionalFormatting>
  <conditionalFormatting sqref="BB23:BE23">
    <cfRule type="containsText" dxfId="515" priority="507" operator="containsText" text="&lt;&lt;empty&gt;&gt;">
      <formula>NOT(ISERROR(SEARCH("&lt;&lt;empty&gt;&gt;",BB23)))</formula>
    </cfRule>
  </conditionalFormatting>
  <conditionalFormatting sqref="BB20:BE20">
    <cfRule type="containsText" dxfId="514" priority="506" operator="containsText" text="&lt;&lt;empty&gt;&gt;">
      <formula>NOT(ISERROR(SEARCH("&lt;&lt;empty&gt;&gt;",BB20)))</formula>
    </cfRule>
  </conditionalFormatting>
  <conditionalFormatting sqref="AX19:BA30">
    <cfRule type="containsBlanks" dxfId="513" priority="505">
      <formula>LEN(TRIM(AX19))=0</formula>
    </cfRule>
  </conditionalFormatting>
  <conditionalFormatting sqref="AX29:BA29">
    <cfRule type="containsText" dxfId="512" priority="504" operator="containsText" text="&lt;&lt;empty&gt;&gt;">
      <formula>NOT(ISERROR(SEARCH("&lt;&lt;empty&gt;&gt;",AX29)))</formula>
    </cfRule>
  </conditionalFormatting>
  <conditionalFormatting sqref="AX26:BA26">
    <cfRule type="containsText" dxfId="511" priority="503" operator="containsText" text="&lt;&lt;empty&gt;&gt;">
      <formula>NOT(ISERROR(SEARCH("&lt;&lt;empty&gt;&gt;",AX26)))</formula>
    </cfRule>
  </conditionalFormatting>
  <conditionalFormatting sqref="AX23:BA23">
    <cfRule type="containsText" dxfId="510" priority="502" operator="containsText" text="&lt;&lt;empty&gt;&gt;">
      <formula>NOT(ISERROR(SEARCH("&lt;&lt;empty&gt;&gt;",AX23)))</formula>
    </cfRule>
  </conditionalFormatting>
  <conditionalFormatting sqref="AX20:BA20">
    <cfRule type="containsText" dxfId="509" priority="501" operator="containsText" text="&lt;&lt;empty&gt;&gt;">
      <formula>NOT(ISERROR(SEARCH("&lt;&lt;empty&gt;&gt;",AX20)))</formula>
    </cfRule>
  </conditionalFormatting>
  <conditionalFormatting sqref="BF19:BI30">
    <cfRule type="containsBlanks" dxfId="508" priority="500">
      <formula>LEN(TRIM(BF19))=0</formula>
    </cfRule>
  </conditionalFormatting>
  <conditionalFormatting sqref="BF29:BI29">
    <cfRule type="containsText" dxfId="507" priority="499" operator="containsText" text="&lt;&lt;empty&gt;&gt;">
      <formula>NOT(ISERROR(SEARCH("&lt;&lt;empty&gt;&gt;",BF29)))</formula>
    </cfRule>
  </conditionalFormatting>
  <conditionalFormatting sqref="BF26:BI26">
    <cfRule type="containsText" dxfId="506" priority="498" operator="containsText" text="&lt;&lt;empty&gt;&gt;">
      <formula>NOT(ISERROR(SEARCH("&lt;&lt;empty&gt;&gt;",BF26)))</formula>
    </cfRule>
  </conditionalFormatting>
  <conditionalFormatting sqref="BF23:BI23">
    <cfRule type="containsText" dxfId="505" priority="497" operator="containsText" text="&lt;&lt;empty&gt;&gt;">
      <formula>NOT(ISERROR(SEARCH("&lt;&lt;empty&gt;&gt;",BF23)))</formula>
    </cfRule>
  </conditionalFormatting>
  <conditionalFormatting sqref="BF20:BI20">
    <cfRule type="containsText" dxfId="504" priority="496" operator="containsText" text="&lt;&lt;empty&gt;&gt;">
      <formula>NOT(ISERROR(SEARCH("&lt;&lt;empty&gt;&gt;",BF20)))</formula>
    </cfRule>
  </conditionalFormatting>
  <conditionalFormatting sqref="BJ19:BM30">
    <cfRule type="containsBlanks" dxfId="503" priority="495">
      <formula>LEN(TRIM(BJ19))=0</formula>
    </cfRule>
  </conditionalFormatting>
  <conditionalFormatting sqref="BJ29:BM29">
    <cfRule type="containsText" dxfId="502" priority="494" operator="containsText" text="&lt;&lt;empty&gt;&gt;">
      <formula>NOT(ISERROR(SEARCH("&lt;&lt;empty&gt;&gt;",BJ29)))</formula>
    </cfRule>
  </conditionalFormatting>
  <conditionalFormatting sqref="BJ26:BM26">
    <cfRule type="containsText" dxfId="501" priority="493" operator="containsText" text="&lt;&lt;empty&gt;&gt;">
      <formula>NOT(ISERROR(SEARCH("&lt;&lt;empty&gt;&gt;",BJ26)))</formula>
    </cfRule>
  </conditionalFormatting>
  <conditionalFormatting sqref="BJ23:BM23">
    <cfRule type="containsText" dxfId="500" priority="492" operator="containsText" text="&lt;&lt;empty&gt;&gt;">
      <formula>NOT(ISERROR(SEARCH("&lt;&lt;empty&gt;&gt;",BJ23)))</formula>
    </cfRule>
  </conditionalFormatting>
  <conditionalFormatting sqref="BJ20:BM20">
    <cfRule type="containsText" dxfId="499" priority="491" operator="containsText" text="&lt;&lt;empty&gt;&gt;">
      <formula>NOT(ISERROR(SEARCH("&lt;&lt;empty&gt;&gt;",BJ20)))</formula>
    </cfRule>
  </conditionalFormatting>
  <conditionalFormatting sqref="F33:I44">
    <cfRule type="containsBlanks" dxfId="498" priority="490">
      <formula>LEN(TRIM(F33))=0</formula>
    </cfRule>
  </conditionalFormatting>
  <conditionalFormatting sqref="F43:I43">
    <cfRule type="containsText" dxfId="497" priority="489" operator="containsText" text="&lt;&lt;empty&gt;&gt;">
      <formula>NOT(ISERROR(SEARCH("&lt;&lt;empty&gt;&gt;",F43)))</formula>
    </cfRule>
  </conditionalFormatting>
  <conditionalFormatting sqref="F40:I40">
    <cfRule type="containsText" dxfId="496" priority="488" operator="containsText" text="&lt;&lt;empty&gt;&gt;">
      <formula>NOT(ISERROR(SEARCH("&lt;&lt;empty&gt;&gt;",F40)))</formula>
    </cfRule>
  </conditionalFormatting>
  <conditionalFormatting sqref="F37:I37">
    <cfRule type="containsText" dxfId="495" priority="487" operator="containsText" text="&lt;&lt;empty&gt;&gt;">
      <formula>NOT(ISERROR(SEARCH("&lt;&lt;empty&gt;&gt;",F37)))</formula>
    </cfRule>
  </conditionalFormatting>
  <conditionalFormatting sqref="F34:I34">
    <cfRule type="containsText" dxfId="494" priority="486" operator="containsText" text="&lt;&lt;empty&gt;&gt;">
      <formula>NOT(ISERROR(SEARCH("&lt;&lt;empty&gt;&gt;",F34)))</formula>
    </cfRule>
  </conditionalFormatting>
  <conditionalFormatting sqref="B33:E44">
    <cfRule type="containsBlanks" dxfId="493" priority="485">
      <formula>LEN(TRIM(B33))=0</formula>
    </cfRule>
  </conditionalFormatting>
  <conditionalFormatting sqref="B43:E43">
    <cfRule type="containsText" dxfId="492" priority="484" operator="containsText" text="&lt;&lt;empty&gt;&gt;">
      <formula>NOT(ISERROR(SEARCH("&lt;&lt;empty&gt;&gt;",B43)))</formula>
    </cfRule>
  </conditionalFormatting>
  <conditionalFormatting sqref="B40:E40">
    <cfRule type="containsText" dxfId="491" priority="483" operator="containsText" text="&lt;&lt;empty&gt;&gt;">
      <formula>NOT(ISERROR(SEARCH("&lt;&lt;empty&gt;&gt;",B40)))</formula>
    </cfRule>
  </conditionalFormatting>
  <conditionalFormatting sqref="B37:E37">
    <cfRule type="containsText" dxfId="490" priority="482" operator="containsText" text="&lt;&lt;empty&gt;&gt;">
      <formula>NOT(ISERROR(SEARCH("&lt;&lt;empty&gt;&gt;",B37)))</formula>
    </cfRule>
  </conditionalFormatting>
  <conditionalFormatting sqref="B34:E34">
    <cfRule type="containsText" dxfId="489" priority="481" operator="containsText" text="&lt;&lt;empty&gt;&gt;">
      <formula>NOT(ISERROR(SEARCH("&lt;&lt;empty&gt;&gt;",B34)))</formula>
    </cfRule>
  </conditionalFormatting>
  <conditionalFormatting sqref="N33:Q44">
    <cfRule type="containsBlanks" dxfId="488" priority="480">
      <formula>LEN(TRIM(N33))=0</formula>
    </cfRule>
  </conditionalFormatting>
  <conditionalFormatting sqref="N43:Q43">
    <cfRule type="containsText" dxfId="487" priority="479" operator="containsText" text="&lt;&lt;empty&gt;&gt;">
      <formula>NOT(ISERROR(SEARCH("&lt;&lt;empty&gt;&gt;",N43)))</formula>
    </cfRule>
  </conditionalFormatting>
  <conditionalFormatting sqref="N40:Q40">
    <cfRule type="containsText" dxfId="486" priority="478" operator="containsText" text="&lt;&lt;empty&gt;&gt;">
      <formula>NOT(ISERROR(SEARCH("&lt;&lt;empty&gt;&gt;",N40)))</formula>
    </cfRule>
  </conditionalFormatting>
  <conditionalFormatting sqref="N37:Q37">
    <cfRule type="containsText" dxfId="485" priority="477" operator="containsText" text="&lt;&lt;empty&gt;&gt;">
      <formula>NOT(ISERROR(SEARCH("&lt;&lt;empty&gt;&gt;",N37)))</formula>
    </cfRule>
  </conditionalFormatting>
  <conditionalFormatting sqref="N34:Q34">
    <cfRule type="containsText" dxfId="484" priority="476" operator="containsText" text="&lt;&lt;empty&gt;&gt;">
      <formula>NOT(ISERROR(SEARCH("&lt;&lt;empty&gt;&gt;",N34)))</formula>
    </cfRule>
  </conditionalFormatting>
  <conditionalFormatting sqref="V33:Y44">
    <cfRule type="containsBlanks" dxfId="483" priority="470">
      <formula>LEN(TRIM(V33))=0</formula>
    </cfRule>
  </conditionalFormatting>
  <conditionalFormatting sqref="V43:Y43">
    <cfRule type="containsText" dxfId="482" priority="469" operator="containsText" text="&lt;&lt;empty&gt;&gt;">
      <formula>NOT(ISERROR(SEARCH("&lt;&lt;empty&gt;&gt;",V43)))</formula>
    </cfRule>
  </conditionalFormatting>
  <conditionalFormatting sqref="V40:Y40">
    <cfRule type="containsText" dxfId="481" priority="468" operator="containsText" text="&lt;&lt;empty&gt;&gt;">
      <formula>NOT(ISERROR(SEARCH("&lt;&lt;empty&gt;&gt;",V40)))</formula>
    </cfRule>
  </conditionalFormatting>
  <conditionalFormatting sqref="V37:Y37">
    <cfRule type="containsText" dxfId="480" priority="467" operator="containsText" text="&lt;&lt;empty&gt;&gt;">
      <formula>NOT(ISERROR(SEARCH("&lt;&lt;empty&gt;&gt;",V37)))</formula>
    </cfRule>
  </conditionalFormatting>
  <conditionalFormatting sqref="V34:Y34">
    <cfRule type="containsText" dxfId="479" priority="466" operator="containsText" text="&lt;&lt;empty&gt;&gt;">
      <formula>NOT(ISERROR(SEARCH("&lt;&lt;empty&gt;&gt;",V34)))</formula>
    </cfRule>
  </conditionalFormatting>
  <conditionalFormatting sqref="R33:U44">
    <cfRule type="containsBlanks" dxfId="478" priority="465">
      <formula>LEN(TRIM(R33))=0</formula>
    </cfRule>
  </conditionalFormatting>
  <conditionalFormatting sqref="R43:U43">
    <cfRule type="containsText" dxfId="477" priority="464" operator="containsText" text="&lt;&lt;empty&gt;&gt;">
      <formula>NOT(ISERROR(SEARCH("&lt;&lt;empty&gt;&gt;",R43)))</formula>
    </cfRule>
  </conditionalFormatting>
  <conditionalFormatting sqref="R40:U40">
    <cfRule type="containsText" dxfId="476" priority="463" operator="containsText" text="&lt;&lt;empty&gt;&gt;">
      <formula>NOT(ISERROR(SEARCH("&lt;&lt;empty&gt;&gt;",R40)))</formula>
    </cfRule>
  </conditionalFormatting>
  <conditionalFormatting sqref="R37:U37">
    <cfRule type="containsText" dxfId="475" priority="462" operator="containsText" text="&lt;&lt;empty&gt;&gt;">
      <formula>NOT(ISERROR(SEARCH("&lt;&lt;empty&gt;&gt;",R37)))</formula>
    </cfRule>
  </conditionalFormatting>
  <conditionalFormatting sqref="R34:U34">
    <cfRule type="containsText" dxfId="474" priority="461" operator="containsText" text="&lt;&lt;empty&gt;&gt;">
      <formula>NOT(ISERROR(SEARCH("&lt;&lt;empty&gt;&gt;",R34)))</formula>
    </cfRule>
  </conditionalFormatting>
  <conditionalFormatting sqref="AD33:AG44">
    <cfRule type="containsBlanks" dxfId="473" priority="460">
      <formula>LEN(TRIM(AD33))=0</formula>
    </cfRule>
  </conditionalFormatting>
  <conditionalFormatting sqref="AD43:AG43">
    <cfRule type="containsText" dxfId="472" priority="459" operator="containsText" text="&lt;&lt;empty&gt;&gt;">
      <formula>NOT(ISERROR(SEARCH("&lt;&lt;empty&gt;&gt;",AD43)))</formula>
    </cfRule>
  </conditionalFormatting>
  <conditionalFormatting sqref="AD40:AG40">
    <cfRule type="containsText" dxfId="471" priority="458" operator="containsText" text="&lt;&lt;empty&gt;&gt;">
      <formula>NOT(ISERROR(SEARCH("&lt;&lt;empty&gt;&gt;",AD40)))</formula>
    </cfRule>
  </conditionalFormatting>
  <conditionalFormatting sqref="AD37:AG37">
    <cfRule type="containsText" dxfId="470" priority="457" operator="containsText" text="&lt;&lt;empty&gt;&gt;">
      <formula>NOT(ISERROR(SEARCH("&lt;&lt;empty&gt;&gt;",AD37)))</formula>
    </cfRule>
  </conditionalFormatting>
  <conditionalFormatting sqref="AD34:AG34">
    <cfRule type="containsText" dxfId="469" priority="456" operator="containsText" text="&lt;&lt;empty&gt;&gt;">
      <formula>NOT(ISERROR(SEARCH("&lt;&lt;empty&gt;&gt;",AD34)))</formula>
    </cfRule>
  </conditionalFormatting>
  <conditionalFormatting sqref="Z33:AC44">
    <cfRule type="containsBlanks" dxfId="468" priority="455">
      <formula>LEN(TRIM(Z33))=0</formula>
    </cfRule>
  </conditionalFormatting>
  <conditionalFormatting sqref="Z43:AC43">
    <cfRule type="containsText" dxfId="467" priority="454" operator="containsText" text="&lt;&lt;empty&gt;&gt;">
      <formula>NOT(ISERROR(SEARCH("&lt;&lt;empty&gt;&gt;",Z43)))</formula>
    </cfRule>
  </conditionalFormatting>
  <conditionalFormatting sqref="Z40:AC40">
    <cfRule type="containsText" dxfId="466" priority="453" operator="containsText" text="&lt;&lt;empty&gt;&gt;">
      <formula>NOT(ISERROR(SEARCH("&lt;&lt;empty&gt;&gt;",Z40)))</formula>
    </cfRule>
  </conditionalFormatting>
  <conditionalFormatting sqref="Z37:AC37">
    <cfRule type="containsText" dxfId="465" priority="452" operator="containsText" text="&lt;&lt;empty&gt;&gt;">
      <formula>NOT(ISERROR(SEARCH("&lt;&lt;empty&gt;&gt;",Z37)))</formula>
    </cfRule>
  </conditionalFormatting>
  <conditionalFormatting sqref="Z34:AC34">
    <cfRule type="containsText" dxfId="464" priority="451" operator="containsText" text="&lt;&lt;empty&gt;&gt;">
      <formula>NOT(ISERROR(SEARCH("&lt;&lt;empty&gt;&gt;",Z34)))</formula>
    </cfRule>
  </conditionalFormatting>
  <conditionalFormatting sqref="AL33:AO44">
    <cfRule type="containsBlanks" dxfId="463" priority="450">
      <formula>LEN(TRIM(AL33))=0</formula>
    </cfRule>
  </conditionalFormatting>
  <conditionalFormatting sqref="AL43:AO43">
    <cfRule type="containsText" dxfId="462" priority="449" operator="containsText" text="&lt;&lt;empty&gt;&gt;">
      <formula>NOT(ISERROR(SEARCH("&lt;&lt;empty&gt;&gt;",AL43)))</formula>
    </cfRule>
  </conditionalFormatting>
  <conditionalFormatting sqref="AL40:AO40">
    <cfRule type="containsText" dxfId="461" priority="448" operator="containsText" text="&lt;&lt;empty&gt;&gt;">
      <formula>NOT(ISERROR(SEARCH("&lt;&lt;empty&gt;&gt;",AL40)))</formula>
    </cfRule>
  </conditionalFormatting>
  <conditionalFormatting sqref="AL37:AO37">
    <cfRule type="containsText" dxfId="460" priority="447" operator="containsText" text="&lt;&lt;empty&gt;&gt;">
      <formula>NOT(ISERROR(SEARCH("&lt;&lt;empty&gt;&gt;",AL37)))</formula>
    </cfRule>
  </conditionalFormatting>
  <conditionalFormatting sqref="AL34:AO34">
    <cfRule type="containsText" dxfId="459" priority="446" operator="containsText" text="&lt;&lt;empty&gt;&gt;">
      <formula>NOT(ISERROR(SEARCH("&lt;&lt;empty&gt;&gt;",AL34)))</formula>
    </cfRule>
  </conditionalFormatting>
  <conditionalFormatting sqref="AH33:AK44">
    <cfRule type="containsBlanks" dxfId="458" priority="445">
      <formula>LEN(TRIM(AH33))=0</formula>
    </cfRule>
  </conditionalFormatting>
  <conditionalFormatting sqref="AH43:AK43">
    <cfRule type="containsText" dxfId="457" priority="444" operator="containsText" text="&lt;&lt;empty&gt;&gt;">
      <formula>NOT(ISERROR(SEARCH("&lt;&lt;empty&gt;&gt;",AH43)))</formula>
    </cfRule>
  </conditionalFormatting>
  <conditionalFormatting sqref="AH40:AK40">
    <cfRule type="containsText" dxfId="456" priority="443" operator="containsText" text="&lt;&lt;empty&gt;&gt;">
      <formula>NOT(ISERROR(SEARCH("&lt;&lt;empty&gt;&gt;",AH40)))</formula>
    </cfRule>
  </conditionalFormatting>
  <conditionalFormatting sqref="AH37:AK37">
    <cfRule type="containsText" dxfId="455" priority="442" operator="containsText" text="&lt;&lt;empty&gt;&gt;">
      <formula>NOT(ISERROR(SEARCH("&lt;&lt;empty&gt;&gt;",AH37)))</formula>
    </cfRule>
  </conditionalFormatting>
  <conditionalFormatting sqref="AH34:AK34">
    <cfRule type="containsText" dxfId="454" priority="441" operator="containsText" text="&lt;&lt;empty&gt;&gt;">
      <formula>NOT(ISERROR(SEARCH("&lt;&lt;empty&gt;&gt;",AH34)))</formula>
    </cfRule>
  </conditionalFormatting>
  <conditionalFormatting sqref="AT33:AW44">
    <cfRule type="containsBlanks" dxfId="453" priority="440">
      <formula>LEN(TRIM(AT33))=0</formula>
    </cfRule>
  </conditionalFormatting>
  <conditionalFormatting sqref="AT43:AW43">
    <cfRule type="containsText" dxfId="452" priority="439" operator="containsText" text="&lt;&lt;empty&gt;&gt;">
      <formula>NOT(ISERROR(SEARCH("&lt;&lt;empty&gt;&gt;",AT43)))</formula>
    </cfRule>
  </conditionalFormatting>
  <conditionalFormatting sqref="AT40:AW40">
    <cfRule type="containsText" dxfId="451" priority="438" operator="containsText" text="&lt;&lt;empty&gt;&gt;">
      <formula>NOT(ISERROR(SEARCH("&lt;&lt;empty&gt;&gt;",AT40)))</formula>
    </cfRule>
  </conditionalFormatting>
  <conditionalFormatting sqref="AT37:AW37">
    <cfRule type="containsText" dxfId="450" priority="437" operator="containsText" text="&lt;&lt;empty&gt;&gt;">
      <formula>NOT(ISERROR(SEARCH("&lt;&lt;empty&gt;&gt;",AT37)))</formula>
    </cfRule>
  </conditionalFormatting>
  <conditionalFormatting sqref="AT34:AW34">
    <cfRule type="containsText" dxfId="449" priority="436" operator="containsText" text="&lt;&lt;empty&gt;&gt;">
      <formula>NOT(ISERROR(SEARCH("&lt;&lt;empty&gt;&gt;",AT34)))</formula>
    </cfRule>
  </conditionalFormatting>
  <conditionalFormatting sqref="AP33:AS44">
    <cfRule type="containsBlanks" dxfId="448" priority="435">
      <formula>LEN(TRIM(AP33))=0</formula>
    </cfRule>
  </conditionalFormatting>
  <conditionalFormatting sqref="AP43:AS43">
    <cfRule type="containsText" dxfId="447" priority="434" operator="containsText" text="&lt;&lt;empty&gt;&gt;">
      <formula>NOT(ISERROR(SEARCH("&lt;&lt;empty&gt;&gt;",AP43)))</formula>
    </cfRule>
  </conditionalFormatting>
  <conditionalFormatting sqref="AP40:AS40">
    <cfRule type="containsText" dxfId="446" priority="433" operator="containsText" text="&lt;&lt;empty&gt;&gt;">
      <formula>NOT(ISERROR(SEARCH("&lt;&lt;empty&gt;&gt;",AP40)))</formula>
    </cfRule>
  </conditionalFormatting>
  <conditionalFormatting sqref="AP37:AS37">
    <cfRule type="containsText" dxfId="445" priority="432" operator="containsText" text="&lt;&lt;empty&gt;&gt;">
      <formula>NOT(ISERROR(SEARCH("&lt;&lt;empty&gt;&gt;",AP37)))</formula>
    </cfRule>
  </conditionalFormatting>
  <conditionalFormatting sqref="AP34:AS34">
    <cfRule type="containsText" dxfId="444" priority="431" operator="containsText" text="&lt;&lt;empty&gt;&gt;">
      <formula>NOT(ISERROR(SEARCH("&lt;&lt;empty&gt;&gt;",AP34)))</formula>
    </cfRule>
  </conditionalFormatting>
  <conditionalFormatting sqref="BB33:BE44">
    <cfRule type="containsBlanks" dxfId="443" priority="430">
      <formula>LEN(TRIM(BB33))=0</formula>
    </cfRule>
  </conditionalFormatting>
  <conditionalFormatting sqref="BB43:BE43">
    <cfRule type="containsText" dxfId="442" priority="429" operator="containsText" text="&lt;&lt;empty&gt;&gt;">
      <formula>NOT(ISERROR(SEARCH("&lt;&lt;empty&gt;&gt;",BB43)))</formula>
    </cfRule>
  </conditionalFormatting>
  <conditionalFormatting sqref="BB40:BE40">
    <cfRule type="containsText" dxfId="441" priority="428" operator="containsText" text="&lt;&lt;empty&gt;&gt;">
      <formula>NOT(ISERROR(SEARCH("&lt;&lt;empty&gt;&gt;",BB40)))</formula>
    </cfRule>
  </conditionalFormatting>
  <conditionalFormatting sqref="BB37:BE37">
    <cfRule type="containsText" dxfId="440" priority="427" operator="containsText" text="&lt;&lt;empty&gt;&gt;">
      <formula>NOT(ISERROR(SEARCH("&lt;&lt;empty&gt;&gt;",BB37)))</formula>
    </cfRule>
  </conditionalFormatting>
  <conditionalFormatting sqref="BB34:BE34">
    <cfRule type="containsText" dxfId="439" priority="426" operator="containsText" text="&lt;&lt;empty&gt;&gt;">
      <formula>NOT(ISERROR(SEARCH("&lt;&lt;empty&gt;&gt;",BB34)))</formula>
    </cfRule>
  </conditionalFormatting>
  <conditionalFormatting sqref="AX33:BA44">
    <cfRule type="containsBlanks" dxfId="438" priority="425">
      <formula>LEN(TRIM(AX33))=0</formula>
    </cfRule>
  </conditionalFormatting>
  <conditionalFormatting sqref="AX43:BA43">
    <cfRule type="containsText" dxfId="437" priority="424" operator="containsText" text="&lt;&lt;empty&gt;&gt;">
      <formula>NOT(ISERROR(SEARCH("&lt;&lt;empty&gt;&gt;",AX43)))</formula>
    </cfRule>
  </conditionalFormatting>
  <conditionalFormatting sqref="AX40:BA40">
    <cfRule type="containsText" dxfId="436" priority="423" operator="containsText" text="&lt;&lt;empty&gt;&gt;">
      <formula>NOT(ISERROR(SEARCH("&lt;&lt;empty&gt;&gt;",AX40)))</formula>
    </cfRule>
  </conditionalFormatting>
  <conditionalFormatting sqref="AX37:BA37">
    <cfRule type="containsText" dxfId="435" priority="422" operator="containsText" text="&lt;&lt;empty&gt;&gt;">
      <formula>NOT(ISERROR(SEARCH("&lt;&lt;empty&gt;&gt;",AX37)))</formula>
    </cfRule>
  </conditionalFormatting>
  <conditionalFormatting sqref="AX34:BA34">
    <cfRule type="containsText" dxfId="434" priority="421" operator="containsText" text="&lt;&lt;empty&gt;&gt;">
      <formula>NOT(ISERROR(SEARCH("&lt;&lt;empty&gt;&gt;",AX34)))</formula>
    </cfRule>
  </conditionalFormatting>
  <conditionalFormatting sqref="BF33:BI44">
    <cfRule type="containsBlanks" dxfId="433" priority="420">
      <formula>LEN(TRIM(BF33))=0</formula>
    </cfRule>
  </conditionalFormatting>
  <conditionalFormatting sqref="BF43:BI43">
    <cfRule type="containsText" dxfId="432" priority="419" operator="containsText" text="&lt;&lt;empty&gt;&gt;">
      <formula>NOT(ISERROR(SEARCH("&lt;&lt;empty&gt;&gt;",BF43)))</formula>
    </cfRule>
  </conditionalFormatting>
  <conditionalFormatting sqref="BF40:BI40">
    <cfRule type="containsText" dxfId="431" priority="418" operator="containsText" text="&lt;&lt;empty&gt;&gt;">
      <formula>NOT(ISERROR(SEARCH("&lt;&lt;empty&gt;&gt;",BF40)))</formula>
    </cfRule>
  </conditionalFormatting>
  <conditionalFormatting sqref="BF37:BI37">
    <cfRule type="containsText" dxfId="430" priority="417" operator="containsText" text="&lt;&lt;empty&gt;&gt;">
      <formula>NOT(ISERROR(SEARCH("&lt;&lt;empty&gt;&gt;",BF37)))</formula>
    </cfRule>
  </conditionalFormatting>
  <conditionalFormatting sqref="BF34:BI34">
    <cfRule type="containsText" dxfId="429" priority="416" operator="containsText" text="&lt;&lt;empty&gt;&gt;">
      <formula>NOT(ISERROR(SEARCH("&lt;&lt;empty&gt;&gt;",BF34)))</formula>
    </cfRule>
  </conditionalFormatting>
  <conditionalFormatting sqref="BJ33:BM44">
    <cfRule type="containsBlanks" dxfId="428" priority="415">
      <formula>LEN(TRIM(BJ33))=0</formula>
    </cfRule>
  </conditionalFormatting>
  <conditionalFormatting sqref="BJ43:BM43">
    <cfRule type="containsText" dxfId="427" priority="414" operator="containsText" text="&lt;&lt;empty&gt;&gt;">
      <formula>NOT(ISERROR(SEARCH("&lt;&lt;empty&gt;&gt;",BJ43)))</formula>
    </cfRule>
  </conditionalFormatting>
  <conditionalFormatting sqref="BJ40:BM40">
    <cfRule type="containsText" dxfId="426" priority="413" operator="containsText" text="&lt;&lt;empty&gt;&gt;">
      <formula>NOT(ISERROR(SEARCH("&lt;&lt;empty&gt;&gt;",BJ40)))</formula>
    </cfRule>
  </conditionalFormatting>
  <conditionalFormatting sqref="BJ37:BM37">
    <cfRule type="containsText" dxfId="425" priority="412" operator="containsText" text="&lt;&lt;empty&gt;&gt;">
      <formula>NOT(ISERROR(SEARCH("&lt;&lt;empty&gt;&gt;",BJ37)))</formula>
    </cfRule>
  </conditionalFormatting>
  <conditionalFormatting sqref="BJ34:BM34">
    <cfRule type="containsText" dxfId="424" priority="411" operator="containsText" text="&lt;&lt;empty&gt;&gt;">
      <formula>NOT(ISERROR(SEARCH("&lt;&lt;empty&gt;&gt;",BJ34)))</formula>
    </cfRule>
  </conditionalFormatting>
  <conditionalFormatting sqref="F47:I58">
    <cfRule type="containsBlanks" dxfId="423" priority="410">
      <formula>LEN(TRIM(F47))=0</formula>
    </cfRule>
  </conditionalFormatting>
  <conditionalFormatting sqref="F57:I57">
    <cfRule type="containsText" dxfId="422" priority="409" operator="containsText" text="&lt;&lt;empty&gt;&gt;">
      <formula>NOT(ISERROR(SEARCH("&lt;&lt;empty&gt;&gt;",F57)))</formula>
    </cfRule>
  </conditionalFormatting>
  <conditionalFormatting sqref="F54:I54">
    <cfRule type="containsText" dxfId="421" priority="408" operator="containsText" text="&lt;&lt;empty&gt;&gt;">
      <formula>NOT(ISERROR(SEARCH("&lt;&lt;empty&gt;&gt;",F54)))</formula>
    </cfRule>
  </conditionalFormatting>
  <conditionalFormatting sqref="F51:I51">
    <cfRule type="containsText" dxfId="420" priority="407" operator="containsText" text="&lt;&lt;empty&gt;&gt;">
      <formula>NOT(ISERROR(SEARCH("&lt;&lt;empty&gt;&gt;",F51)))</formula>
    </cfRule>
  </conditionalFormatting>
  <conditionalFormatting sqref="F48:I48">
    <cfRule type="containsText" dxfId="419" priority="406" operator="containsText" text="&lt;&lt;empty&gt;&gt;">
      <formula>NOT(ISERROR(SEARCH("&lt;&lt;empty&gt;&gt;",F48)))</formula>
    </cfRule>
  </conditionalFormatting>
  <conditionalFormatting sqref="B47:E58">
    <cfRule type="containsBlanks" dxfId="418" priority="405">
      <formula>LEN(TRIM(B47))=0</formula>
    </cfRule>
  </conditionalFormatting>
  <conditionalFormatting sqref="B57:E57">
    <cfRule type="containsText" dxfId="417" priority="404" operator="containsText" text="&lt;&lt;empty&gt;&gt;">
      <formula>NOT(ISERROR(SEARCH("&lt;&lt;empty&gt;&gt;",B57)))</formula>
    </cfRule>
  </conditionalFormatting>
  <conditionalFormatting sqref="B54:E54">
    <cfRule type="containsText" dxfId="416" priority="403" operator="containsText" text="&lt;&lt;empty&gt;&gt;">
      <formula>NOT(ISERROR(SEARCH("&lt;&lt;empty&gt;&gt;",B54)))</formula>
    </cfRule>
  </conditionalFormatting>
  <conditionalFormatting sqref="B51:E51">
    <cfRule type="containsText" dxfId="415" priority="402" operator="containsText" text="&lt;&lt;empty&gt;&gt;">
      <formula>NOT(ISERROR(SEARCH("&lt;&lt;empty&gt;&gt;",B51)))</formula>
    </cfRule>
  </conditionalFormatting>
  <conditionalFormatting sqref="B48:E48">
    <cfRule type="containsText" dxfId="414" priority="401" operator="containsText" text="&lt;&lt;empty&gt;&gt;">
      <formula>NOT(ISERROR(SEARCH("&lt;&lt;empty&gt;&gt;",B48)))</formula>
    </cfRule>
  </conditionalFormatting>
  <conditionalFormatting sqref="N47:Q58">
    <cfRule type="containsBlanks" dxfId="413" priority="400">
      <formula>LEN(TRIM(N47))=0</formula>
    </cfRule>
  </conditionalFormatting>
  <conditionalFormatting sqref="N57:Q57">
    <cfRule type="containsText" dxfId="412" priority="399" operator="containsText" text="&lt;&lt;empty&gt;&gt;">
      <formula>NOT(ISERROR(SEARCH("&lt;&lt;empty&gt;&gt;",N57)))</formula>
    </cfRule>
  </conditionalFormatting>
  <conditionalFormatting sqref="N54:Q54">
    <cfRule type="containsText" dxfId="411" priority="398" operator="containsText" text="&lt;&lt;empty&gt;&gt;">
      <formula>NOT(ISERROR(SEARCH("&lt;&lt;empty&gt;&gt;",N54)))</formula>
    </cfRule>
  </conditionalFormatting>
  <conditionalFormatting sqref="N51:Q51">
    <cfRule type="containsText" dxfId="410" priority="397" operator="containsText" text="&lt;&lt;empty&gt;&gt;">
      <formula>NOT(ISERROR(SEARCH("&lt;&lt;empty&gt;&gt;",N51)))</formula>
    </cfRule>
  </conditionalFormatting>
  <conditionalFormatting sqref="N48:Q48">
    <cfRule type="containsText" dxfId="409" priority="396" operator="containsText" text="&lt;&lt;empty&gt;&gt;">
      <formula>NOT(ISERROR(SEARCH("&lt;&lt;empty&gt;&gt;",N48)))</formula>
    </cfRule>
  </conditionalFormatting>
  <conditionalFormatting sqref="J47:M58">
    <cfRule type="containsBlanks" dxfId="408" priority="395">
      <formula>LEN(TRIM(J47))=0</formula>
    </cfRule>
  </conditionalFormatting>
  <conditionalFormatting sqref="J57:M57">
    <cfRule type="containsText" dxfId="407" priority="394" operator="containsText" text="&lt;&lt;empty&gt;&gt;">
      <formula>NOT(ISERROR(SEARCH("&lt;&lt;empty&gt;&gt;",J57)))</formula>
    </cfRule>
  </conditionalFormatting>
  <conditionalFormatting sqref="J54:M54">
    <cfRule type="containsText" dxfId="406" priority="393" operator="containsText" text="&lt;&lt;empty&gt;&gt;">
      <formula>NOT(ISERROR(SEARCH("&lt;&lt;empty&gt;&gt;",J54)))</formula>
    </cfRule>
  </conditionalFormatting>
  <conditionalFormatting sqref="J51:M51">
    <cfRule type="containsText" dxfId="405" priority="392" operator="containsText" text="&lt;&lt;empty&gt;&gt;">
      <formula>NOT(ISERROR(SEARCH("&lt;&lt;empty&gt;&gt;",J51)))</formula>
    </cfRule>
  </conditionalFormatting>
  <conditionalFormatting sqref="J48:M48">
    <cfRule type="containsText" dxfId="404" priority="391" operator="containsText" text="&lt;&lt;empty&gt;&gt;">
      <formula>NOT(ISERROR(SEARCH("&lt;&lt;empty&gt;&gt;",J48)))</formula>
    </cfRule>
  </conditionalFormatting>
  <conditionalFormatting sqref="V47:Y58">
    <cfRule type="containsBlanks" dxfId="403" priority="390">
      <formula>LEN(TRIM(V47))=0</formula>
    </cfRule>
  </conditionalFormatting>
  <conditionalFormatting sqref="V57:Y57">
    <cfRule type="containsText" dxfId="402" priority="389" operator="containsText" text="&lt;&lt;empty&gt;&gt;">
      <formula>NOT(ISERROR(SEARCH("&lt;&lt;empty&gt;&gt;",V57)))</formula>
    </cfRule>
  </conditionalFormatting>
  <conditionalFormatting sqref="V54:Y54">
    <cfRule type="containsText" dxfId="401" priority="388" operator="containsText" text="&lt;&lt;empty&gt;&gt;">
      <formula>NOT(ISERROR(SEARCH("&lt;&lt;empty&gt;&gt;",V54)))</formula>
    </cfRule>
  </conditionalFormatting>
  <conditionalFormatting sqref="V51:Y51">
    <cfRule type="containsText" dxfId="400" priority="387" operator="containsText" text="&lt;&lt;empty&gt;&gt;">
      <formula>NOT(ISERROR(SEARCH("&lt;&lt;empty&gt;&gt;",V51)))</formula>
    </cfRule>
  </conditionalFormatting>
  <conditionalFormatting sqref="V48:Y48">
    <cfRule type="containsText" dxfId="399" priority="386" operator="containsText" text="&lt;&lt;empty&gt;&gt;">
      <formula>NOT(ISERROR(SEARCH("&lt;&lt;empty&gt;&gt;",V48)))</formula>
    </cfRule>
  </conditionalFormatting>
  <conditionalFormatting sqref="R47:U58">
    <cfRule type="containsBlanks" dxfId="398" priority="385">
      <formula>LEN(TRIM(R47))=0</formula>
    </cfRule>
  </conditionalFormatting>
  <conditionalFormatting sqref="R57:U57">
    <cfRule type="containsText" dxfId="397" priority="384" operator="containsText" text="&lt;&lt;empty&gt;&gt;">
      <formula>NOT(ISERROR(SEARCH("&lt;&lt;empty&gt;&gt;",R57)))</formula>
    </cfRule>
  </conditionalFormatting>
  <conditionalFormatting sqref="R54:U54">
    <cfRule type="containsText" dxfId="396" priority="383" operator="containsText" text="&lt;&lt;empty&gt;&gt;">
      <formula>NOT(ISERROR(SEARCH("&lt;&lt;empty&gt;&gt;",R54)))</formula>
    </cfRule>
  </conditionalFormatting>
  <conditionalFormatting sqref="R51:U51">
    <cfRule type="containsText" dxfId="395" priority="382" operator="containsText" text="&lt;&lt;empty&gt;&gt;">
      <formula>NOT(ISERROR(SEARCH("&lt;&lt;empty&gt;&gt;",R51)))</formula>
    </cfRule>
  </conditionalFormatting>
  <conditionalFormatting sqref="R48:U48">
    <cfRule type="containsText" dxfId="394" priority="381" operator="containsText" text="&lt;&lt;empty&gt;&gt;">
      <formula>NOT(ISERROR(SEARCH("&lt;&lt;empty&gt;&gt;",R48)))</formula>
    </cfRule>
  </conditionalFormatting>
  <conditionalFormatting sqref="AD47:AG58">
    <cfRule type="containsBlanks" dxfId="393" priority="380">
      <formula>LEN(TRIM(AD47))=0</formula>
    </cfRule>
  </conditionalFormatting>
  <conditionalFormatting sqref="AD57:AG57">
    <cfRule type="containsText" dxfId="392" priority="379" operator="containsText" text="&lt;&lt;empty&gt;&gt;">
      <formula>NOT(ISERROR(SEARCH("&lt;&lt;empty&gt;&gt;",AD57)))</formula>
    </cfRule>
  </conditionalFormatting>
  <conditionalFormatting sqref="AD54:AG54">
    <cfRule type="containsText" dxfId="391" priority="378" operator="containsText" text="&lt;&lt;empty&gt;&gt;">
      <formula>NOT(ISERROR(SEARCH("&lt;&lt;empty&gt;&gt;",AD54)))</formula>
    </cfRule>
  </conditionalFormatting>
  <conditionalFormatting sqref="AD51:AG51">
    <cfRule type="containsText" dxfId="390" priority="377" operator="containsText" text="&lt;&lt;empty&gt;&gt;">
      <formula>NOT(ISERROR(SEARCH("&lt;&lt;empty&gt;&gt;",AD51)))</formula>
    </cfRule>
  </conditionalFormatting>
  <conditionalFormatting sqref="AD48:AG48">
    <cfRule type="containsText" dxfId="389" priority="376" operator="containsText" text="&lt;&lt;empty&gt;&gt;">
      <formula>NOT(ISERROR(SEARCH("&lt;&lt;empty&gt;&gt;",AD48)))</formula>
    </cfRule>
  </conditionalFormatting>
  <conditionalFormatting sqref="Z47:AC58">
    <cfRule type="containsBlanks" dxfId="388" priority="375">
      <formula>LEN(TRIM(Z47))=0</formula>
    </cfRule>
  </conditionalFormatting>
  <conditionalFormatting sqref="Z57:AC57">
    <cfRule type="containsText" dxfId="387" priority="374" operator="containsText" text="&lt;&lt;empty&gt;&gt;">
      <formula>NOT(ISERROR(SEARCH("&lt;&lt;empty&gt;&gt;",Z57)))</formula>
    </cfRule>
  </conditionalFormatting>
  <conditionalFormatting sqref="Z54:AC54">
    <cfRule type="containsText" dxfId="386" priority="373" operator="containsText" text="&lt;&lt;empty&gt;&gt;">
      <formula>NOT(ISERROR(SEARCH("&lt;&lt;empty&gt;&gt;",Z54)))</formula>
    </cfRule>
  </conditionalFormatting>
  <conditionalFormatting sqref="Z51:AC51">
    <cfRule type="containsText" dxfId="385" priority="372" operator="containsText" text="&lt;&lt;empty&gt;&gt;">
      <formula>NOT(ISERROR(SEARCH("&lt;&lt;empty&gt;&gt;",Z51)))</formula>
    </cfRule>
  </conditionalFormatting>
  <conditionalFormatting sqref="Z48:AC48">
    <cfRule type="containsText" dxfId="384" priority="371" operator="containsText" text="&lt;&lt;empty&gt;&gt;">
      <formula>NOT(ISERROR(SEARCH("&lt;&lt;empty&gt;&gt;",Z48)))</formula>
    </cfRule>
  </conditionalFormatting>
  <conditionalFormatting sqref="AL47:AO58">
    <cfRule type="containsBlanks" dxfId="383" priority="370">
      <formula>LEN(TRIM(AL47))=0</formula>
    </cfRule>
  </conditionalFormatting>
  <conditionalFormatting sqref="AL57:AO57">
    <cfRule type="containsText" dxfId="382" priority="369" operator="containsText" text="&lt;&lt;empty&gt;&gt;">
      <formula>NOT(ISERROR(SEARCH("&lt;&lt;empty&gt;&gt;",AL57)))</formula>
    </cfRule>
  </conditionalFormatting>
  <conditionalFormatting sqref="AL54:AO54">
    <cfRule type="containsText" dxfId="381" priority="368" operator="containsText" text="&lt;&lt;empty&gt;&gt;">
      <formula>NOT(ISERROR(SEARCH("&lt;&lt;empty&gt;&gt;",AL54)))</formula>
    </cfRule>
  </conditionalFormatting>
  <conditionalFormatting sqref="AL51:AO51">
    <cfRule type="containsText" dxfId="380" priority="367" operator="containsText" text="&lt;&lt;empty&gt;&gt;">
      <formula>NOT(ISERROR(SEARCH("&lt;&lt;empty&gt;&gt;",AL51)))</formula>
    </cfRule>
  </conditionalFormatting>
  <conditionalFormatting sqref="AL48:AO48">
    <cfRule type="containsText" dxfId="379" priority="366" operator="containsText" text="&lt;&lt;empty&gt;&gt;">
      <formula>NOT(ISERROR(SEARCH("&lt;&lt;empty&gt;&gt;",AL48)))</formula>
    </cfRule>
  </conditionalFormatting>
  <conditionalFormatting sqref="AH47:AK58">
    <cfRule type="containsBlanks" dxfId="378" priority="365">
      <formula>LEN(TRIM(AH47))=0</formula>
    </cfRule>
  </conditionalFormatting>
  <conditionalFormatting sqref="AH57:AK57">
    <cfRule type="containsText" dxfId="377" priority="364" operator="containsText" text="&lt;&lt;empty&gt;&gt;">
      <formula>NOT(ISERROR(SEARCH("&lt;&lt;empty&gt;&gt;",AH57)))</formula>
    </cfRule>
  </conditionalFormatting>
  <conditionalFormatting sqref="AH54:AK54">
    <cfRule type="containsText" dxfId="376" priority="363" operator="containsText" text="&lt;&lt;empty&gt;&gt;">
      <formula>NOT(ISERROR(SEARCH("&lt;&lt;empty&gt;&gt;",AH54)))</formula>
    </cfRule>
  </conditionalFormatting>
  <conditionalFormatting sqref="AH51:AK51">
    <cfRule type="containsText" dxfId="375" priority="362" operator="containsText" text="&lt;&lt;empty&gt;&gt;">
      <formula>NOT(ISERROR(SEARCH("&lt;&lt;empty&gt;&gt;",AH51)))</formula>
    </cfRule>
  </conditionalFormatting>
  <conditionalFormatting sqref="AH48:AK48">
    <cfRule type="containsText" dxfId="374" priority="361" operator="containsText" text="&lt;&lt;empty&gt;&gt;">
      <formula>NOT(ISERROR(SEARCH("&lt;&lt;empty&gt;&gt;",AH48)))</formula>
    </cfRule>
  </conditionalFormatting>
  <conditionalFormatting sqref="AT47:AW58">
    <cfRule type="containsBlanks" dxfId="373" priority="360">
      <formula>LEN(TRIM(AT47))=0</formula>
    </cfRule>
  </conditionalFormatting>
  <conditionalFormatting sqref="AT57:AW57">
    <cfRule type="containsText" dxfId="372" priority="359" operator="containsText" text="&lt;&lt;empty&gt;&gt;">
      <formula>NOT(ISERROR(SEARCH("&lt;&lt;empty&gt;&gt;",AT57)))</formula>
    </cfRule>
  </conditionalFormatting>
  <conditionalFormatting sqref="AT54:AW54">
    <cfRule type="containsText" dxfId="371" priority="358" operator="containsText" text="&lt;&lt;empty&gt;&gt;">
      <formula>NOT(ISERROR(SEARCH("&lt;&lt;empty&gt;&gt;",AT54)))</formula>
    </cfRule>
  </conditionalFormatting>
  <conditionalFormatting sqref="AT51:AW51">
    <cfRule type="containsText" dxfId="370" priority="357" operator="containsText" text="&lt;&lt;empty&gt;&gt;">
      <formula>NOT(ISERROR(SEARCH("&lt;&lt;empty&gt;&gt;",AT51)))</formula>
    </cfRule>
  </conditionalFormatting>
  <conditionalFormatting sqref="AT48:AW48">
    <cfRule type="containsText" dxfId="369" priority="356" operator="containsText" text="&lt;&lt;empty&gt;&gt;">
      <formula>NOT(ISERROR(SEARCH("&lt;&lt;empty&gt;&gt;",AT48)))</formula>
    </cfRule>
  </conditionalFormatting>
  <conditionalFormatting sqref="AP47:AS58">
    <cfRule type="containsBlanks" dxfId="368" priority="355">
      <formula>LEN(TRIM(AP47))=0</formula>
    </cfRule>
  </conditionalFormatting>
  <conditionalFormatting sqref="AP57:AS57">
    <cfRule type="containsText" dxfId="367" priority="354" operator="containsText" text="&lt;&lt;empty&gt;&gt;">
      <formula>NOT(ISERROR(SEARCH("&lt;&lt;empty&gt;&gt;",AP57)))</formula>
    </cfRule>
  </conditionalFormatting>
  <conditionalFormatting sqref="AP54:AS54">
    <cfRule type="containsText" dxfId="366" priority="353" operator="containsText" text="&lt;&lt;empty&gt;&gt;">
      <formula>NOT(ISERROR(SEARCH("&lt;&lt;empty&gt;&gt;",AP54)))</formula>
    </cfRule>
  </conditionalFormatting>
  <conditionalFormatting sqref="AP51:AS51">
    <cfRule type="containsText" dxfId="365" priority="352" operator="containsText" text="&lt;&lt;empty&gt;&gt;">
      <formula>NOT(ISERROR(SEARCH("&lt;&lt;empty&gt;&gt;",AP51)))</formula>
    </cfRule>
  </conditionalFormatting>
  <conditionalFormatting sqref="AP48:AS48">
    <cfRule type="containsText" dxfId="364" priority="351" operator="containsText" text="&lt;&lt;empty&gt;&gt;">
      <formula>NOT(ISERROR(SEARCH("&lt;&lt;empty&gt;&gt;",AP48)))</formula>
    </cfRule>
  </conditionalFormatting>
  <conditionalFormatting sqref="BB47:BE58">
    <cfRule type="containsBlanks" dxfId="363" priority="350">
      <formula>LEN(TRIM(BB47))=0</formula>
    </cfRule>
  </conditionalFormatting>
  <conditionalFormatting sqref="BB57:BE57">
    <cfRule type="containsText" dxfId="362" priority="349" operator="containsText" text="&lt;&lt;empty&gt;&gt;">
      <formula>NOT(ISERROR(SEARCH("&lt;&lt;empty&gt;&gt;",BB57)))</formula>
    </cfRule>
  </conditionalFormatting>
  <conditionalFormatting sqref="BB54:BE54">
    <cfRule type="containsText" dxfId="361" priority="348" operator="containsText" text="&lt;&lt;empty&gt;&gt;">
      <formula>NOT(ISERROR(SEARCH("&lt;&lt;empty&gt;&gt;",BB54)))</formula>
    </cfRule>
  </conditionalFormatting>
  <conditionalFormatting sqref="BB51:BE51">
    <cfRule type="containsText" dxfId="360" priority="347" operator="containsText" text="&lt;&lt;empty&gt;&gt;">
      <formula>NOT(ISERROR(SEARCH("&lt;&lt;empty&gt;&gt;",BB51)))</formula>
    </cfRule>
  </conditionalFormatting>
  <conditionalFormatting sqref="BB48:BE48">
    <cfRule type="containsText" dxfId="359" priority="346" operator="containsText" text="&lt;&lt;empty&gt;&gt;">
      <formula>NOT(ISERROR(SEARCH("&lt;&lt;empty&gt;&gt;",BB48)))</formula>
    </cfRule>
  </conditionalFormatting>
  <conditionalFormatting sqref="AX47:BA58">
    <cfRule type="containsBlanks" dxfId="358" priority="345">
      <formula>LEN(TRIM(AX47))=0</formula>
    </cfRule>
  </conditionalFormatting>
  <conditionalFormatting sqref="AX57:BA57">
    <cfRule type="containsText" dxfId="357" priority="344" operator="containsText" text="&lt;&lt;empty&gt;&gt;">
      <formula>NOT(ISERROR(SEARCH("&lt;&lt;empty&gt;&gt;",AX57)))</formula>
    </cfRule>
  </conditionalFormatting>
  <conditionalFormatting sqref="AX54:BA54">
    <cfRule type="containsText" dxfId="356" priority="343" operator="containsText" text="&lt;&lt;empty&gt;&gt;">
      <formula>NOT(ISERROR(SEARCH("&lt;&lt;empty&gt;&gt;",AX54)))</formula>
    </cfRule>
  </conditionalFormatting>
  <conditionalFormatting sqref="AX51:BA51">
    <cfRule type="containsText" dxfId="355" priority="342" operator="containsText" text="&lt;&lt;empty&gt;&gt;">
      <formula>NOT(ISERROR(SEARCH("&lt;&lt;empty&gt;&gt;",AX51)))</formula>
    </cfRule>
  </conditionalFormatting>
  <conditionalFormatting sqref="AX48:BA48">
    <cfRule type="containsText" dxfId="354" priority="341" operator="containsText" text="&lt;&lt;empty&gt;&gt;">
      <formula>NOT(ISERROR(SEARCH("&lt;&lt;empty&gt;&gt;",AX48)))</formula>
    </cfRule>
  </conditionalFormatting>
  <conditionalFormatting sqref="BF47:BI58">
    <cfRule type="containsBlanks" dxfId="353" priority="340">
      <formula>LEN(TRIM(BF47))=0</formula>
    </cfRule>
  </conditionalFormatting>
  <conditionalFormatting sqref="BF57:BI57">
    <cfRule type="containsText" dxfId="352" priority="339" operator="containsText" text="&lt;&lt;empty&gt;&gt;">
      <formula>NOT(ISERROR(SEARCH("&lt;&lt;empty&gt;&gt;",BF57)))</formula>
    </cfRule>
  </conditionalFormatting>
  <conditionalFormatting sqref="BF54:BI54">
    <cfRule type="containsText" dxfId="351" priority="338" operator="containsText" text="&lt;&lt;empty&gt;&gt;">
      <formula>NOT(ISERROR(SEARCH("&lt;&lt;empty&gt;&gt;",BF54)))</formula>
    </cfRule>
  </conditionalFormatting>
  <conditionalFormatting sqref="BF51:BI51">
    <cfRule type="containsText" dxfId="350" priority="337" operator="containsText" text="&lt;&lt;empty&gt;&gt;">
      <formula>NOT(ISERROR(SEARCH("&lt;&lt;empty&gt;&gt;",BF51)))</formula>
    </cfRule>
  </conditionalFormatting>
  <conditionalFormatting sqref="BF48:BI48">
    <cfRule type="containsText" dxfId="349" priority="336" operator="containsText" text="&lt;&lt;empty&gt;&gt;">
      <formula>NOT(ISERROR(SEARCH("&lt;&lt;empty&gt;&gt;",BF48)))</formula>
    </cfRule>
  </conditionalFormatting>
  <conditionalFormatting sqref="BJ47:BM58">
    <cfRule type="containsBlanks" dxfId="348" priority="335">
      <formula>LEN(TRIM(BJ47))=0</formula>
    </cfRule>
  </conditionalFormatting>
  <conditionalFormatting sqref="BJ57:BM57">
    <cfRule type="containsText" dxfId="347" priority="334" operator="containsText" text="&lt;&lt;empty&gt;&gt;">
      <formula>NOT(ISERROR(SEARCH("&lt;&lt;empty&gt;&gt;",BJ57)))</formula>
    </cfRule>
  </conditionalFormatting>
  <conditionalFormatting sqref="BJ54:BM54">
    <cfRule type="containsText" dxfId="346" priority="333" operator="containsText" text="&lt;&lt;empty&gt;&gt;">
      <formula>NOT(ISERROR(SEARCH("&lt;&lt;empty&gt;&gt;",BJ54)))</formula>
    </cfRule>
  </conditionalFormatting>
  <conditionalFormatting sqref="BJ51:BM51">
    <cfRule type="containsText" dxfId="345" priority="332" operator="containsText" text="&lt;&lt;empty&gt;&gt;">
      <formula>NOT(ISERROR(SEARCH("&lt;&lt;empty&gt;&gt;",BJ51)))</formula>
    </cfRule>
  </conditionalFormatting>
  <conditionalFormatting sqref="BJ48:BM48">
    <cfRule type="containsText" dxfId="344" priority="331" operator="containsText" text="&lt;&lt;empty&gt;&gt;">
      <formula>NOT(ISERROR(SEARCH("&lt;&lt;empty&gt;&gt;",BJ48)))</formula>
    </cfRule>
  </conditionalFormatting>
  <conditionalFormatting sqref="F61:I72">
    <cfRule type="containsBlanks" dxfId="343" priority="330">
      <formula>LEN(TRIM(F61))=0</formula>
    </cfRule>
  </conditionalFormatting>
  <conditionalFormatting sqref="F71:I71">
    <cfRule type="containsText" dxfId="342" priority="329" operator="containsText" text="&lt;&lt;empty&gt;&gt;">
      <formula>NOT(ISERROR(SEARCH("&lt;&lt;empty&gt;&gt;",F71)))</formula>
    </cfRule>
  </conditionalFormatting>
  <conditionalFormatting sqref="F68:I68">
    <cfRule type="containsText" dxfId="341" priority="328" operator="containsText" text="&lt;&lt;empty&gt;&gt;">
      <formula>NOT(ISERROR(SEARCH("&lt;&lt;empty&gt;&gt;",F68)))</formula>
    </cfRule>
  </conditionalFormatting>
  <conditionalFormatting sqref="F65:I65">
    <cfRule type="containsText" dxfId="340" priority="327" operator="containsText" text="&lt;&lt;empty&gt;&gt;">
      <formula>NOT(ISERROR(SEARCH("&lt;&lt;empty&gt;&gt;",F65)))</formula>
    </cfRule>
  </conditionalFormatting>
  <conditionalFormatting sqref="F62:I62">
    <cfRule type="containsText" dxfId="339" priority="326" operator="containsText" text="&lt;&lt;empty&gt;&gt;">
      <formula>NOT(ISERROR(SEARCH("&lt;&lt;empty&gt;&gt;",F62)))</formula>
    </cfRule>
  </conditionalFormatting>
  <conditionalFormatting sqref="B61:E72">
    <cfRule type="containsBlanks" dxfId="338" priority="325">
      <formula>LEN(TRIM(B61))=0</formula>
    </cfRule>
  </conditionalFormatting>
  <conditionalFormatting sqref="B71:E71">
    <cfRule type="containsText" dxfId="337" priority="324" operator="containsText" text="&lt;&lt;empty&gt;&gt;">
      <formula>NOT(ISERROR(SEARCH("&lt;&lt;empty&gt;&gt;",B71)))</formula>
    </cfRule>
  </conditionalFormatting>
  <conditionalFormatting sqref="B68:E68">
    <cfRule type="containsText" dxfId="336" priority="323" operator="containsText" text="&lt;&lt;empty&gt;&gt;">
      <formula>NOT(ISERROR(SEARCH("&lt;&lt;empty&gt;&gt;",B68)))</formula>
    </cfRule>
  </conditionalFormatting>
  <conditionalFormatting sqref="B65:E65">
    <cfRule type="containsText" dxfId="335" priority="322" operator="containsText" text="&lt;&lt;empty&gt;&gt;">
      <formula>NOT(ISERROR(SEARCH("&lt;&lt;empty&gt;&gt;",B65)))</formula>
    </cfRule>
  </conditionalFormatting>
  <conditionalFormatting sqref="B62:E62">
    <cfRule type="containsText" dxfId="334" priority="321" operator="containsText" text="&lt;&lt;empty&gt;&gt;">
      <formula>NOT(ISERROR(SEARCH("&lt;&lt;empty&gt;&gt;",B62)))</formula>
    </cfRule>
  </conditionalFormatting>
  <conditionalFormatting sqref="N61:Q72">
    <cfRule type="containsBlanks" dxfId="333" priority="320">
      <formula>LEN(TRIM(N61))=0</formula>
    </cfRule>
  </conditionalFormatting>
  <conditionalFormatting sqref="N71:Q71">
    <cfRule type="containsText" dxfId="332" priority="319" operator="containsText" text="&lt;&lt;empty&gt;&gt;">
      <formula>NOT(ISERROR(SEARCH("&lt;&lt;empty&gt;&gt;",N71)))</formula>
    </cfRule>
  </conditionalFormatting>
  <conditionalFormatting sqref="N68:Q68">
    <cfRule type="containsText" dxfId="331" priority="318" operator="containsText" text="&lt;&lt;empty&gt;&gt;">
      <formula>NOT(ISERROR(SEARCH("&lt;&lt;empty&gt;&gt;",N68)))</formula>
    </cfRule>
  </conditionalFormatting>
  <conditionalFormatting sqref="N65:Q65">
    <cfRule type="containsText" dxfId="330" priority="317" operator="containsText" text="&lt;&lt;empty&gt;&gt;">
      <formula>NOT(ISERROR(SEARCH("&lt;&lt;empty&gt;&gt;",N65)))</formula>
    </cfRule>
  </conditionalFormatting>
  <conditionalFormatting sqref="N62:Q62">
    <cfRule type="containsText" dxfId="329" priority="316" operator="containsText" text="&lt;&lt;empty&gt;&gt;">
      <formula>NOT(ISERROR(SEARCH("&lt;&lt;empty&gt;&gt;",N62)))</formula>
    </cfRule>
  </conditionalFormatting>
  <conditionalFormatting sqref="J61:M72">
    <cfRule type="containsBlanks" dxfId="328" priority="315">
      <formula>LEN(TRIM(J61))=0</formula>
    </cfRule>
  </conditionalFormatting>
  <conditionalFormatting sqref="J71:M71">
    <cfRule type="containsText" dxfId="327" priority="314" operator="containsText" text="&lt;&lt;empty&gt;&gt;">
      <formula>NOT(ISERROR(SEARCH("&lt;&lt;empty&gt;&gt;",J71)))</formula>
    </cfRule>
  </conditionalFormatting>
  <conditionalFormatting sqref="J68:M68">
    <cfRule type="containsText" dxfId="326" priority="313" operator="containsText" text="&lt;&lt;empty&gt;&gt;">
      <formula>NOT(ISERROR(SEARCH("&lt;&lt;empty&gt;&gt;",J68)))</formula>
    </cfRule>
  </conditionalFormatting>
  <conditionalFormatting sqref="J65:M65">
    <cfRule type="containsText" dxfId="325" priority="312" operator="containsText" text="&lt;&lt;empty&gt;&gt;">
      <formula>NOT(ISERROR(SEARCH("&lt;&lt;empty&gt;&gt;",J65)))</formula>
    </cfRule>
  </conditionalFormatting>
  <conditionalFormatting sqref="J62:M62">
    <cfRule type="containsText" dxfId="324" priority="311" operator="containsText" text="&lt;&lt;empty&gt;&gt;">
      <formula>NOT(ISERROR(SEARCH("&lt;&lt;empty&gt;&gt;",J62)))</formula>
    </cfRule>
  </conditionalFormatting>
  <conditionalFormatting sqref="V61:Y72">
    <cfRule type="containsBlanks" dxfId="323" priority="310">
      <formula>LEN(TRIM(V61))=0</formula>
    </cfRule>
  </conditionalFormatting>
  <conditionalFormatting sqref="V71:Y71">
    <cfRule type="containsText" dxfId="322" priority="309" operator="containsText" text="&lt;&lt;empty&gt;&gt;">
      <formula>NOT(ISERROR(SEARCH("&lt;&lt;empty&gt;&gt;",V71)))</formula>
    </cfRule>
  </conditionalFormatting>
  <conditionalFormatting sqref="V68:Y68">
    <cfRule type="containsText" dxfId="321" priority="308" operator="containsText" text="&lt;&lt;empty&gt;&gt;">
      <formula>NOT(ISERROR(SEARCH("&lt;&lt;empty&gt;&gt;",V68)))</formula>
    </cfRule>
  </conditionalFormatting>
  <conditionalFormatting sqref="V65:Y65">
    <cfRule type="containsText" dxfId="320" priority="307" operator="containsText" text="&lt;&lt;empty&gt;&gt;">
      <formula>NOT(ISERROR(SEARCH("&lt;&lt;empty&gt;&gt;",V65)))</formula>
    </cfRule>
  </conditionalFormatting>
  <conditionalFormatting sqref="V62:Y62">
    <cfRule type="containsText" dxfId="319" priority="306" operator="containsText" text="&lt;&lt;empty&gt;&gt;">
      <formula>NOT(ISERROR(SEARCH("&lt;&lt;empty&gt;&gt;",V62)))</formula>
    </cfRule>
  </conditionalFormatting>
  <conditionalFormatting sqref="R61:U72">
    <cfRule type="containsBlanks" dxfId="318" priority="305">
      <formula>LEN(TRIM(R61))=0</formula>
    </cfRule>
  </conditionalFormatting>
  <conditionalFormatting sqref="R71:U71">
    <cfRule type="containsText" dxfId="317" priority="304" operator="containsText" text="&lt;&lt;empty&gt;&gt;">
      <formula>NOT(ISERROR(SEARCH("&lt;&lt;empty&gt;&gt;",R71)))</formula>
    </cfRule>
  </conditionalFormatting>
  <conditionalFormatting sqref="R68:U68">
    <cfRule type="containsText" dxfId="316" priority="303" operator="containsText" text="&lt;&lt;empty&gt;&gt;">
      <formula>NOT(ISERROR(SEARCH("&lt;&lt;empty&gt;&gt;",R68)))</formula>
    </cfRule>
  </conditionalFormatting>
  <conditionalFormatting sqref="R65:U65">
    <cfRule type="containsText" dxfId="315" priority="302" operator="containsText" text="&lt;&lt;empty&gt;&gt;">
      <formula>NOT(ISERROR(SEARCH("&lt;&lt;empty&gt;&gt;",R65)))</formula>
    </cfRule>
  </conditionalFormatting>
  <conditionalFormatting sqref="R62:U62">
    <cfRule type="containsText" dxfId="314" priority="301" operator="containsText" text="&lt;&lt;empty&gt;&gt;">
      <formula>NOT(ISERROR(SEARCH("&lt;&lt;empty&gt;&gt;",R62)))</formula>
    </cfRule>
  </conditionalFormatting>
  <conditionalFormatting sqref="AD61:AG72">
    <cfRule type="containsBlanks" dxfId="313" priority="300">
      <formula>LEN(TRIM(AD61))=0</formula>
    </cfRule>
  </conditionalFormatting>
  <conditionalFormatting sqref="AD71:AG71">
    <cfRule type="containsText" dxfId="312" priority="299" operator="containsText" text="&lt;&lt;empty&gt;&gt;">
      <formula>NOT(ISERROR(SEARCH("&lt;&lt;empty&gt;&gt;",AD71)))</formula>
    </cfRule>
  </conditionalFormatting>
  <conditionalFormatting sqref="AD68:AG68">
    <cfRule type="containsText" dxfId="311" priority="298" operator="containsText" text="&lt;&lt;empty&gt;&gt;">
      <formula>NOT(ISERROR(SEARCH("&lt;&lt;empty&gt;&gt;",AD68)))</formula>
    </cfRule>
  </conditionalFormatting>
  <conditionalFormatting sqref="AD65:AG65">
    <cfRule type="containsText" dxfId="310" priority="297" operator="containsText" text="&lt;&lt;empty&gt;&gt;">
      <formula>NOT(ISERROR(SEARCH("&lt;&lt;empty&gt;&gt;",AD65)))</formula>
    </cfRule>
  </conditionalFormatting>
  <conditionalFormatting sqref="AD62:AG62">
    <cfRule type="containsText" dxfId="309" priority="296" operator="containsText" text="&lt;&lt;empty&gt;&gt;">
      <formula>NOT(ISERROR(SEARCH("&lt;&lt;empty&gt;&gt;",AD62)))</formula>
    </cfRule>
  </conditionalFormatting>
  <conditionalFormatting sqref="Z61:AC72">
    <cfRule type="containsBlanks" dxfId="308" priority="295">
      <formula>LEN(TRIM(Z61))=0</formula>
    </cfRule>
  </conditionalFormatting>
  <conditionalFormatting sqref="Z71:AC71">
    <cfRule type="containsText" dxfId="307" priority="294" operator="containsText" text="&lt;&lt;empty&gt;&gt;">
      <formula>NOT(ISERROR(SEARCH("&lt;&lt;empty&gt;&gt;",Z71)))</formula>
    </cfRule>
  </conditionalFormatting>
  <conditionalFormatting sqref="Z68:AC68">
    <cfRule type="containsText" dxfId="306" priority="293" operator="containsText" text="&lt;&lt;empty&gt;&gt;">
      <formula>NOT(ISERROR(SEARCH("&lt;&lt;empty&gt;&gt;",Z68)))</formula>
    </cfRule>
  </conditionalFormatting>
  <conditionalFormatting sqref="Z65:AC65">
    <cfRule type="containsText" dxfId="305" priority="292" operator="containsText" text="&lt;&lt;empty&gt;&gt;">
      <formula>NOT(ISERROR(SEARCH("&lt;&lt;empty&gt;&gt;",Z65)))</formula>
    </cfRule>
  </conditionalFormatting>
  <conditionalFormatting sqref="Z62:AC62">
    <cfRule type="containsText" dxfId="304" priority="291" operator="containsText" text="&lt;&lt;empty&gt;&gt;">
      <formula>NOT(ISERROR(SEARCH("&lt;&lt;empty&gt;&gt;",Z62)))</formula>
    </cfRule>
  </conditionalFormatting>
  <conditionalFormatting sqref="AL61:AO72">
    <cfRule type="containsBlanks" dxfId="303" priority="290">
      <formula>LEN(TRIM(AL61))=0</formula>
    </cfRule>
  </conditionalFormatting>
  <conditionalFormatting sqref="AL71:AO71">
    <cfRule type="containsText" dxfId="302" priority="289" operator="containsText" text="&lt;&lt;empty&gt;&gt;">
      <formula>NOT(ISERROR(SEARCH("&lt;&lt;empty&gt;&gt;",AL71)))</formula>
    </cfRule>
  </conditionalFormatting>
  <conditionalFormatting sqref="AL68:AO68">
    <cfRule type="containsText" dxfId="301" priority="288" operator="containsText" text="&lt;&lt;empty&gt;&gt;">
      <formula>NOT(ISERROR(SEARCH("&lt;&lt;empty&gt;&gt;",AL68)))</formula>
    </cfRule>
  </conditionalFormatting>
  <conditionalFormatting sqref="AL65:AO65">
    <cfRule type="containsText" dxfId="300" priority="287" operator="containsText" text="&lt;&lt;empty&gt;&gt;">
      <formula>NOT(ISERROR(SEARCH("&lt;&lt;empty&gt;&gt;",AL65)))</formula>
    </cfRule>
  </conditionalFormatting>
  <conditionalFormatting sqref="AL62:AO62">
    <cfRule type="containsText" dxfId="299" priority="286" operator="containsText" text="&lt;&lt;empty&gt;&gt;">
      <formula>NOT(ISERROR(SEARCH("&lt;&lt;empty&gt;&gt;",AL62)))</formula>
    </cfRule>
  </conditionalFormatting>
  <conditionalFormatting sqref="AH61:AK72">
    <cfRule type="containsBlanks" dxfId="298" priority="285">
      <formula>LEN(TRIM(AH61))=0</formula>
    </cfRule>
  </conditionalFormatting>
  <conditionalFormatting sqref="AH71:AK71">
    <cfRule type="containsText" dxfId="297" priority="284" operator="containsText" text="&lt;&lt;empty&gt;&gt;">
      <formula>NOT(ISERROR(SEARCH("&lt;&lt;empty&gt;&gt;",AH71)))</formula>
    </cfRule>
  </conditionalFormatting>
  <conditionalFormatting sqref="AH68:AK68">
    <cfRule type="containsText" dxfId="296" priority="283" operator="containsText" text="&lt;&lt;empty&gt;&gt;">
      <formula>NOT(ISERROR(SEARCH("&lt;&lt;empty&gt;&gt;",AH68)))</formula>
    </cfRule>
  </conditionalFormatting>
  <conditionalFormatting sqref="AH65:AK65">
    <cfRule type="containsText" dxfId="295" priority="282" operator="containsText" text="&lt;&lt;empty&gt;&gt;">
      <formula>NOT(ISERROR(SEARCH("&lt;&lt;empty&gt;&gt;",AH65)))</formula>
    </cfRule>
  </conditionalFormatting>
  <conditionalFormatting sqref="AH62:AK62">
    <cfRule type="containsText" dxfId="294" priority="281" operator="containsText" text="&lt;&lt;empty&gt;&gt;">
      <formula>NOT(ISERROR(SEARCH("&lt;&lt;empty&gt;&gt;",AH62)))</formula>
    </cfRule>
  </conditionalFormatting>
  <conditionalFormatting sqref="AT61:AW72">
    <cfRule type="containsBlanks" dxfId="293" priority="280">
      <formula>LEN(TRIM(AT61))=0</formula>
    </cfRule>
  </conditionalFormatting>
  <conditionalFormatting sqref="AT71:AW71">
    <cfRule type="containsText" dxfId="292" priority="279" operator="containsText" text="&lt;&lt;empty&gt;&gt;">
      <formula>NOT(ISERROR(SEARCH("&lt;&lt;empty&gt;&gt;",AT71)))</formula>
    </cfRule>
  </conditionalFormatting>
  <conditionalFormatting sqref="AT68:AW68">
    <cfRule type="containsText" dxfId="291" priority="278" operator="containsText" text="&lt;&lt;empty&gt;&gt;">
      <formula>NOT(ISERROR(SEARCH("&lt;&lt;empty&gt;&gt;",AT68)))</formula>
    </cfRule>
  </conditionalFormatting>
  <conditionalFormatting sqref="AT65:AW65">
    <cfRule type="containsText" dxfId="290" priority="277" operator="containsText" text="&lt;&lt;empty&gt;&gt;">
      <formula>NOT(ISERROR(SEARCH("&lt;&lt;empty&gt;&gt;",AT65)))</formula>
    </cfRule>
  </conditionalFormatting>
  <conditionalFormatting sqref="AT62:AW62">
    <cfRule type="containsText" dxfId="289" priority="276" operator="containsText" text="&lt;&lt;empty&gt;&gt;">
      <formula>NOT(ISERROR(SEARCH("&lt;&lt;empty&gt;&gt;",AT62)))</formula>
    </cfRule>
  </conditionalFormatting>
  <conditionalFormatting sqref="AP61:AS72">
    <cfRule type="containsBlanks" dxfId="288" priority="275">
      <formula>LEN(TRIM(AP61))=0</formula>
    </cfRule>
  </conditionalFormatting>
  <conditionalFormatting sqref="AP71:AS71">
    <cfRule type="containsText" dxfId="287" priority="274" operator="containsText" text="&lt;&lt;empty&gt;&gt;">
      <formula>NOT(ISERROR(SEARCH("&lt;&lt;empty&gt;&gt;",AP71)))</formula>
    </cfRule>
  </conditionalFormatting>
  <conditionalFormatting sqref="AP68:AS68">
    <cfRule type="containsText" dxfId="286" priority="273" operator="containsText" text="&lt;&lt;empty&gt;&gt;">
      <formula>NOT(ISERROR(SEARCH("&lt;&lt;empty&gt;&gt;",AP68)))</formula>
    </cfRule>
  </conditionalFormatting>
  <conditionalFormatting sqref="AP65:AS65">
    <cfRule type="containsText" dxfId="285" priority="272" operator="containsText" text="&lt;&lt;empty&gt;&gt;">
      <formula>NOT(ISERROR(SEARCH("&lt;&lt;empty&gt;&gt;",AP65)))</formula>
    </cfRule>
  </conditionalFormatting>
  <conditionalFormatting sqref="AP62:AS62">
    <cfRule type="containsText" dxfId="284" priority="271" operator="containsText" text="&lt;&lt;empty&gt;&gt;">
      <formula>NOT(ISERROR(SEARCH("&lt;&lt;empty&gt;&gt;",AP62)))</formula>
    </cfRule>
  </conditionalFormatting>
  <conditionalFormatting sqref="BB61:BE72">
    <cfRule type="containsBlanks" dxfId="283" priority="270">
      <formula>LEN(TRIM(BB61))=0</formula>
    </cfRule>
  </conditionalFormatting>
  <conditionalFormatting sqref="BB71:BE71">
    <cfRule type="containsText" dxfId="282" priority="269" operator="containsText" text="&lt;&lt;empty&gt;&gt;">
      <formula>NOT(ISERROR(SEARCH("&lt;&lt;empty&gt;&gt;",BB71)))</formula>
    </cfRule>
  </conditionalFormatting>
  <conditionalFormatting sqref="BB68:BE68">
    <cfRule type="containsText" dxfId="281" priority="268" operator="containsText" text="&lt;&lt;empty&gt;&gt;">
      <formula>NOT(ISERROR(SEARCH("&lt;&lt;empty&gt;&gt;",BB68)))</formula>
    </cfRule>
  </conditionalFormatting>
  <conditionalFormatting sqref="BB65:BE65">
    <cfRule type="containsText" dxfId="280" priority="267" operator="containsText" text="&lt;&lt;empty&gt;&gt;">
      <formula>NOT(ISERROR(SEARCH("&lt;&lt;empty&gt;&gt;",BB65)))</formula>
    </cfRule>
  </conditionalFormatting>
  <conditionalFormatting sqref="BB62:BE62">
    <cfRule type="containsText" dxfId="279" priority="266" operator="containsText" text="&lt;&lt;empty&gt;&gt;">
      <formula>NOT(ISERROR(SEARCH("&lt;&lt;empty&gt;&gt;",BB62)))</formula>
    </cfRule>
  </conditionalFormatting>
  <conditionalFormatting sqref="AX61:BA72">
    <cfRule type="containsBlanks" dxfId="278" priority="265">
      <formula>LEN(TRIM(AX61))=0</formula>
    </cfRule>
  </conditionalFormatting>
  <conditionalFormatting sqref="AX71:BA71">
    <cfRule type="containsText" dxfId="277" priority="264" operator="containsText" text="&lt;&lt;empty&gt;&gt;">
      <formula>NOT(ISERROR(SEARCH("&lt;&lt;empty&gt;&gt;",AX71)))</formula>
    </cfRule>
  </conditionalFormatting>
  <conditionalFormatting sqref="AX68:BA68">
    <cfRule type="containsText" dxfId="276" priority="263" operator="containsText" text="&lt;&lt;empty&gt;&gt;">
      <formula>NOT(ISERROR(SEARCH("&lt;&lt;empty&gt;&gt;",AX68)))</formula>
    </cfRule>
  </conditionalFormatting>
  <conditionalFormatting sqref="AX65:BA65">
    <cfRule type="containsText" dxfId="275" priority="262" operator="containsText" text="&lt;&lt;empty&gt;&gt;">
      <formula>NOT(ISERROR(SEARCH("&lt;&lt;empty&gt;&gt;",AX65)))</formula>
    </cfRule>
  </conditionalFormatting>
  <conditionalFormatting sqref="AX62:BA62">
    <cfRule type="containsText" dxfId="274" priority="261" operator="containsText" text="&lt;&lt;empty&gt;&gt;">
      <formula>NOT(ISERROR(SEARCH("&lt;&lt;empty&gt;&gt;",AX62)))</formula>
    </cfRule>
  </conditionalFormatting>
  <conditionalFormatting sqref="BF61:BI72">
    <cfRule type="containsBlanks" dxfId="273" priority="260">
      <formula>LEN(TRIM(BF61))=0</formula>
    </cfRule>
  </conditionalFormatting>
  <conditionalFormatting sqref="BF71:BI71">
    <cfRule type="containsText" dxfId="272" priority="259" operator="containsText" text="&lt;&lt;empty&gt;&gt;">
      <formula>NOT(ISERROR(SEARCH("&lt;&lt;empty&gt;&gt;",BF71)))</formula>
    </cfRule>
  </conditionalFormatting>
  <conditionalFormatting sqref="BF68:BI68">
    <cfRule type="containsText" dxfId="271" priority="258" operator="containsText" text="&lt;&lt;empty&gt;&gt;">
      <formula>NOT(ISERROR(SEARCH("&lt;&lt;empty&gt;&gt;",BF68)))</formula>
    </cfRule>
  </conditionalFormatting>
  <conditionalFormatting sqref="BF65:BI65">
    <cfRule type="containsText" dxfId="270" priority="257" operator="containsText" text="&lt;&lt;empty&gt;&gt;">
      <formula>NOT(ISERROR(SEARCH("&lt;&lt;empty&gt;&gt;",BF65)))</formula>
    </cfRule>
  </conditionalFormatting>
  <conditionalFormatting sqref="BF62:BI62">
    <cfRule type="containsText" dxfId="269" priority="256" operator="containsText" text="&lt;&lt;empty&gt;&gt;">
      <formula>NOT(ISERROR(SEARCH("&lt;&lt;empty&gt;&gt;",BF62)))</formula>
    </cfRule>
  </conditionalFormatting>
  <conditionalFormatting sqref="BJ61:BM72">
    <cfRule type="containsBlanks" dxfId="268" priority="255">
      <formula>LEN(TRIM(BJ61))=0</formula>
    </cfRule>
  </conditionalFormatting>
  <conditionalFormatting sqref="BJ71:BM71">
    <cfRule type="containsText" dxfId="267" priority="254" operator="containsText" text="&lt;&lt;empty&gt;&gt;">
      <formula>NOT(ISERROR(SEARCH("&lt;&lt;empty&gt;&gt;",BJ71)))</formula>
    </cfRule>
  </conditionalFormatting>
  <conditionalFormatting sqref="BJ68:BM68">
    <cfRule type="containsText" dxfId="266" priority="253" operator="containsText" text="&lt;&lt;empty&gt;&gt;">
      <formula>NOT(ISERROR(SEARCH("&lt;&lt;empty&gt;&gt;",BJ68)))</formula>
    </cfRule>
  </conditionalFormatting>
  <conditionalFormatting sqref="BJ65:BM65">
    <cfRule type="containsText" dxfId="265" priority="252" operator="containsText" text="&lt;&lt;empty&gt;&gt;">
      <formula>NOT(ISERROR(SEARCH("&lt;&lt;empty&gt;&gt;",BJ65)))</formula>
    </cfRule>
  </conditionalFormatting>
  <conditionalFormatting sqref="BJ62:BM62">
    <cfRule type="containsText" dxfId="264" priority="251" operator="containsText" text="&lt;&lt;empty&gt;&gt;">
      <formula>NOT(ISERROR(SEARCH("&lt;&lt;empty&gt;&gt;",BJ62)))</formula>
    </cfRule>
  </conditionalFormatting>
  <conditionalFormatting sqref="F75:I86">
    <cfRule type="containsBlanks" dxfId="263" priority="250">
      <formula>LEN(TRIM(F75))=0</formula>
    </cfRule>
  </conditionalFormatting>
  <conditionalFormatting sqref="F85:I85">
    <cfRule type="containsText" dxfId="262" priority="249" operator="containsText" text="&lt;&lt;empty&gt;&gt;">
      <formula>NOT(ISERROR(SEARCH("&lt;&lt;empty&gt;&gt;",F85)))</formula>
    </cfRule>
  </conditionalFormatting>
  <conditionalFormatting sqref="F82:I82">
    <cfRule type="containsText" dxfId="261" priority="248" operator="containsText" text="&lt;&lt;empty&gt;&gt;">
      <formula>NOT(ISERROR(SEARCH("&lt;&lt;empty&gt;&gt;",F82)))</formula>
    </cfRule>
  </conditionalFormatting>
  <conditionalFormatting sqref="F79:I79">
    <cfRule type="containsText" dxfId="260" priority="247" operator="containsText" text="&lt;&lt;empty&gt;&gt;">
      <formula>NOT(ISERROR(SEARCH("&lt;&lt;empty&gt;&gt;",F79)))</formula>
    </cfRule>
  </conditionalFormatting>
  <conditionalFormatting sqref="F76:I76">
    <cfRule type="containsText" dxfId="259" priority="246" operator="containsText" text="&lt;&lt;empty&gt;&gt;">
      <formula>NOT(ISERROR(SEARCH("&lt;&lt;empty&gt;&gt;",F76)))</formula>
    </cfRule>
  </conditionalFormatting>
  <conditionalFormatting sqref="B75:E86">
    <cfRule type="containsBlanks" dxfId="258" priority="245">
      <formula>LEN(TRIM(B75))=0</formula>
    </cfRule>
  </conditionalFormatting>
  <conditionalFormatting sqref="B85:E85">
    <cfRule type="containsText" dxfId="257" priority="244" operator="containsText" text="&lt;&lt;empty&gt;&gt;">
      <formula>NOT(ISERROR(SEARCH("&lt;&lt;empty&gt;&gt;",B85)))</formula>
    </cfRule>
  </conditionalFormatting>
  <conditionalFormatting sqref="B82:E82">
    <cfRule type="containsText" dxfId="256" priority="243" operator="containsText" text="&lt;&lt;empty&gt;&gt;">
      <formula>NOT(ISERROR(SEARCH("&lt;&lt;empty&gt;&gt;",B82)))</formula>
    </cfRule>
  </conditionalFormatting>
  <conditionalFormatting sqref="B79:E79">
    <cfRule type="containsText" dxfId="255" priority="242" operator="containsText" text="&lt;&lt;empty&gt;&gt;">
      <formula>NOT(ISERROR(SEARCH("&lt;&lt;empty&gt;&gt;",B79)))</formula>
    </cfRule>
  </conditionalFormatting>
  <conditionalFormatting sqref="B76:E76">
    <cfRule type="containsText" dxfId="254" priority="241" operator="containsText" text="&lt;&lt;empty&gt;&gt;">
      <formula>NOT(ISERROR(SEARCH("&lt;&lt;empty&gt;&gt;",B76)))</formula>
    </cfRule>
  </conditionalFormatting>
  <conditionalFormatting sqref="N75:Q86">
    <cfRule type="containsBlanks" dxfId="253" priority="240">
      <formula>LEN(TRIM(N75))=0</formula>
    </cfRule>
  </conditionalFormatting>
  <conditionalFormatting sqref="N85:Q85">
    <cfRule type="containsText" dxfId="252" priority="239" operator="containsText" text="&lt;&lt;empty&gt;&gt;">
      <formula>NOT(ISERROR(SEARCH("&lt;&lt;empty&gt;&gt;",N85)))</formula>
    </cfRule>
  </conditionalFormatting>
  <conditionalFormatting sqref="N82:Q82">
    <cfRule type="containsText" dxfId="251" priority="238" operator="containsText" text="&lt;&lt;empty&gt;&gt;">
      <formula>NOT(ISERROR(SEARCH("&lt;&lt;empty&gt;&gt;",N82)))</formula>
    </cfRule>
  </conditionalFormatting>
  <conditionalFormatting sqref="N79:Q79">
    <cfRule type="containsText" dxfId="250" priority="237" operator="containsText" text="&lt;&lt;empty&gt;&gt;">
      <formula>NOT(ISERROR(SEARCH("&lt;&lt;empty&gt;&gt;",N79)))</formula>
    </cfRule>
  </conditionalFormatting>
  <conditionalFormatting sqref="N76:Q76">
    <cfRule type="containsText" dxfId="249" priority="236" operator="containsText" text="&lt;&lt;empty&gt;&gt;">
      <formula>NOT(ISERROR(SEARCH("&lt;&lt;empty&gt;&gt;",N76)))</formula>
    </cfRule>
  </conditionalFormatting>
  <conditionalFormatting sqref="J75:M86">
    <cfRule type="containsBlanks" dxfId="248" priority="235">
      <formula>LEN(TRIM(J75))=0</formula>
    </cfRule>
  </conditionalFormatting>
  <conditionalFormatting sqref="J85:M85">
    <cfRule type="containsText" dxfId="247" priority="234" operator="containsText" text="&lt;&lt;empty&gt;&gt;">
      <formula>NOT(ISERROR(SEARCH("&lt;&lt;empty&gt;&gt;",J85)))</formula>
    </cfRule>
  </conditionalFormatting>
  <conditionalFormatting sqref="J82:M82">
    <cfRule type="containsText" dxfId="246" priority="233" operator="containsText" text="&lt;&lt;empty&gt;&gt;">
      <formula>NOT(ISERROR(SEARCH("&lt;&lt;empty&gt;&gt;",J82)))</formula>
    </cfRule>
  </conditionalFormatting>
  <conditionalFormatting sqref="J79:M79">
    <cfRule type="containsText" dxfId="245" priority="232" operator="containsText" text="&lt;&lt;empty&gt;&gt;">
      <formula>NOT(ISERROR(SEARCH("&lt;&lt;empty&gt;&gt;",J79)))</formula>
    </cfRule>
  </conditionalFormatting>
  <conditionalFormatting sqref="J76:M76">
    <cfRule type="containsText" dxfId="244" priority="231" operator="containsText" text="&lt;&lt;empty&gt;&gt;">
      <formula>NOT(ISERROR(SEARCH("&lt;&lt;empty&gt;&gt;",J76)))</formula>
    </cfRule>
  </conditionalFormatting>
  <conditionalFormatting sqref="V75:Y86">
    <cfRule type="containsBlanks" dxfId="243" priority="230">
      <formula>LEN(TRIM(V75))=0</formula>
    </cfRule>
  </conditionalFormatting>
  <conditionalFormatting sqref="V85:Y85">
    <cfRule type="containsText" dxfId="242" priority="229" operator="containsText" text="&lt;&lt;empty&gt;&gt;">
      <formula>NOT(ISERROR(SEARCH("&lt;&lt;empty&gt;&gt;",V85)))</formula>
    </cfRule>
  </conditionalFormatting>
  <conditionalFormatting sqref="V82:Y82">
    <cfRule type="containsText" dxfId="241" priority="228" operator="containsText" text="&lt;&lt;empty&gt;&gt;">
      <formula>NOT(ISERROR(SEARCH("&lt;&lt;empty&gt;&gt;",V82)))</formula>
    </cfRule>
  </conditionalFormatting>
  <conditionalFormatting sqref="V79:Y79">
    <cfRule type="containsText" dxfId="240" priority="227" operator="containsText" text="&lt;&lt;empty&gt;&gt;">
      <formula>NOT(ISERROR(SEARCH("&lt;&lt;empty&gt;&gt;",V79)))</formula>
    </cfRule>
  </conditionalFormatting>
  <conditionalFormatting sqref="V76:Y76">
    <cfRule type="containsText" dxfId="239" priority="226" operator="containsText" text="&lt;&lt;empty&gt;&gt;">
      <formula>NOT(ISERROR(SEARCH("&lt;&lt;empty&gt;&gt;",V76)))</formula>
    </cfRule>
  </conditionalFormatting>
  <conditionalFormatting sqref="R75:U86">
    <cfRule type="containsBlanks" dxfId="238" priority="225">
      <formula>LEN(TRIM(R75))=0</formula>
    </cfRule>
  </conditionalFormatting>
  <conditionalFormatting sqref="R85:U85">
    <cfRule type="containsText" dxfId="237" priority="224" operator="containsText" text="&lt;&lt;empty&gt;&gt;">
      <formula>NOT(ISERROR(SEARCH("&lt;&lt;empty&gt;&gt;",R85)))</formula>
    </cfRule>
  </conditionalFormatting>
  <conditionalFormatting sqref="R82:U82">
    <cfRule type="containsText" dxfId="236" priority="223" operator="containsText" text="&lt;&lt;empty&gt;&gt;">
      <formula>NOT(ISERROR(SEARCH("&lt;&lt;empty&gt;&gt;",R82)))</formula>
    </cfRule>
  </conditionalFormatting>
  <conditionalFormatting sqref="R79:U79">
    <cfRule type="containsText" dxfId="235" priority="222" operator="containsText" text="&lt;&lt;empty&gt;&gt;">
      <formula>NOT(ISERROR(SEARCH("&lt;&lt;empty&gt;&gt;",R79)))</formula>
    </cfRule>
  </conditionalFormatting>
  <conditionalFormatting sqref="R76:U76">
    <cfRule type="containsText" dxfId="234" priority="221" operator="containsText" text="&lt;&lt;empty&gt;&gt;">
      <formula>NOT(ISERROR(SEARCH("&lt;&lt;empty&gt;&gt;",R76)))</formula>
    </cfRule>
  </conditionalFormatting>
  <conditionalFormatting sqref="AD75:AG86">
    <cfRule type="containsBlanks" dxfId="233" priority="220">
      <formula>LEN(TRIM(AD75))=0</formula>
    </cfRule>
  </conditionalFormatting>
  <conditionalFormatting sqref="AD85:AG85">
    <cfRule type="containsText" dxfId="232" priority="219" operator="containsText" text="&lt;&lt;empty&gt;&gt;">
      <formula>NOT(ISERROR(SEARCH("&lt;&lt;empty&gt;&gt;",AD85)))</formula>
    </cfRule>
  </conditionalFormatting>
  <conditionalFormatting sqref="AD82:AG82">
    <cfRule type="containsText" dxfId="231" priority="218" operator="containsText" text="&lt;&lt;empty&gt;&gt;">
      <formula>NOT(ISERROR(SEARCH("&lt;&lt;empty&gt;&gt;",AD82)))</formula>
    </cfRule>
  </conditionalFormatting>
  <conditionalFormatting sqref="AD79:AG79">
    <cfRule type="containsText" dxfId="230" priority="217" operator="containsText" text="&lt;&lt;empty&gt;&gt;">
      <formula>NOT(ISERROR(SEARCH("&lt;&lt;empty&gt;&gt;",AD79)))</formula>
    </cfRule>
  </conditionalFormatting>
  <conditionalFormatting sqref="AD76:AG76">
    <cfRule type="containsText" dxfId="229" priority="216" operator="containsText" text="&lt;&lt;empty&gt;&gt;">
      <formula>NOT(ISERROR(SEARCH("&lt;&lt;empty&gt;&gt;",AD76)))</formula>
    </cfRule>
  </conditionalFormatting>
  <conditionalFormatting sqref="Z75:AC86">
    <cfRule type="containsBlanks" dxfId="228" priority="215">
      <formula>LEN(TRIM(Z75))=0</formula>
    </cfRule>
  </conditionalFormatting>
  <conditionalFormatting sqref="Z85:AC85">
    <cfRule type="containsText" dxfId="227" priority="214" operator="containsText" text="&lt;&lt;empty&gt;&gt;">
      <formula>NOT(ISERROR(SEARCH("&lt;&lt;empty&gt;&gt;",Z85)))</formula>
    </cfRule>
  </conditionalFormatting>
  <conditionalFormatting sqref="Z82:AC82">
    <cfRule type="containsText" dxfId="226" priority="213" operator="containsText" text="&lt;&lt;empty&gt;&gt;">
      <formula>NOT(ISERROR(SEARCH("&lt;&lt;empty&gt;&gt;",Z82)))</formula>
    </cfRule>
  </conditionalFormatting>
  <conditionalFormatting sqref="Z79:AC79">
    <cfRule type="containsText" dxfId="225" priority="212" operator="containsText" text="&lt;&lt;empty&gt;&gt;">
      <formula>NOT(ISERROR(SEARCH("&lt;&lt;empty&gt;&gt;",Z79)))</formula>
    </cfRule>
  </conditionalFormatting>
  <conditionalFormatting sqref="Z76:AC76">
    <cfRule type="containsText" dxfId="224" priority="211" operator="containsText" text="&lt;&lt;empty&gt;&gt;">
      <formula>NOT(ISERROR(SEARCH("&lt;&lt;empty&gt;&gt;",Z76)))</formula>
    </cfRule>
  </conditionalFormatting>
  <conditionalFormatting sqref="AL75:AO86">
    <cfRule type="containsBlanks" dxfId="223" priority="210">
      <formula>LEN(TRIM(AL75))=0</formula>
    </cfRule>
  </conditionalFormatting>
  <conditionalFormatting sqref="AL85:AO85">
    <cfRule type="containsText" dxfId="222" priority="209" operator="containsText" text="&lt;&lt;empty&gt;&gt;">
      <formula>NOT(ISERROR(SEARCH("&lt;&lt;empty&gt;&gt;",AL85)))</formula>
    </cfRule>
  </conditionalFormatting>
  <conditionalFormatting sqref="AL82:AO82">
    <cfRule type="containsText" dxfId="221" priority="208" operator="containsText" text="&lt;&lt;empty&gt;&gt;">
      <formula>NOT(ISERROR(SEARCH("&lt;&lt;empty&gt;&gt;",AL82)))</formula>
    </cfRule>
  </conditionalFormatting>
  <conditionalFormatting sqref="AL79:AO79">
    <cfRule type="containsText" dxfId="220" priority="207" operator="containsText" text="&lt;&lt;empty&gt;&gt;">
      <formula>NOT(ISERROR(SEARCH("&lt;&lt;empty&gt;&gt;",AL79)))</formula>
    </cfRule>
  </conditionalFormatting>
  <conditionalFormatting sqref="AL76:AO76">
    <cfRule type="containsText" dxfId="219" priority="206" operator="containsText" text="&lt;&lt;empty&gt;&gt;">
      <formula>NOT(ISERROR(SEARCH("&lt;&lt;empty&gt;&gt;",AL76)))</formula>
    </cfRule>
  </conditionalFormatting>
  <conditionalFormatting sqref="AH75:AK86">
    <cfRule type="containsBlanks" dxfId="218" priority="205">
      <formula>LEN(TRIM(AH75))=0</formula>
    </cfRule>
  </conditionalFormatting>
  <conditionalFormatting sqref="AH85:AK85">
    <cfRule type="containsText" dxfId="217" priority="204" operator="containsText" text="&lt;&lt;empty&gt;&gt;">
      <formula>NOT(ISERROR(SEARCH("&lt;&lt;empty&gt;&gt;",AH85)))</formula>
    </cfRule>
  </conditionalFormatting>
  <conditionalFormatting sqref="AH82:AK82">
    <cfRule type="containsText" dxfId="216" priority="203" operator="containsText" text="&lt;&lt;empty&gt;&gt;">
      <formula>NOT(ISERROR(SEARCH("&lt;&lt;empty&gt;&gt;",AH82)))</formula>
    </cfRule>
  </conditionalFormatting>
  <conditionalFormatting sqref="AH79:AK79">
    <cfRule type="containsText" dxfId="215" priority="202" operator="containsText" text="&lt;&lt;empty&gt;&gt;">
      <formula>NOT(ISERROR(SEARCH("&lt;&lt;empty&gt;&gt;",AH79)))</formula>
    </cfRule>
  </conditionalFormatting>
  <conditionalFormatting sqref="AH76:AK76">
    <cfRule type="containsText" dxfId="214" priority="201" operator="containsText" text="&lt;&lt;empty&gt;&gt;">
      <formula>NOT(ISERROR(SEARCH("&lt;&lt;empty&gt;&gt;",AH76)))</formula>
    </cfRule>
  </conditionalFormatting>
  <conditionalFormatting sqref="AT75:AW86">
    <cfRule type="containsBlanks" dxfId="213" priority="200">
      <formula>LEN(TRIM(AT75))=0</formula>
    </cfRule>
  </conditionalFormatting>
  <conditionalFormatting sqref="AT85:AW85">
    <cfRule type="containsText" dxfId="212" priority="199" operator="containsText" text="&lt;&lt;empty&gt;&gt;">
      <formula>NOT(ISERROR(SEARCH("&lt;&lt;empty&gt;&gt;",AT85)))</formula>
    </cfRule>
  </conditionalFormatting>
  <conditionalFormatting sqref="AT82:AW82">
    <cfRule type="containsText" dxfId="211" priority="198" operator="containsText" text="&lt;&lt;empty&gt;&gt;">
      <formula>NOT(ISERROR(SEARCH("&lt;&lt;empty&gt;&gt;",AT82)))</formula>
    </cfRule>
  </conditionalFormatting>
  <conditionalFormatting sqref="AT79:AW79">
    <cfRule type="containsText" dxfId="210" priority="197" operator="containsText" text="&lt;&lt;empty&gt;&gt;">
      <formula>NOT(ISERROR(SEARCH("&lt;&lt;empty&gt;&gt;",AT79)))</formula>
    </cfRule>
  </conditionalFormatting>
  <conditionalFormatting sqref="AT76:AW76">
    <cfRule type="containsText" dxfId="209" priority="196" operator="containsText" text="&lt;&lt;empty&gt;&gt;">
      <formula>NOT(ISERROR(SEARCH("&lt;&lt;empty&gt;&gt;",AT76)))</formula>
    </cfRule>
  </conditionalFormatting>
  <conditionalFormatting sqref="AP75:AS86">
    <cfRule type="containsBlanks" dxfId="208" priority="195">
      <formula>LEN(TRIM(AP75))=0</formula>
    </cfRule>
  </conditionalFormatting>
  <conditionalFormatting sqref="AP85:AS85">
    <cfRule type="containsText" dxfId="207" priority="194" operator="containsText" text="&lt;&lt;empty&gt;&gt;">
      <formula>NOT(ISERROR(SEARCH("&lt;&lt;empty&gt;&gt;",AP85)))</formula>
    </cfRule>
  </conditionalFormatting>
  <conditionalFormatting sqref="AP82:AS82">
    <cfRule type="containsText" dxfId="206" priority="193" operator="containsText" text="&lt;&lt;empty&gt;&gt;">
      <formula>NOT(ISERROR(SEARCH("&lt;&lt;empty&gt;&gt;",AP82)))</formula>
    </cfRule>
  </conditionalFormatting>
  <conditionalFormatting sqref="AP79:AS79">
    <cfRule type="containsText" dxfId="205" priority="192" operator="containsText" text="&lt;&lt;empty&gt;&gt;">
      <formula>NOT(ISERROR(SEARCH("&lt;&lt;empty&gt;&gt;",AP79)))</formula>
    </cfRule>
  </conditionalFormatting>
  <conditionalFormatting sqref="AP76:AS76">
    <cfRule type="containsText" dxfId="204" priority="191" operator="containsText" text="&lt;&lt;empty&gt;&gt;">
      <formula>NOT(ISERROR(SEARCH("&lt;&lt;empty&gt;&gt;",AP76)))</formula>
    </cfRule>
  </conditionalFormatting>
  <conditionalFormatting sqref="BB75:BE86">
    <cfRule type="containsBlanks" dxfId="203" priority="190">
      <formula>LEN(TRIM(BB75))=0</formula>
    </cfRule>
  </conditionalFormatting>
  <conditionalFormatting sqref="BB85:BE85">
    <cfRule type="containsText" dxfId="202" priority="189" operator="containsText" text="&lt;&lt;empty&gt;&gt;">
      <formula>NOT(ISERROR(SEARCH("&lt;&lt;empty&gt;&gt;",BB85)))</formula>
    </cfRule>
  </conditionalFormatting>
  <conditionalFormatting sqref="BB82:BE82">
    <cfRule type="containsText" dxfId="201" priority="188" operator="containsText" text="&lt;&lt;empty&gt;&gt;">
      <formula>NOT(ISERROR(SEARCH("&lt;&lt;empty&gt;&gt;",BB82)))</formula>
    </cfRule>
  </conditionalFormatting>
  <conditionalFormatting sqref="BB79:BE79">
    <cfRule type="containsText" dxfId="200" priority="187" operator="containsText" text="&lt;&lt;empty&gt;&gt;">
      <formula>NOT(ISERROR(SEARCH("&lt;&lt;empty&gt;&gt;",BB79)))</formula>
    </cfRule>
  </conditionalFormatting>
  <conditionalFormatting sqref="BB76:BE76">
    <cfRule type="containsText" dxfId="199" priority="186" operator="containsText" text="&lt;&lt;empty&gt;&gt;">
      <formula>NOT(ISERROR(SEARCH("&lt;&lt;empty&gt;&gt;",BB76)))</formula>
    </cfRule>
  </conditionalFormatting>
  <conditionalFormatting sqref="AX75:BA86">
    <cfRule type="containsBlanks" dxfId="198" priority="185">
      <formula>LEN(TRIM(AX75))=0</formula>
    </cfRule>
  </conditionalFormatting>
  <conditionalFormatting sqref="AX85:BA85">
    <cfRule type="containsText" dxfId="197" priority="184" operator="containsText" text="&lt;&lt;empty&gt;&gt;">
      <formula>NOT(ISERROR(SEARCH("&lt;&lt;empty&gt;&gt;",AX85)))</formula>
    </cfRule>
  </conditionalFormatting>
  <conditionalFormatting sqref="AX82:BA82">
    <cfRule type="containsText" dxfId="196" priority="183" operator="containsText" text="&lt;&lt;empty&gt;&gt;">
      <formula>NOT(ISERROR(SEARCH("&lt;&lt;empty&gt;&gt;",AX82)))</formula>
    </cfRule>
  </conditionalFormatting>
  <conditionalFormatting sqref="AX79:BA79">
    <cfRule type="containsText" dxfId="195" priority="182" operator="containsText" text="&lt;&lt;empty&gt;&gt;">
      <formula>NOT(ISERROR(SEARCH("&lt;&lt;empty&gt;&gt;",AX79)))</formula>
    </cfRule>
  </conditionalFormatting>
  <conditionalFormatting sqref="AX76:BA76">
    <cfRule type="containsText" dxfId="194" priority="181" operator="containsText" text="&lt;&lt;empty&gt;&gt;">
      <formula>NOT(ISERROR(SEARCH("&lt;&lt;empty&gt;&gt;",AX76)))</formula>
    </cfRule>
  </conditionalFormatting>
  <conditionalFormatting sqref="BF75:BI86">
    <cfRule type="containsBlanks" dxfId="193" priority="180">
      <formula>LEN(TRIM(BF75))=0</formula>
    </cfRule>
  </conditionalFormatting>
  <conditionalFormatting sqref="BF85:BI85">
    <cfRule type="containsText" dxfId="192" priority="179" operator="containsText" text="&lt;&lt;empty&gt;&gt;">
      <formula>NOT(ISERROR(SEARCH("&lt;&lt;empty&gt;&gt;",BF85)))</formula>
    </cfRule>
  </conditionalFormatting>
  <conditionalFormatting sqref="BF82:BI82">
    <cfRule type="containsText" dxfId="191" priority="178" operator="containsText" text="&lt;&lt;empty&gt;&gt;">
      <formula>NOT(ISERROR(SEARCH("&lt;&lt;empty&gt;&gt;",BF82)))</formula>
    </cfRule>
  </conditionalFormatting>
  <conditionalFormatting sqref="BF79:BI79">
    <cfRule type="containsText" dxfId="190" priority="177" operator="containsText" text="&lt;&lt;empty&gt;&gt;">
      <formula>NOT(ISERROR(SEARCH("&lt;&lt;empty&gt;&gt;",BF79)))</formula>
    </cfRule>
  </conditionalFormatting>
  <conditionalFormatting sqref="BF76:BI76">
    <cfRule type="containsText" dxfId="189" priority="176" operator="containsText" text="&lt;&lt;empty&gt;&gt;">
      <formula>NOT(ISERROR(SEARCH("&lt;&lt;empty&gt;&gt;",BF76)))</formula>
    </cfRule>
  </conditionalFormatting>
  <conditionalFormatting sqref="BJ75:BM86">
    <cfRule type="containsBlanks" dxfId="188" priority="175">
      <formula>LEN(TRIM(BJ75))=0</formula>
    </cfRule>
  </conditionalFormatting>
  <conditionalFormatting sqref="BJ85:BM85">
    <cfRule type="containsText" dxfId="187" priority="174" operator="containsText" text="&lt;&lt;empty&gt;&gt;">
      <formula>NOT(ISERROR(SEARCH("&lt;&lt;empty&gt;&gt;",BJ85)))</formula>
    </cfRule>
  </conditionalFormatting>
  <conditionalFormatting sqref="BJ82:BM82">
    <cfRule type="containsText" dxfId="186" priority="173" operator="containsText" text="&lt;&lt;empty&gt;&gt;">
      <formula>NOT(ISERROR(SEARCH("&lt;&lt;empty&gt;&gt;",BJ82)))</formula>
    </cfRule>
  </conditionalFormatting>
  <conditionalFormatting sqref="BJ79:BM79">
    <cfRule type="containsText" dxfId="185" priority="172" operator="containsText" text="&lt;&lt;empty&gt;&gt;">
      <formula>NOT(ISERROR(SEARCH("&lt;&lt;empty&gt;&gt;",BJ79)))</formula>
    </cfRule>
  </conditionalFormatting>
  <conditionalFormatting sqref="BJ76:BM76">
    <cfRule type="containsText" dxfId="184" priority="171" operator="containsText" text="&lt;&lt;empty&gt;&gt;">
      <formula>NOT(ISERROR(SEARCH("&lt;&lt;empty&gt;&gt;",BJ76)))</formula>
    </cfRule>
  </conditionalFormatting>
  <conditionalFormatting sqref="BJ123:BM134">
    <cfRule type="containsBlanks" dxfId="183" priority="5">
      <formula>LEN(TRIM(BJ123))=0</formula>
    </cfRule>
  </conditionalFormatting>
  <conditionalFormatting sqref="BJ133:BM133">
    <cfRule type="containsText" dxfId="182" priority="4" operator="containsText" text="&lt;&lt;empty&gt;&gt;">
      <formula>NOT(ISERROR(SEARCH("&lt;&lt;empty&gt;&gt;",BJ133)))</formula>
    </cfRule>
  </conditionalFormatting>
  <conditionalFormatting sqref="BJ130:BM130">
    <cfRule type="containsText" dxfId="181" priority="3" operator="containsText" text="&lt;&lt;empty&gt;&gt;">
      <formula>NOT(ISERROR(SEARCH("&lt;&lt;empty&gt;&gt;",BJ130)))</formula>
    </cfRule>
  </conditionalFormatting>
  <conditionalFormatting sqref="BJ127:BM127">
    <cfRule type="containsText" dxfId="180" priority="2" operator="containsText" text="&lt;&lt;empty&gt;&gt;">
      <formula>NOT(ISERROR(SEARCH("&lt;&lt;empty&gt;&gt;",BJ127)))</formula>
    </cfRule>
  </conditionalFormatting>
  <conditionalFormatting sqref="BJ124:BM124">
    <cfRule type="containsText" dxfId="179" priority="1" operator="containsText" text="&lt;&lt;empty&gt;&gt;">
      <formula>NOT(ISERROR(SEARCH("&lt;&lt;empty&gt;&gt;",BJ124)))</formula>
    </cfRule>
  </conditionalFormatting>
  <conditionalFormatting sqref="B5:E16">
    <cfRule type="containsBlanks" dxfId="178" priority="165">
      <formula>LEN(TRIM(B5))=0</formula>
    </cfRule>
  </conditionalFormatting>
  <conditionalFormatting sqref="B15:E15">
    <cfRule type="containsText" dxfId="177" priority="164" operator="containsText" text="&lt;&lt;empty&gt;&gt;">
      <formula>NOT(ISERROR(SEARCH("&lt;&lt;empty&gt;&gt;",B15)))</formula>
    </cfRule>
  </conditionalFormatting>
  <conditionalFormatting sqref="B12:E12">
    <cfRule type="containsText" dxfId="176" priority="163" operator="containsText" text="&lt;&lt;empty&gt;&gt;">
      <formula>NOT(ISERROR(SEARCH("&lt;&lt;empty&gt;&gt;",B12)))</formula>
    </cfRule>
  </conditionalFormatting>
  <conditionalFormatting sqref="B9:E9">
    <cfRule type="containsText" dxfId="175" priority="162" operator="containsText" text="&lt;&lt;empty&gt;&gt;">
      <formula>NOT(ISERROR(SEARCH("&lt;&lt;empty&gt;&gt;",B9)))</formula>
    </cfRule>
  </conditionalFormatting>
  <conditionalFormatting sqref="B6:E6">
    <cfRule type="containsText" dxfId="174" priority="161" operator="containsText" text="&lt;&lt;empty&gt;&gt;">
      <formula>NOT(ISERROR(SEARCH("&lt;&lt;empty&gt;&gt;",B6)))</formula>
    </cfRule>
  </conditionalFormatting>
  <conditionalFormatting sqref="F109:I120">
    <cfRule type="containsBlanks" dxfId="173" priority="160">
      <formula>LEN(TRIM(F109))=0</formula>
    </cfRule>
  </conditionalFormatting>
  <conditionalFormatting sqref="F119:I119">
    <cfRule type="containsText" dxfId="172" priority="159" operator="containsText" text="&lt;&lt;empty&gt;&gt;">
      <formula>NOT(ISERROR(SEARCH("&lt;&lt;empty&gt;&gt;",F119)))</formula>
    </cfRule>
  </conditionalFormatting>
  <conditionalFormatting sqref="F116:I116">
    <cfRule type="containsText" dxfId="171" priority="158" operator="containsText" text="&lt;&lt;empty&gt;&gt;">
      <formula>NOT(ISERROR(SEARCH("&lt;&lt;empty&gt;&gt;",F116)))</formula>
    </cfRule>
  </conditionalFormatting>
  <conditionalFormatting sqref="F113:I113">
    <cfRule type="containsText" dxfId="170" priority="157" operator="containsText" text="&lt;&lt;empty&gt;&gt;">
      <formula>NOT(ISERROR(SEARCH("&lt;&lt;empty&gt;&gt;",F113)))</formula>
    </cfRule>
  </conditionalFormatting>
  <conditionalFormatting sqref="F110:I110">
    <cfRule type="containsText" dxfId="169" priority="156" operator="containsText" text="&lt;&lt;empty&gt;&gt;">
      <formula>NOT(ISERROR(SEARCH("&lt;&lt;empty&gt;&gt;",F110)))</formula>
    </cfRule>
  </conditionalFormatting>
  <conditionalFormatting sqref="B109:E120">
    <cfRule type="containsBlanks" dxfId="168" priority="155">
      <formula>LEN(TRIM(B109))=0</formula>
    </cfRule>
  </conditionalFormatting>
  <conditionalFormatting sqref="B119:E119">
    <cfRule type="containsText" dxfId="167" priority="154" operator="containsText" text="&lt;&lt;empty&gt;&gt;">
      <formula>NOT(ISERROR(SEARCH("&lt;&lt;empty&gt;&gt;",B119)))</formula>
    </cfRule>
  </conditionalFormatting>
  <conditionalFormatting sqref="B116:E116">
    <cfRule type="containsText" dxfId="166" priority="153" operator="containsText" text="&lt;&lt;empty&gt;&gt;">
      <formula>NOT(ISERROR(SEARCH("&lt;&lt;empty&gt;&gt;",B116)))</formula>
    </cfRule>
  </conditionalFormatting>
  <conditionalFormatting sqref="B113:E113">
    <cfRule type="containsText" dxfId="165" priority="152" operator="containsText" text="&lt;&lt;empty&gt;&gt;">
      <formula>NOT(ISERROR(SEARCH("&lt;&lt;empty&gt;&gt;",B113)))</formula>
    </cfRule>
  </conditionalFormatting>
  <conditionalFormatting sqref="B110:E110">
    <cfRule type="containsText" dxfId="164" priority="151" operator="containsText" text="&lt;&lt;empty&gt;&gt;">
      <formula>NOT(ISERROR(SEARCH("&lt;&lt;empty&gt;&gt;",B110)))</formula>
    </cfRule>
  </conditionalFormatting>
  <conditionalFormatting sqref="N109:Q120">
    <cfRule type="containsBlanks" dxfId="163" priority="150">
      <formula>LEN(TRIM(N109))=0</formula>
    </cfRule>
  </conditionalFormatting>
  <conditionalFormatting sqref="N119:Q119">
    <cfRule type="containsText" dxfId="162" priority="149" operator="containsText" text="&lt;&lt;empty&gt;&gt;">
      <formula>NOT(ISERROR(SEARCH("&lt;&lt;empty&gt;&gt;",N119)))</formula>
    </cfRule>
  </conditionalFormatting>
  <conditionalFormatting sqref="N116:Q116">
    <cfRule type="containsText" dxfId="161" priority="148" operator="containsText" text="&lt;&lt;empty&gt;&gt;">
      <formula>NOT(ISERROR(SEARCH("&lt;&lt;empty&gt;&gt;",N116)))</formula>
    </cfRule>
  </conditionalFormatting>
  <conditionalFormatting sqref="N113:Q113">
    <cfRule type="containsText" dxfId="160" priority="147" operator="containsText" text="&lt;&lt;empty&gt;&gt;">
      <formula>NOT(ISERROR(SEARCH("&lt;&lt;empty&gt;&gt;",N113)))</formula>
    </cfRule>
  </conditionalFormatting>
  <conditionalFormatting sqref="N110:Q110">
    <cfRule type="containsText" dxfId="159" priority="146" operator="containsText" text="&lt;&lt;empty&gt;&gt;">
      <formula>NOT(ISERROR(SEARCH("&lt;&lt;empty&gt;&gt;",N110)))</formula>
    </cfRule>
  </conditionalFormatting>
  <conditionalFormatting sqref="J109:M120">
    <cfRule type="containsBlanks" dxfId="158" priority="145">
      <formula>LEN(TRIM(J109))=0</formula>
    </cfRule>
  </conditionalFormatting>
  <conditionalFormatting sqref="J119:M119">
    <cfRule type="containsText" dxfId="157" priority="144" operator="containsText" text="&lt;&lt;empty&gt;&gt;">
      <formula>NOT(ISERROR(SEARCH("&lt;&lt;empty&gt;&gt;",J119)))</formula>
    </cfRule>
  </conditionalFormatting>
  <conditionalFormatting sqref="J116:M116">
    <cfRule type="containsText" dxfId="156" priority="143" operator="containsText" text="&lt;&lt;empty&gt;&gt;">
      <formula>NOT(ISERROR(SEARCH("&lt;&lt;empty&gt;&gt;",J116)))</formula>
    </cfRule>
  </conditionalFormatting>
  <conditionalFormatting sqref="J113:M113">
    <cfRule type="containsText" dxfId="155" priority="142" operator="containsText" text="&lt;&lt;empty&gt;&gt;">
      <formula>NOT(ISERROR(SEARCH("&lt;&lt;empty&gt;&gt;",J113)))</formula>
    </cfRule>
  </conditionalFormatting>
  <conditionalFormatting sqref="J110:M110">
    <cfRule type="containsText" dxfId="154" priority="141" operator="containsText" text="&lt;&lt;empty&gt;&gt;">
      <formula>NOT(ISERROR(SEARCH("&lt;&lt;empty&gt;&gt;",J110)))</formula>
    </cfRule>
  </conditionalFormatting>
  <conditionalFormatting sqref="V109:Y120">
    <cfRule type="containsBlanks" dxfId="153" priority="140">
      <formula>LEN(TRIM(V109))=0</formula>
    </cfRule>
  </conditionalFormatting>
  <conditionalFormatting sqref="V119:Y119">
    <cfRule type="containsText" dxfId="152" priority="139" operator="containsText" text="&lt;&lt;empty&gt;&gt;">
      <formula>NOT(ISERROR(SEARCH("&lt;&lt;empty&gt;&gt;",V119)))</formula>
    </cfRule>
  </conditionalFormatting>
  <conditionalFormatting sqref="V116:Y116">
    <cfRule type="containsText" dxfId="151" priority="138" operator="containsText" text="&lt;&lt;empty&gt;&gt;">
      <formula>NOT(ISERROR(SEARCH("&lt;&lt;empty&gt;&gt;",V116)))</formula>
    </cfRule>
  </conditionalFormatting>
  <conditionalFormatting sqref="V113:Y113">
    <cfRule type="containsText" dxfId="150" priority="137" operator="containsText" text="&lt;&lt;empty&gt;&gt;">
      <formula>NOT(ISERROR(SEARCH("&lt;&lt;empty&gt;&gt;",V113)))</formula>
    </cfRule>
  </conditionalFormatting>
  <conditionalFormatting sqref="V110:Y110">
    <cfRule type="containsText" dxfId="149" priority="136" operator="containsText" text="&lt;&lt;empty&gt;&gt;">
      <formula>NOT(ISERROR(SEARCH("&lt;&lt;empty&gt;&gt;",V110)))</formula>
    </cfRule>
  </conditionalFormatting>
  <conditionalFormatting sqref="R109:U120">
    <cfRule type="containsBlanks" dxfId="148" priority="135">
      <formula>LEN(TRIM(R109))=0</formula>
    </cfRule>
  </conditionalFormatting>
  <conditionalFormatting sqref="R119:U119">
    <cfRule type="containsText" dxfId="147" priority="134" operator="containsText" text="&lt;&lt;empty&gt;&gt;">
      <formula>NOT(ISERROR(SEARCH("&lt;&lt;empty&gt;&gt;",R119)))</formula>
    </cfRule>
  </conditionalFormatting>
  <conditionalFormatting sqref="R116:U116">
    <cfRule type="containsText" dxfId="146" priority="133" operator="containsText" text="&lt;&lt;empty&gt;&gt;">
      <formula>NOT(ISERROR(SEARCH("&lt;&lt;empty&gt;&gt;",R116)))</formula>
    </cfRule>
  </conditionalFormatting>
  <conditionalFormatting sqref="R113:U113">
    <cfRule type="containsText" dxfId="145" priority="132" operator="containsText" text="&lt;&lt;empty&gt;&gt;">
      <formula>NOT(ISERROR(SEARCH("&lt;&lt;empty&gt;&gt;",R113)))</formula>
    </cfRule>
  </conditionalFormatting>
  <conditionalFormatting sqref="R110:U110">
    <cfRule type="containsText" dxfId="144" priority="131" operator="containsText" text="&lt;&lt;empty&gt;&gt;">
      <formula>NOT(ISERROR(SEARCH("&lt;&lt;empty&gt;&gt;",R110)))</formula>
    </cfRule>
  </conditionalFormatting>
  <conditionalFormatting sqref="AD109:AG120">
    <cfRule type="containsBlanks" dxfId="143" priority="130">
      <formula>LEN(TRIM(AD109))=0</formula>
    </cfRule>
  </conditionalFormatting>
  <conditionalFormatting sqref="AD119:AG119">
    <cfRule type="containsText" dxfId="142" priority="129" operator="containsText" text="&lt;&lt;empty&gt;&gt;">
      <formula>NOT(ISERROR(SEARCH("&lt;&lt;empty&gt;&gt;",AD119)))</formula>
    </cfRule>
  </conditionalFormatting>
  <conditionalFormatting sqref="AD116:AG116">
    <cfRule type="containsText" dxfId="141" priority="128" operator="containsText" text="&lt;&lt;empty&gt;&gt;">
      <formula>NOT(ISERROR(SEARCH("&lt;&lt;empty&gt;&gt;",AD116)))</formula>
    </cfRule>
  </conditionalFormatting>
  <conditionalFormatting sqref="AD113:AG113">
    <cfRule type="containsText" dxfId="140" priority="127" operator="containsText" text="&lt;&lt;empty&gt;&gt;">
      <formula>NOT(ISERROR(SEARCH("&lt;&lt;empty&gt;&gt;",AD113)))</formula>
    </cfRule>
  </conditionalFormatting>
  <conditionalFormatting sqref="AD110:AG110">
    <cfRule type="containsText" dxfId="139" priority="126" operator="containsText" text="&lt;&lt;empty&gt;&gt;">
      <formula>NOT(ISERROR(SEARCH("&lt;&lt;empty&gt;&gt;",AD110)))</formula>
    </cfRule>
  </conditionalFormatting>
  <conditionalFormatting sqref="Z109:AC120">
    <cfRule type="containsBlanks" dxfId="138" priority="125">
      <formula>LEN(TRIM(Z109))=0</formula>
    </cfRule>
  </conditionalFormatting>
  <conditionalFormatting sqref="Z119:AC119">
    <cfRule type="containsText" dxfId="137" priority="124" operator="containsText" text="&lt;&lt;empty&gt;&gt;">
      <formula>NOT(ISERROR(SEARCH("&lt;&lt;empty&gt;&gt;",Z119)))</formula>
    </cfRule>
  </conditionalFormatting>
  <conditionalFormatting sqref="Z116:AC116">
    <cfRule type="containsText" dxfId="136" priority="123" operator="containsText" text="&lt;&lt;empty&gt;&gt;">
      <formula>NOT(ISERROR(SEARCH("&lt;&lt;empty&gt;&gt;",Z116)))</formula>
    </cfRule>
  </conditionalFormatting>
  <conditionalFormatting sqref="Z113:AC113">
    <cfRule type="containsText" dxfId="135" priority="122" operator="containsText" text="&lt;&lt;empty&gt;&gt;">
      <formula>NOT(ISERROR(SEARCH("&lt;&lt;empty&gt;&gt;",Z113)))</formula>
    </cfRule>
  </conditionalFormatting>
  <conditionalFormatting sqref="Z110:AC110">
    <cfRule type="containsText" dxfId="134" priority="121" operator="containsText" text="&lt;&lt;empty&gt;&gt;">
      <formula>NOT(ISERROR(SEARCH("&lt;&lt;empty&gt;&gt;",Z110)))</formula>
    </cfRule>
  </conditionalFormatting>
  <conditionalFormatting sqref="AL109:AO120">
    <cfRule type="containsBlanks" dxfId="133" priority="120">
      <formula>LEN(TRIM(AL109))=0</formula>
    </cfRule>
  </conditionalFormatting>
  <conditionalFormatting sqref="AL119:AO119">
    <cfRule type="containsText" dxfId="132" priority="119" operator="containsText" text="&lt;&lt;empty&gt;&gt;">
      <formula>NOT(ISERROR(SEARCH("&lt;&lt;empty&gt;&gt;",AL119)))</formula>
    </cfRule>
  </conditionalFormatting>
  <conditionalFormatting sqref="AL116:AO116">
    <cfRule type="containsText" dxfId="131" priority="118" operator="containsText" text="&lt;&lt;empty&gt;&gt;">
      <formula>NOT(ISERROR(SEARCH("&lt;&lt;empty&gt;&gt;",AL116)))</formula>
    </cfRule>
  </conditionalFormatting>
  <conditionalFormatting sqref="AL113:AO113">
    <cfRule type="containsText" dxfId="130" priority="117" operator="containsText" text="&lt;&lt;empty&gt;&gt;">
      <formula>NOT(ISERROR(SEARCH("&lt;&lt;empty&gt;&gt;",AL113)))</formula>
    </cfRule>
  </conditionalFormatting>
  <conditionalFormatting sqref="AL110:AO110">
    <cfRule type="containsText" dxfId="129" priority="116" operator="containsText" text="&lt;&lt;empty&gt;&gt;">
      <formula>NOT(ISERROR(SEARCH("&lt;&lt;empty&gt;&gt;",AL110)))</formula>
    </cfRule>
  </conditionalFormatting>
  <conditionalFormatting sqref="AH109:AK120">
    <cfRule type="containsBlanks" dxfId="128" priority="115">
      <formula>LEN(TRIM(AH109))=0</formula>
    </cfRule>
  </conditionalFormatting>
  <conditionalFormatting sqref="AH119:AK119">
    <cfRule type="containsText" dxfId="127" priority="114" operator="containsText" text="&lt;&lt;empty&gt;&gt;">
      <formula>NOT(ISERROR(SEARCH("&lt;&lt;empty&gt;&gt;",AH119)))</formula>
    </cfRule>
  </conditionalFormatting>
  <conditionalFormatting sqref="AH116:AK116">
    <cfRule type="containsText" dxfId="126" priority="113" operator="containsText" text="&lt;&lt;empty&gt;&gt;">
      <formula>NOT(ISERROR(SEARCH("&lt;&lt;empty&gt;&gt;",AH116)))</formula>
    </cfRule>
  </conditionalFormatting>
  <conditionalFormatting sqref="AH113:AK113">
    <cfRule type="containsText" dxfId="125" priority="112" operator="containsText" text="&lt;&lt;empty&gt;&gt;">
      <formula>NOT(ISERROR(SEARCH("&lt;&lt;empty&gt;&gt;",AH113)))</formula>
    </cfRule>
  </conditionalFormatting>
  <conditionalFormatting sqref="AH110:AK110">
    <cfRule type="containsText" dxfId="124" priority="111" operator="containsText" text="&lt;&lt;empty&gt;&gt;">
      <formula>NOT(ISERROR(SEARCH("&lt;&lt;empty&gt;&gt;",AH110)))</formula>
    </cfRule>
  </conditionalFormatting>
  <conditionalFormatting sqref="AT109:AW120">
    <cfRule type="containsBlanks" dxfId="123" priority="110">
      <formula>LEN(TRIM(AT109))=0</formula>
    </cfRule>
  </conditionalFormatting>
  <conditionalFormatting sqref="AT119:AW119">
    <cfRule type="containsText" dxfId="122" priority="109" operator="containsText" text="&lt;&lt;empty&gt;&gt;">
      <formula>NOT(ISERROR(SEARCH("&lt;&lt;empty&gt;&gt;",AT119)))</formula>
    </cfRule>
  </conditionalFormatting>
  <conditionalFormatting sqref="AT116:AW116">
    <cfRule type="containsText" dxfId="121" priority="108" operator="containsText" text="&lt;&lt;empty&gt;&gt;">
      <formula>NOT(ISERROR(SEARCH("&lt;&lt;empty&gt;&gt;",AT116)))</formula>
    </cfRule>
  </conditionalFormatting>
  <conditionalFormatting sqref="AT113:AW113">
    <cfRule type="containsText" dxfId="120" priority="107" operator="containsText" text="&lt;&lt;empty&gt;&gt;">
      <formula>NOT(ISERROR(SEARCH("&lt;&lt;empty&gt;&gt;",AT113)))</formula>
    </cfRule>
  </conditionalFormatting>
  <conditionalFormatting sqref="AT110:AW110">
    <cfRule type="containsText" dxfId="119" priority="106" operator="containsText" text="&lt;&lt;empty&gt;&gt;">
      <formula>NOT(ISERROR(SEARCH("&lt;&lt;empty&gt;&gt;",AT110)))</formula>
    </cfRule>
  </conditionalFormatting>
  <conditionalFormatting sqref="AP109:AS120">
    <cfRule type="containsBlanks" dxfId="118" priority="105">
      <formula>LEN(TRIM(AP109))=0</formula>
    </cfRule>
  </conditionalFormatting>
  <conditionalFormatting sqref="AP119:AS119">
    <cfRule type="containsText" dxfId="117" priority="104" operator="containsText" text="&lt;&lt;empty&gt;&gt;">
      <formula>NOT(ISERROR(SEARCH("&lt;&lt;empty&gt;&gt;",AP119)))</formula>
    </cfRule>
  </conditionalFormatting>
  <conditionalFormatting sqref="AP116:AS116">
    <cfRule type="containsText" dxfId="116" priority="103" operator="containsText" text="&lt;&lt;empty&gt;&gt;">
      <formula>NOT(ISERROR(SEARCH("&lt;&lt;empty&gt;&gt;",AP116)))</formula>
    </cfRule>
  </conditionalFormatting>
  <conditionalFormatting sqref="AP113:AS113">
    <cfRule type="containsText" dxfId="115" priority="102" operator="containsText" text="&lt;&lt;empty&gt;&gt;">
      <formula>NOT(ISERROR(SEARCH("&lt;&lt;empty&gt;&gt;",AP113)))</formula>
    </cfRule>
  </conditionalFormatting>
  <conditionalFormatting sqref="AP110:AS110">
    <cfRule type="containsText" dxfId="114" priority="101" operator="containsText" text="&lt;&lt;empty&gt;&gt;">
      <formula>NOT(ISERROR(SEARCH("&lt;&lt;empty&gt;&gt;",AP110)))</formula>
    </cfRule>
  </conditionalFormatting>
  <conditionalFormatting sqref="BB109:BE120">
    <cfRule type="containsBlanks" dxfId="113" priority="100">
      <formula>LEN(TRIM(BB109))=0</formula>
    </cfRule>
  </conditionalFormatting>
  <conditionalFormatting sqref="BB119:BE119">
    <cfRule type="containsText" dxfId="112" priority="99" operator="containsText" text="&lt;&lt;empty&gt;&gt;">
      <formula>NOT(ISERROR(SEARCH("&lt;&lt;empty&gt;&gt;",BB119)))</formula>
    </cfRule>
  </conditionalFormatting>
  <conditionalFormatting sqref="BB116:BE116">
    <cfRule type="containsText" dxfId="111" priority="98" operator="containsText" text="&lt;&lt;empty&gt;&gt;">
      <formula>NOT(ISERROR(SEARCH("&lt;&lt;empty&gt;&gt;",BB116)))</formula>
    </cfRule>
  </conditionalFormatting>
  <conditionalFormatting sqref="BB113:BE113">
    <cfRule type="containsText" dxfId="110" priority="97" operator="containsText" text="&lt;&lt;empty&gt;&gt;">
      <formula>NOT(ISERROR(SEARCH("&lt;&lt;empty&gt;&gt;",BB113)))</formula>
    </cfRule>
  </conditionalFormatting>
  <conditionalFormatting sqref="BB110:BE110">
    <cfRule type="containsText" dxfId="109" priority="96" operator="containsText" text="&lt;&lt;empty&gt;&gt;">
      <formula>NOT(ISERROR(SEARCH("&lt;&lt;empty&gt;&gt;",BB110)))</formula>
    </cfRule>
  </conditionalFormatting>
  <conditionalFormatting sqref="AX109:BA120">
    <cfRule type="containsBlanks" dxfId="108" priority="95">
      <formula>LEN(TRIM(AX109))=0</formula>
    </cfRule>
  </conditionalFormatting>
  <conditionalFormatting sqref="AX119:BA119">
    <cfRule type="containsText" dxfId="107" priority="94" operator="containsText" text="&lt;&lt;empty&gt;&gt;">
      <formula>NOT(ISERROR(SEARCH("&lt;&lt;empty&gt;&gt;",AX119)))</formula>
    </cfRule>
  </conditionalFormatting>
  <conditionalFormatting sqref="AX116:BA116">
    <cfRule type="containsText" dxfId="106" priority="93" operator="containsText" text="&lt;&lt;empty&gt;&gt;">
      <formula>NOT(ISERROR(SEARCH("&lt;&lt;empty&gt;&gt;",AX116)))</formula>
    </cfRule>
  </conditionalFormatting>
  <conditionalFormatting sqref="AX113:BA113">
    <cfRule type="containsText" dxfId="105" priority="92" operator="containsText" text="&lt;&lt;empty&gt;&gt;">
      <formula>NOT(ISERROR(SEARCH("&lt;&lt;empty&gt;&gt;",AX113)))</formula>
    </cfRule>
  </conditionalFormatting>
  <conditionalFormatting sqref="AX110:BA110">
    <cfRule type="containsText" dxfId="104" priority="91" operator="containsText" text="&lt;&lt;empty&gt;&gt;">
      <formula>NOT(ISERROR(SEARCH("&lt;&lt;empty&gt;&gt;",AX110)))</formula>
    </cfRule>
  </conditionalFormatting>
  <conditionalFormatting sqref="BF109:BI120">
    <cfRule type="containsBlanks" dxfId="103" priority="90">
      <formula>LEN(TRIM(BF109))=0</formula>
    </cfRule>
  </conditionalFormatting>
  <conditionalFormatting sqref="BF119:BI119">
    <cfRule type="containsText" dxfId="102" priority="89" operator="containsText" text="&lt;&lt;empty&gt;&gt;">
      <formula>NOT(ISERROR(SEARCH("&lt;&lt;empty&gt;&gt;",BF119)))</formula>
    </cfRule>
  </conditionalFormatting>
  <conditionalFormatting sqref="BF116:BI116">
    <cfRule type="containsText" dxfId="101" priority="88" operator="containsText" text="&lt;&lt;empty&gt;&gt;">
      <formula>NOT(ISERROR(SEARCH("&lt;&lt;empty&gt;&gt;",BF116)))</formula>
    </cfRule>
  </conditionalFormatting>
  <conditionalFormatting sqref="BF113:BI113">
    <cfRule type="containsText" dxfId="100" priority="87" operator="containsText" text="&lt;&lt;empty&gt;&gt;">
      <formula>NOT(ISERROR(SEARCH("&lt;&lt;empty&gt;&gt;",BF113)))</formula>
    </cfRule>
  </conditionalFormatting>
  <conditionalFormatting sqref="BF110:BI110">
    <cfRule type="containsText" dxfId="99" priority="86" operator="containsText" text="&lt;&lt;empty&gt;&gt;">
      <formula>NOT(ISERROR(SEARCH("&lt;&lt;empty&gt;&gt;",BF110)))</formula>
    </cfRule>
  </conditionalFormatting>
  <conditionalFormatting sqref="BJ109:BM120">
    <cfRule type="containsBlanks" dxfId="98" priority="85">
      <formula>LEN(TRIM(BJ109))=0</formula>
    </cfRule>
  </conditionalFormatting>
  <conditionalFormatting sqref="BJ119:BM119">
    <cfRule type="containsText" dxfId="97" priority="84" operator="containsText" text="&lt;&lt;empty&gt;&gt;">
      <formula>NOT(ISERROR(SEARCH("&lt;&lt;empty&gt;&gt;",BJ119)))</formula>
    </cfRule>
  </conditionalFormatting>
  <conditionalFormatting sqref="BJ116:BM116">
    <cfRule type="containsText" dxfId="96" priority="83" operator="containsText" text="&lt;&lt;empty&gt;&gt;">
      <formula>NOT(ISERROR(SEARCH("&lt;&lt;empty&gt;&gt;",BJ116)))</formula>
    </cfRule>
  </conditionalFormatting>
  <conditionalFormatting sqref="BJ113:BM113">
    <cfRule type="containsText" dxfId="95" priority="82" operator="containsText" text="&lt;&lt;empty&gt;&gt;">
      <formula>NOT(ISERROR(SEARCH("&lt;&lt;empty&gt;&gt;",BJ113)))</formula>
    </cfRule>
  </conditionalFormatting>
  <conditionalFormatting sqref="BJ110:BM110">
    <cfRule type="containsText" dxfId="94" priority="81" operator="containsText" text="&lt;&lt;empty&gt;&gt;">
      <formula>NOT(ISERROR(SEARCH("&lt;&lt;empty&gt;&gt;",BJ110)))</formula>
    </cfRule>
  </conditionalFormatting>
  <conditionalFormatting sqref="F123:I134">
    <cfRule type="containsBlanks" dxfId="93" priority="80">
      <formula>LEN(TRIM(F123))=0</formula>
    </cfRule>
  </conditionalFormatting>
  <conditionalFormatting sqref="F133:I133">
    <cfRule type="containsText" dxfId="92" priority="79" operator="containsText" text="&lt;&lt;empty&gt;&gt;">
      <formula>NOT(ISERROR(SEARCH("&lt;&lt;empty&gt;&gt;",F133)))</formula>
    </cfRule>
  </conditionalFormatting>
  <conditionalFormatting sqref="F130:I130">
    <cfRule type="containsText" dxfId="91" priority="78" operator="containsText" text="&lt;&lt;empty&gt;&gt;">
      <formula>NOT(ISERROR(SEARCH("&lt;&lt;empty&gt;&gt;",F130)))</formula>
    </cfRule>
  </conditionalFormatting>
  <conditionalFormatting sqref="F127:I127">
    <cfRule type="containsText" dxfId="90" priority="77" operator="containsText" text="&lt;&lt;empty&gt;&gt;">
      <formula>NOT(ISERROR(SEARCH("&lt;&lt;empty&gt;&gt;",F127)))</formula>
    </cfRule>
  </conditionalFormatting>
  <conditionalFormatting sqref="F124:I124">
    <cfRule type="containsText" dxfId="89" priority="76" operator="containsText" text="&lt;&lt;empty&gt;&gt;">
      <formula>NOT(ISERROR(SEARCH("&lt;&lt;empty&gt;&gt;",F124)))</formula>
    </cfRule>
  </conditionalFormatting>
  <conditionalFormatting sqref="B123:E134">
    <cfRule type="containsBlanks" dxfId="88" priority="75">
      <formula>LEN(TRIM(B123))=0</formula>
    </cfRule>
  </conditionalFormatting>
  <conditionalFormatting sqref="B133:E133">
    <cfRule type="containsText" dxfId="87" priority="74" operator="containsText" text="&lt;&lt;empty&gt;&gt;">
      <formula>NOT(ISERROR(SEARCH("&lt;&lt;empty&gt;&gt;",B133)))</formula>
    </cfRule>
  </conditionalFormatting>
  <conditionalFormatting sqref="B130:E130">
    <cfRule type="containsText" dxfId="86" priority="73" operator="containsText" text="&lt;&lt;empty&gt;&gt;">
      <formula>NOT(ISERROR(SEARCH("&lt;&lt;empty&gt;&gt;",B130)))</formula>
    </cfRule>
  </conditionalFormatting>
  <conditionalFormatting sqref="B127:E127">
    <cfRule type="containsText" dxfId="85" priority="72" operator="containsText" text="&lt;&lt;empty&gt;&gt;">
      <formula>NOT(ISERROR(SEARCH("&lt;&lt;empty&gt;&gt;",B127)))</formula>
    </cfRule>
  </conditionalFormatting>
  <conditionalFormatting sqref="B124:E124">
    <cfRule type="containsText" dxfId="84" priority="71" operator="containsText" text="&lt;&lt;empty&gt;&gt;">
      <formula>NOT(ISERROR(SEARCH("&lt;&lt;empty&gt;&gt;",B124)))</formula>
    </cfRule>
  </conditionalFormatting>
  <conditionalFormatting sqref="N123:Q134">
    <cfRule type="containsBlanks" dxfId="83" priority="70">
      <formula>LEN(TRIM(N123))=0</formula>
    </cfRule>
  </conditionalFormatting>
  <conditionalFormatting sqref="N133:Q133">
    <cfRule type="containsText" dxfId="82" priority="69" operator="containsText" text="&lt;&lt;empty&gt;&gt;">
      <formula>NOT(ISERROR(SEARCH("&lt;&lt;empty&gt;&gt;",N133)))</formula>
    </cfRule>
  </conditionalFormatting>
  <conditionalFormatting sqref="N130:Q130">
    <cfRule type="containsText" dxfId="81" priority="68" operator="containsText" text="&lt;&lt;empty&gt;&gt;">
      <formula>NOT(ISERROR(SEARCH("&lt;&lt;empty&gt;&gt;",N130)))</formula>
    </cfRule>
  </conditionalFormatting>
  <conditionalFormatting sqref="N127:Q127">
    <cfRule type="containsText" dxfId="80" priority="67" operator="containsText" text="&lt;&lt;empty&gt;&gt;">
      <formula>NOT(ISERROR(SEARCH("&lt;&lt;empty&gt;&gt;",N127)))</formula>
    </cfRule>
  </conditionalFormatting>
  <conditionalFormatting sqref="N124:Q124">
    <cfRule type="containsText" dxfId="79" priority="66" operator="containsText" text="&lt;&lt;empty&gt;&gt;">
      <formula>NOT(ISERROR(SEARCH("&lt;&lt;empty&gt;&gt;",N124)))</formula>
    </cfRule>
  </conditionalFormatting>
  <conditionalFormatting sqref="J123:M134">
    <cfRule type="containsBlanks" dxfId="78" priority="65">
      <formula>LEN(TRIM(J123))=0</formula>
    </cfRule>
  </conditionalFormatting>
  <conditionalFormatting sqref="J133:M133">
    <cfRule type="containsText" dxfId="77" priority="64" operator="containsText" text="&lt;&lt;empty&gt;&gt;">
      <formula>NOT(ISERROR(SEARCH("&lt;&lt;empty&gt;&gt;",J133)))</formula>
    </cfRule>
  </conditionalFormatting>
  <conditionalFormatting sqref="J130:M130">
    <cfRule type="containsText" dxfId="76" priority="63" operator="containsText" text="&lt;&lt;empty&gt;&gt;">
      <formula>NOT(ISERROR(SEARCH("&lt;&lt;empty&gt;&gt;",J130)))</formula>
    </cfRule>
  </conditionalFormatting>
  <conditionalFormatting sqref="J127:M127">
    <cfRule type="containsText" dxfId="75" priority="62" operator="containsText" text="&lt;&lt;empty&gt;&gt;">
      <formula>NOT(ISERROR(SEARCH("&lt;&lt;empty&gt;&gt;",J127)))</formula>
    </cfRule>
  </conditionalFormatting>
  <conditionalFormatting sqref="J124:M124">
    <cfRule type="containsText" dxfId="74" priority="61" operator="containsText" text="&lt;&lt;empty&gt;&gt;">
      <formula>NOT(ISERROR(SEARCH("&lt;&lt;empty&gt;&gt;",J124)))</formula>
    </cfRule>
  </conditionalFormatting>
  <conditionalFormatting sqref="V123:Y134">
    <cfRule type="containsBlanks" dxfId="73" priority="60">
      <formula>LEN(TRIM(V123))=0</formula>
    </cfRule>
  </conditionalFormatting>
  <conditionalFormatting sqref="V133:Y133">
    <cfRule type="containsText" dxfId="72" priority="59" operator="containsText" text="&lt;&lt;empty&gt;&gt;">
      <formula>NOT(ISERROR(SEARCH("&lt;&lt;empty&gt;&gt;",V133)))</formula>
    </cfRule>
  </conditionalFormatting>
  <conditionalFormatting sqref="V130:Y130">
    <cfRule type="containsText" dxfId="71" priority="58" operator="containsText" text="&lt;&lt;empty&gt;&gt;">
      <formula>NOT(ISERROR(SEARCH("&lt;&lt;empty&gt;&gt;",V130)))</formula>
    </cfRule>
  </conditionalFormatting>
  <conditionalFormatting sqref="V127:Y127">
    <cfRule type="containsText" dxfId="70" priority="57" operator="containsText" text="&lt;&lt;empty&gt;&gt;">
      <formula>NOT(ISERROR(SEARCH("&lt;&lt;empty&gt;&gt;",V127)))</formula>
    </cfRule>
  </conditionalFormatting>
  <conditionalFormatting sqref="V124:Y124">
    <cfRule type="containsText" dxfId="69" priority="56" operator="containsText" text="&lt;&lt;empty&gt;&gt;">
      <formula>NOT(ISERROR(SEARCH("&lt;&lt;empty&gt;&gt;",V124)))</formula>
    </cfRule>
  </conditionalFormatting>
  <conditionalFormatting sqref="R123:U134">
    <cfRule type="containsBlanks" dxfId="68" priority="55">
      <formula>LEN(TRIM(R123))=0</formula>
    </cfRule>
  </conditionalFormatting>
  <conditionalFormatting sqref="R133:U133">
    <cfRule type="containsText" dxfId="67" priority="54" operator="containsText" text="&lt;&lt;empty&gt;&gt;">
      <formula>NOT(ISERROR(SEARCH("&lt;&lt;empty&gt;&gt;",R133)))</formula>
    </cfRule>
  </conditionalFormatting>
  <conditionalFormatting sqref="R130:U130">
    <cfRule type="containsText" dxfId="66" priority="53" operator="containsText" text="&lt;&lt;empty&gt;&gt;">
      <formula>NOT(ISERROR(SEARCH("&lt;&lt;empty&gt;&gt;",R130)))</formula>
    </cfRule>
  </conditionalFormatting>
  <conditionalFormatting sqref="R127:U127">
    <cfRule type="containsText" dxfId="65" priority="52" operator="containsText" text="&lt;&lt;empty&gt;&gt;">
      <formula>NOT(ISERROR(SEARCH("&lt;&lt;empty&gt;&gt;",R127)))</formula>
    </cfRule>
  </conditionalFormatting>
  <conditionalFormatting sqref="R124:U124">
    <cfRule type="containsText" dxfId="64" priority="51" operator="containsText" text="&lt;&lt;empty&gt;&gt;">
      <formula>NOT(ISERROR(SEARCH("&lt;&lt;empty&gt;&gt;",R124)))</formula>
    </cfRule>
  </conditionalFormatting>
  <conditionalFormatting sqref="AD123:AG134">
    <cfRule type="containsBlanks" dxfId="63" priority="50">
      <formula>LEN(TRIM(AD123))=0</formula>
    </cfRule>
  </conditionalFormatting>
  <conditionalFormatting sqref="AD133:AG133">
    <cfRule type="containsText" dxfId="62" priority="49" operator="containsText" text="&lt;&lt;empty&gt;&gt;">
      <formula>NOT(ISERROR(SEARCH("&lt;&lt;empty&gt;&gt;",AD133)))</formula>
    </cfRule>
  </conditionalFormatting>
  <conditionalFormatting sqref="AD130:AG130">
    <cfRule type="containsText" dxfId="61" priority="48" operator="containsText" text="&lt;&lt;empty&gt;&gt;">
      <formula>NOT(ISERROR(SEARCH("&lt;&lt;empty&gt;&gt;",AD130)))</formula>
    </cfRule>
  </conditionalFormatting>
  <conditionalFormatting sqref="AD127:AG127">
    <cfRule type="containsText" dxfId="60" priority="47" operator="containsText" text="&lt;&lt;empty&gt;&gt;">
      <formula>NOT(ISERROR(SEARCH("&lt;&lt;empty&gt;&gt;",AD127)))</formula>
    </cfRule>
  </conditionalFormatting>
  <conditionalFormatting sqref="AD124:AG124">
    <cfRule type="containsText" dxfId="59" priority="46" operator="containsText" text="&lt;&lt;empty&gt;&gt;">
      <formula>NOT(ISERROR(SEARCH("&lt;&lt;empty&gt;&gt;",AD124)))</formula>
    </cfRule>
  </conditionalFormatting>
  <conditionalFormatting sqref="Z123:AC134">
    <cfRule type="containsBlanks" dxfId="58" priority="45">
      <formula>LEN(TRIM(Z123))=0</formula>
    </cfRule>
  </conditionalFormatting>
  <conditionalFormatting sqref="Z133:AC133">
    <cfRule type="containsText" dxfId="57" priority="44" operator="containsText" text="&lt;&lt;empty&gt;&gt;">
      <formula>NOT(ISERROR(SEARCH("&lt;&lt;empty&gt;&gt;",Z133)))</formula>
    </cfRule>
  </conditionalFormatting>
  <conditionalFormatting sqref="Z130:AC130">
    <cfRule type="containsText" dxfId="56" priority="43" operator="containsText" text="&lt;&lt;empty&gt;&gt;">
      <formula>NOT(ISERROR(SEARCH("&lt;&lt;empty&gt;&gt;",Z130)))</formula>
    </cfRule>
  </conditionalFormatting>
  <conditionalFormatting sqref="Z127:AC127">
    <cfRule type="containsText" dxfId="55" priority="42" operator="containsText" text="&lt;&lt;empty&gt;&gt;">
      <formula>NOT(ISERROR(SEARCH("&lt;&lt;empty&gt;&gt;",Z127)))</formula>
    </cfRule>
  </conditionalFormatting>
  <conditionalFormatting sqref="Z124:AC124">
    <cfRule type="containsText" dxfId="54" priority="41" operator="containsText" text="&lt;&lt;empty&gt;&gt;">
      <formula>NOT(ISERROR(SEARCH("&lt;&lt;empty&gt;&gt;",Z124)))</formula>
    </cfRule>
  </conditionalFormatting>
  <conditionalFormatting sqref="AL123:AO134">
    <cfRule type="containsBlanks" dxfId="53" priority="40">
      <formula>LEN(TRIM(AL123))=0</formula>
    </cfRule>
  </conditionalFormatting>
  <conditionalFormatting sqref="AL133:AO133">
    <cfRule type="containsText" dxfId="52" priority="39" operator="containsText" text="&lt;&lt;empty&gt;&gt;">
      <formula>NOT(ISERROR(SEARCH("&lt;&lt;empty&gt;&gt;",AL133)))</formula>
    </cfRule>
  </conditionalFormatting>
  <conditionalFormatting sqref="AL130:AO130">
    <cfRule type="containsText" dxfId="51" priority="38" operator="containsText" text="&lt;&lt;empty&gt;&gt;">
      <formula>NOT(ISERROR(SEARCH("&lt;&lt;empty&gt;&gt;",AL130)))</formula>
    </cfRule>
  </conditionalFormatting>
  <conditionalFormatting sqref="AL127:AO127">
    <cfRule type="containsText" dxfId="50" priority="37" operator="containsText" text="&lt;&lt;empty&gt;&gt;">
      <formula>NOT(ISERROR(SEARCH("&lt;&lt;empty&gt;&gt;",AL127)))</formula>
    </cfRule>
  </conditionalFormatting>
  <conditionalFormatting sqref="AL124:AO124">
    <cfRule type="containsText" dxfId="49" priority="36" operator="containsText" text="&lt;&lt;empty&gt;&gt;">
      <formula>NOT(ISERROR(SEARCH("&lt;&lt;empty&gt;&gt;",AL124)))</formula>
    </cfRule>
  </conditionalFormatting>
  <conditionalFormatting sqref="AH123:AK134">
    <cfRule type="containsBlanks" dxfId="48" priority="35">
      <formula>LEN(TRIM(AH123))=0</formula>
    </cfRule>
  </conditionalFormatting>
  <conditionalFormatting sqref="AH133:AK133">
    <cfRule type="containsText" dxfId="47" priority="34" operator="containsText" text="&lt;&lt;empty&gt;&gt;">
      <formula>NOT(ISERROR(SEARCH("&lt;&lt;empty&gt;&gt;",AH133)))</formula>
    </cfRule>
  </conditionalFormatting>
  <conditionalFormatting sqref="AH130:AK130">
    <cfRule type="containsText" dxfId="46" priority="33" operator="containsText" text="&lt;&lt;empty&gt;&gt;">
      <formula>NOT(ISERROR(SEARCH("&lt;&lt;empty&gt;&gt;",AH130)))</formula>
    </cfRule>
  </conditionalFormatting>
  <conditionalFormatting sqref="AH127:AK127">
    <cfRule type="containsText" dxfId="45" priority="32" operator="containsText" text="&lt;&lt;empty&gt;&gt;">
      <formula>NOT(ISERROR(SEARCH("&lt;&lt;empty&gt;&gt;",AH127)))</formula>
    </cfRule>
  </conditionalFormatting>
  <conditionalFormatting sqref="AH124:AK124">
    <cfRule type="containsText" dxfId="44" priority="31" operator="containsText" text="&lt;&lt;empty&gt;&gt;">
      <formula>NOT(ISERROR(SEARCH("&lt;&lt;empty&gt;&gt;",AH124)))</formula>
    </cfRule>
  </conditionalFormatting>
  <conditionalFormatting sqref="AT123:AW134">
    <cfRule type="containsBlanks" dxfId="43" priority="30">
      <formula>LEN(TRIM(AT123))=0</formula>
    </cfRule>
  </conditionalFormatting>
  <conditionalFormatting sqref="AT133:AW133">
    <cfRule type="containsText" dxfId="42" priority="29" operator="containsText" text="&lt;&lt;empty&gt;&gt;">
      <formula>NOT(ISERROR(SEARCH("&lt;&lt;empty&gt;&gt;",AT133)))</formula>
    </cfRule>
  </conditionalFormatting>
  <conditionalFormatting sqref="AT130:AW130">
    <cfRule type="containsText" dxfId="41" priority="28" operator="containsText" text="&lt;&lt;empty&gt;&gt;">
      <formula>NOT(ISERROR(SEARCH("&lt;&lt;empty&gt;&gt;",AT130)))</formula>
    </cfRule>
  </conditionalFormatting>
  <conditionalFormatting sqref="AT127:AW127">
    <cfRule type="containsText" dxfId="40" priority="27" operator="containsText" text="&lt;&lt;empty&gt;&gt;">
      <formula>NOT(ISERROR(SEARCH("&lt;&lt;empty&gt;&gt;",AT127)))</formula>
    </cfRule>
  </conditionalFormatting>
  <conditionalFormatting sqref="AT124:AW124">
    <cfRule type="containsText" dxfId="39" priority="26" operator="containsText" text="&lt;&lt;empty&gt;&gt;">
      <formula>NOT(ISERROR(SEARCH("&lt;&lt;empty&gt;&gt;",AT124)))</formula>
    </cfRule>
  </conditionalFormatting>
  <conditionalFormatting sqref="AP123:AS134">
    <cfRule type="containsBlanks" dxfId="38" priority="25">
      <formula>LEN(TRIM(AP123))=0</formula>
    </cfRule>
  </conditionalFormatting>
  <conditionalFormatting sqref="AP133:AS133">
    <cfRule type="containsText" dxfId="37" priority="24" operator="containsText" text="&lt;&lt;empty&gt;&gt;">
      <formula>NOT(ISERROR(SEARCH("&lt;&lt;empty&gt;&gt;",AP133)))</formula>
    </cfRule>
  </conditionalFormatting>
  <conditionalFormatting sqref="AP130:AS130">
    <cfRule type="containsText" dxfId="36" priority="23" operator="containsText" text="&lt;&lt;empty&gt;&gt;">
      <formula>NOT(ISERROR(SEARCH("&lt;&lt;empty&gt;&gt;",AP130)))</formula>
    </cfRule>
  </conditionalFormatting>
  <conditionalFormatting sqref="AP127:AS127">
    <cfRule type="containsText" dxfId="35" priority="22" operator="containsText" text="&lt;&lt;empty&gt;&gt;">
      <formula>NOT(ISERROR(SEARCH("&lt;&lt;empty&gt;&gt;",AP127)))</formula>
    </cfRule>
  </conditionalFormatting>
  <conditionalFormatting sqref="AP124:AS124">
    <cfRule type="containsText" dxfId="34" priority="21" operator="containsText" text="&lt;&lt;empty&gt;&gt;">
      <formula>NOT(ISERROR(SEARCH("&lt;&lt;empty&gt;&gt;",AP124)))</formula>
    </cfRule>
  </conditionalFormatting>
  <conditionalFormatting sqref="BB123:BE134">
    <cfRule type="containsBlanks" dxfId="33" priority="20">
      <formula>LEN(TRIM(BB123))=0</formula>
    </cfRule>
  </conditionalFormatting>
  <conditionalFormatting sqref="BB133:BE133">
    <cfRule type="containsText" dxfId="32" priority="19" operator="containsText" text="&lt;&lt;empty&gt;&gt;">
      <formula>NOT(ISERROR(SEARCH("&lt;&lt;empty&gt;&gt;",BB133)))</formula>
    </cfRule>
  </conditionalFormatting>
  <conditionalFormatting sqref="BB130:BE130">
    <cfRule type="containsText" dxfId="31" priority="18" operator="containsText" text="&lt;&lt;empty&gt;&gt;">
      <formula>NOT(ISERROR(SEARCH("&lt;&lt;empty&gt;&gt;",BB130)))</formula>
    </cfRule>
  </conditionalFormatting>
  <conditionalFormatting sqref="BB127:BE127">
    <cfRule type="containsText" dxfId="30" priority="17" operator="containsText" text="&lt;&lt;empty&gt;&gt;">
      <formula>NOT(ISERROR(SEARCH("&lt;&lt;empty&gt;&gt;",BB127)))</formula>
    </cfRule>
  </conditionalFormatting>
  <conditionalFormatting sqref="BB124:BE124">
    <cfRule type="containsText" dxfId="29" priority="16" operator="containsText" text="&lt;&lt;empty&gt;&gt;">
      <formula>NOT(ISERROR(SEARCH("&lt;&lt;empty&gt;&gt;",BB124)))</formula>
    </cfRule>
  </conditionalFormatting>
  <conditionalFormatting sqref="AX123:BA134">
    <cfRule type="containsBlanks" dxfId="28" priority="15">
      <formula>LEN(TRIM(AX123))=0</formula>
    </cfRule>
  </conditionalFormatting>
  <conditionalFormatting sqref="AX133:BA133">
    <cfRule type="containsText" dxfId="27" priority="14" operator="containsText" text="&lt;&lt;empty&gt;&gt;">
      <formula>NOT(ISERROR(SEARCH("&lt;&lt;empty&gt;&gt;",AX133)))</formula>
    </cfRule>
  </conditionalFormatting>
  <conditionalFormatting sqref="AX130:BA130">
    <cfRule type="containsText" dxfId="26" priority="13" operator="containsText" text="&lt;&lt;empty&gt;&gt;">
      <formula>NOT(ISERROR(SEARCH("&lt;&lt;empty&gt;&gt;",AX130)))</formula>
    </cfRule>
  </conditionalFormatting>
  <conditionalFormatting sqref="AX127:BA127">
    <cfRule type="containsText" dxfId="25" priority="12" operator="containsText" text="&lt;&lt;empty&gt;&gt;">
      <formula>NOT(ISERROR(SEARCH("&lt;&lt;empty&gt;&gt;",AX127)))</formula>
    </cfRule>
  </conditionalFormatting>
  <conditionalFormatting sqref="AX124:BA124">
    <cfRule type="containsText" dxfId="24" priority="11" operator="containsText" text="&lt;&lt;empty&gt;&gt;">
      <formula>NOT(ISERROR(SEARCH("&lt;&lt;empty&gt;&gt;",AX124)))</formula>
    </cfRule>
  </conditionalFormatting>
  <conditionalFormatting sqref="BF123:BI134">
    <cfRule type="containsBlanks" dxfId="23" priority="10">
      <formula>LEN(TRIM(BF123))=0</formula>
    </cfRule>
  </conditionalFormatting>
  <conditionalFormatting sqref="BF133:BI133">
    <cfRule type="containsText" dxfId="22" priority="9" operator="containsText" text="&lt;&lt;empty&gt;&gt;">
      <formula>NOT(ISERROR(SEARCH("&lt;&lt;empty&gt;&gt;",BF133)))</formula>
    </cfRule>
  </conditionalFormatting>
  <conditionalFormatting sqref="BF130:BI130">
    <cfRule type="containsText" dxfId="21" priority="8" operator="containsText" text="&lt;&lt;empty&gt;&gt;">
      <formula>NOT(ISERROR(SEARCH("&lt;&lt;empty&gt;&gt;",BF130)))</formula>
    </cfRule>
  </conditionalFormatting>
  <conditionalFormatting sqref="BF127:BI127">
    <cfRule type="containsText" dxfId="20" priority="7" operator="containsText" text="&lt;&lt;empty&gt;&gt;">
      <formula>NOT(ISERROR(SEARCH("&lt;&lt;empty&gt;&gt;",BF127)))</formula>
    </cfRule>
  </conditionalFormatting>
  <conditionalFormatting sqref="BF124:BI124">
    <cfRule type="containsText" dxfId="19" priority="6" operator="containsText" text="&lt;&lt;empty&gt;&gt;">
      <formula>NOT(ISERROR(SEARCH("&lt;&lt;empty&gt;&gt;",BF124)))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Z662"/>
  <sheetViews>
    <sheetView tabSelected="1" zoomScaleNormal="100" workbookViewId="0">
      <selection activeCell="G21" sqref="G21"/>
    </sheetView>
  </sheetViews>
  <sheetFormatPr defaultRowHeight="15" x14ac:dyDescent="0.25"/>
  <cols>
    <col min="1" max="1" width="19" style="60" customWidth="1"/>
    <col min="2" max="2" width="37.85546875" style="56" customWidth="1"/>
    <col min="3" max="3" width="10.85546875" style="60" customWidth="1"/>
    <col min="4" max="4" width="20.42578125" style="56" customWidth="1"/>
    <col min="5" max="5" width="17.5703125" style="64" customWidth="1"/>
    <col min="6" max="6" width="6.5703125" style="56" customWidth="1"/>
    <col min="7" max="7" width="12.28515625" style="56" customWidth="1"/>
    <col min="8" max="8" width="80.28515625" style="56" customWidth="1"/>
    <col min="9" max="9" width="17.28515625" style="64" customWidth="1"/>
    <col min="10" max="10" width="2.42578125" customWidth="1"/>
    <col min="11" max="11" width="21.42578125" style="26" customWidth="1"/>
    <col min="12" max="12" width="13.85546875" customWidth="1"/>
    <col min="13" max="13" width="27.140625" customWidth="1"/>
    <col min="14" max="14" width="18.5703125" customWidth="1"/>
    <col min="15" max="15" width="17.28515625" customWidth="1"/>
    <col min="16" max="19" width="9.140625" style="56"/>
    <col min="20" max="20" width="7.28515625" style="56" customWidth="1"/>
    <col min="21" max="21" width="21.140625" style="57" customWidth="1"/>
    <col min="22" max="22" width="9.140625" style="56"/>
    <col min="23" max="23" width="30" style="56" customWidth="1"/>
    <col min="24" max="24" width="9.140625" style="56"/>
    <col min="25" max="25" width="9.140625" style="64"/>
    <col min="26" max="16384" width="9.140625" style="56"/>
  </cols>
  <sheetData>
    <row r="1" spans="1:26" ht="36" x14ac:dyDescent="0.55000000000000004">
      <c r="A1" s="132" t="s">
        <v>1088</v>
      </c>
      <c r="B1" s="132"/>
      <c r="C1" s="132"/>
      <c r="D1" s="132"/>
      <c r="E1" s="64" t="s">
        <v>1675</v>
      </c>
      <c r="F1" s="132" t="s">
        <v>1089</v>
      </c>
      <c r="G1" s="132"/>
      <c r="H1" s="132"/>
      <c r="I1" s="64" t="s">
        <v>1220</v>
      </c>
      <c r="J1" s="132" t="s">
        <v>1090</v>
      </c>
      <c r="K1" s="132"/>
      <c r="L1" s="132"/>
      <c r="M1" s="132"/>
      <c r="N1" s="132"/>
      <c r="O1" s="64" t="s">
        <v>1675</v>
      </c>
      <c r="T1" s="132" t="s">
        <v>1090</v>
      </c>
      <c r="U1" s="132"/>
      <c r="V1" s="132"/>
      <c r="W1" s="132"/>
      <c r="X1" s="132"/>
      <c r="Y1" s="64" t="s">
        <v>1220</v>
      </c>
    </row>
    <row r="2" spans="1:26" x14ac:dyDescent="0.25">
      <c r="A2" s="63" t="s">
        <v>779</v>
      </c>
      <c r="B2" s="62" t="s">
        <v>605</v>
      </c>
      <c r="C2" s="63" t="s">
        <v>780</v>
      </c>
      <c r="D2" s="63" t="s">
        <v>781</v>
      </c>
      <c r="E2" s="64" t="s">
        <v>1676</v>
      </c>
      <c r="F2" s="62">
        <v>0</v>
      </c>
      <c r="G2" s="62" t="s">
        <v>605</v>
      </c>
      <c r="H2" s="62" t="s">
        <v>927</v>
      </c>
      <c r="J2" s="62" t="s">
        <v>603</v>
      </c>
      <c r="K2" s="66" t="s">
        <v>604</v>
      </c>
      <c r="L2" s="62" t="s">
        <v>0</v>
      </c>
      <c r="M2" s="62" t="s">
        <v>605</v>
      </c>
      <c r="N2" s="62" t="s">
        <v>606</v>
      </c>
      <c r="O2" s="64" t="s">
        <v>1676</v>
      </c>
      <c r="T2" s="62" t="s">
        <v>603</v>
      </c>
      <c r="U2" s="66" t="s">
        <v>604</v>
      </c>
      <c r="V2" s="62" t="s">
        <v>0</v>
      </c>
      <c r="W2" s="62" t="s">
        <v>605</v>
      </c>
      <c r="X2" s="62" t="s">
        <v>606</v>
      </c>
      <c r="Z2" s="56" t="s">
        <v>1678</v>
      </c>
    </row>
    <row r="3" spans="1:26" x14ac:dyDescent="0.25">
      <c r="A3" s="118">
        <v>2840359100100</v>
      </c>
      <c r="B3" s="115" t="s">
        <v>783</v>
      </c>
      <c r="C3" s="116" t="s">
        <v>602</v>
      </c>
      <c r="D3" s="115"/>
      <c r="F3" s="56">
        <v>0</v>
      </c>
      <c r="G3" s="61">
        <v>338925</v>
      </c>
      <c r="H3" s="56" t="s">
        <v>928</v>
      </c>
      <c r="J3" s="56">
        <v>0</v>
      </c>
      <c r="K3" s="128">
        <v>2841053700100</v>
      </c>
      <c r="L3" s="56">
        <v>162</v>
      </c>
      <c r="M3" s="56" t="s">
        <v>610</v>
      </c>
      <c r="N3" s="56">
        <v>500</v>
      </c>
      <c r="O3" s="64"/>
      <c r="T3" s="124">
        <v>0</v>
      </c>
      <c r="U3" s="125" t="s">
        <v>1280</v>
      </c>
      <c r="V3" s="124">
        <v>1920</v>
      </c>
      <c r="W3" s="124" t="s">
        <v>1291</v>
      </c>
      <c r="X3" s="124">
        <v>250</v>
      </c>
      <c r="Y3" s="124"/>
    </row>
    <row r="4" spans="1:26" x14ac:dyDescent="0.25">
      <c r="A4" s="118">
        <v>2840359200100</v>
      </c>
      <c r="B4" s="115" t="s">
        <v>783</v>
      </c>
      <c r="C4" s="116" t="s">
        <v>602</v>
      </c>
      <c r="D4" s="115"/>
      <c r="F4" s="56">
        <v>0</v>
      </c>
      <c r="G4" s="61">
        <v>337033</v>
      </c>
      <c r="H4" s="56" t="s">
        <v>929</v>
      </c>
      <c r="J4" s="56">
        <v>1</v>
      </c>
      <c r="K4" s="128">
        <v>2841074301100</v>
      </c>
      <c r="L4" s="56">
        <v>128</v>
      </c>
      <c r="M4" s="56" t="s">
        <v>611</v>
      </c>
      <c r="N4" s="56">
        <v>450</v>
      </c>
      <c r="O4" s="64"/>
      <c r="T4" s="124">
        <v>0</v>
      </c>
      <c r="U4" s="125">
        <v>2841053700100</v>
      </c>
      <c r="V4" s="124">
        <v>162</v>
      </c>
      <c r="W4" s="124" t="s">
        <v>610</v>
      </c>
      <c r="X4" s="124">
        <v>500</v>
      </c>
      <c r="Y4" s="124"/>
    </row>
    <row r="5" spans="1:26" x14ac:dyDescent="0.25">
      <c r="A5" s="118">
        <v>2841053700100</v>
      </c>
      <c r="B5" s="115" t="s">
        <v>784</v>
      </c>
      <c r="C5" s="116">
        <v>6</v>
      </c>
      <c r="D5" s="115" t="s">
        <v>785</v>
      </c>
      <c r="F5" s="56">
        <v>0</v>
      </c>
      <c r="G5" s="61">
        <v>335654</v>
      </c>
      <c r="H5" s="56" t="s">
        <v>930</v>
      </c>
      <c r="J5" s="56">
        <v>1</v>
      </c>
      <c r="K5" s="128">
        <v>2841074301100</v>
      </c>
      <c r="L5" s="56">
        <v>192</v>
      </c>
      <c r="M5" s="56" t="s">
        <v>612</v>
      </c>
      <c r="N5" s="56">
        <v>550</v>
      </c>
      <c r="O5" s="64"/>
      <c r="T5" s="124">
        <v>1</v>
      </c>
      <c r="U5" s="125">
        <v>2841074301100</v>
      </c>
      <c r="V5" s="124">
        <v>128</v>
      </c>
      <c r="W5" s="124" t="s">
        <v>611</v>
      </c>
      <c r="X5" s="124">
        <v>450</v>
      </c>
      <c r="Y5" s="124"/>
    </row>
    <row r="6" spans="1:26" x14ac:dyDescent="0.25">
      <c r="A6" s="118">
        <v>2841074301100</v>
      </c>
      <c r="B6" s="115" t="s">
        <v>786</v>
      </c>
      <c r="C6" s="116" t="s">
        <v>787</v>
      </c>
      <c r="D6" s="115" t="s">
        <v>788</v>
      </c>
      <c r="F6" s="56">
        <v>0</v>
      </c>
      <c r="G6" s="61">
        <v>369815</v>
      </c>
      <c r="H6" s="56" t="s">
        <v>931</v>
      </c>
      <c r="J6" s="56">
        <v>0</v>
      </c>
      <c r="K6" s="128">
        <v>2841100300100</v>
      </c>
      <c r="L6" s="56">
        <v>1920</v>
      </c>
      <c r="M6" s="56" t="s">
        <v>613</v>
      </c>
      <c r="N6" s="56">
        <v>400</v>
      </c>
      <c r="O6" s="64"/>
      <c r="T6" s="124">
        <v>1</v>
      </c>
      <c r="U6" s="125">
        <v>2841074301100</v>
      </c>
      <c r="V6" s="124">
        <v>192</v>
      </c>
      <c r="W6" s="124" t="s">
        <v>612</v>
      </c>
      <c r="X6" s="124">
        <v>550</v>
      </c>
      <c r="Y6" s="124"/>
    </row>
    <row r="7" spans="1:26" x14ac:dyDescent="0.25">
      <c r="A7" s="118">
        <v>2841100300100</v>
      </c>
      <c r="B7" s="115" t="s">
        <v>789</v>
      </c>
      <c r="C7" s="116">
        <v>2</v>
      </c>
      <c r="D7" s="117" t="s">
        <v>790</v>
      </c>
      <c r="F7" s="56">
        <v>0</v>
      </c>
      <c r="G7" s="61">
        <v>333740</v>
      </c>
      <c r="H7" s="56" t="s">
        <v>932</v>
      </c>
      <c r="J7" s="56">
        <v>0</v>
      </c>
      <c r="K7" s="128">
        <v>2841100500100</v>
      </c>
      <c r="L7" s="56">
        <v>1920</v>
      </c>
      <c r="M7" s="56" t="s">
        <v>613</v>
      </c>
      <c r="N7" s="56">
        <v>400</v>
      </c>
      <c r="O7" s="64"/>
      <c r="T7" s="124">
        <v>0</v>
      </c>
      <c r="U7" s="125">
        <v>2841100300100</v>
      </c>
      <c r="V7" s="124">
        <v>1920</v>
      </c>
      <c r="W7" s="124" t="s">
        <v>613</v>
      </c>
      <c r="X7" s="124">
        <v>400</v>
      </c>
      <c r="Y7" s="124"/>
    </row>
    <row r="8" spans="1:26" x14ac:dyDescent="0.25">
      <c r="A8" s="118">
        <v>2841100500100</v>
      </c>
      <c r="B8" s="115" t="s">
        <v>789</v>
      </c>
      <c r="C8" s="116">
        <v>2</v>
      </c>
      <c r="D8" s="117" t="s">
        <v>791</v>
      </c>
      <c r="F8" s="56">
        <v>0</v>
      </c>
      <c r="G8" s="61">
        <v>387547</v>
      </c>
      <c r="H8" s="56" t="s">
        <v>1196</v>
      </c>
      <c r="J8" s="56">
        <v>0</v>
      </c>
      <c r="K8" s="128">
        <v>2841100600100</v>
      </c>
      <c r="L8" s="56">
        <v>1920</v>
      </c>
      <c r="M8" s="56" t="s">
        <v>613</v>
      </c>
      <c r="N8" s="56">
        <v>400</v>
      </c>
      <c r="O8" s="64"/>
      <c r="T8" s="124">
        <v>0</v>
      </c>
      <c r="U8" s="125">
        <v>2841100500100</v>
      </c>
      <c r="V8" s="124">
        <v>1920</v>
      </c>
      <c r="W8" s="124" t="s">
        <v>613</v>
      </c>
      <c r="X8" s="124">
        <v>400</v>
      </c>
      <c r="Y8" s="124"/>
    </row>
    <row r="9" spans="1:26" x14ac:dyDescent="0.25">
      <c r="A9" s="118">
        <v>2841100600100</v>
      </c>
      <c r="B9" s="115" t="s">
        <v>789</v>
      </c>
      <c r="C9" s="116">
        <v>2</v>
      </c>
      <c r="D9" s="117" t="s">
        <v>792</v>
      </c>
      <c r="F9" s="56">
        <v>0</v>
      </c>
      <c r="G9" s="61">
        <v>337034</v>
      </c>
      <c r="H9" s="56" t="s">
        <v>933</v>
      </c>
      <c r="J9" s="56">
        <v>0</v>
      </c>
      <c r="K9" s="128">
        <v>2841100700100</v>
      </c>
      <c r="L9" s="56">
        <v>1920</v>
      </c>
      <c r="M9" s="56" t="s">
        <v>613</v>
      </c>
      <c r="N9" s="56">
        <v>400</v>
      </c>
      <c r="O9" s="64"/>
      <c r="T9" s="124">
        <v>0</v>
      </c>
      <c r="U9" s="125">
        <v>2841100600100</v>
      </c>
      <c r="V9" s="124">
        <v>1920</v>
      </c>
      <c r="W9" s="124" t="s">
        <v>613</v>
      </c>
      <c r="X9" s="124">
        <v>400</v>
      </c>
      <c r="Y9" s="124"/>
    </row>
    <row r="10" spans="1:26" x14ac:dyDescent="0.25">
      <c r="A10" s="118">
        <v>2841100700100</v>
      </c>
      <c r="B10" s="115" t="s">
        <v>789</v>
      </c>
      <c r="C10" s="116">
        <v>2</v>
      </c>
      <c r="D10" s="117" t="s">
        <v>793</v>
      </c>
      <c r="F10" s="56">
        <v>0</v>
      </c>
      <c r="G10" s="61">
        <v>350975</v>
      </c>
      <c r="H10" s="56" t="s">
        <v>934</v>
      </c>
      <c r="J10" s="56">
        <v>0</v>
      </c>
      <c r="K10" s="128">
        <v>9242500089000</v>
      </c>
      <c r="L10" s="56">
        <v>2160</v>
      </c>
      <c r="M10" s="56" t="s">
        <v>615</v>
      </c>
      <c r="N10" s="56">
        <v>510</v>
      </c>
      <c r="O10" s="64"/>
      <c r="T10" s="124">
        <v>0</v>
      </c>
      <c r="U10" s="125">
        <v>2841100700100</v>
      </c>
      <c r="V10" s="124">
        <v>1920</v>
      </c>
      <c r="W10" s="124" t="s">
        <v>613</v>
      </c>
      <c r="X10" s="124">
        <v>400</v>
      </c>
      <c r="Y10" s="124"/>
    </row>
    <row r="11" spans="1:26" x14ac:dyDescent="0.25">
      <c r="A11" s="118">
        <v>9242500089000</v>
      </c>
      <c r="B11" s="115" t="s">
        <v>1126</v>
      </c>
      <c r="C11" s="116">
        <v>3</v>
      </c>
      <c r="D11" s="115" t="s">
        <v>795</v>
      </c>
      <c r="F11" s="56">
        <v>0</v>
      </c>
      <c r="G11" s="61">
        <v>331184</v>
      </c>
      <c r="H11" s="56" t="s">
        <v>935</v>
      </c>
      <c r="J11" s="56">
        <v>0</v>
      </c>
      <c r="K11" s="129" t="s">
        <v>607</v>
      </c>
      <c r="L11" s="56">
        <v>240</v>
      </c>
      <c r="M11" s="56" t="s">
        <v>782</v>
      </c>
      <c r="N11" s="56">
        <v>145</v>
      </c>
      <c r="O11" s="64"/>
      <c r="T11" s="124">
        <v>0</v>
      </c>
      <c r="U11" s="125">
        <v>2841343204100</v>
      </c>
      <c r="V11" s="124">
        <v>616</v>
      </c>
      <c r="W11" s="124" t="s">
        <v>614</v>
      </c>
      <c r="X11" s="124">
        <v>300</v>
      </c>
      <c r="Y11" s="124"/>
    </row>
    <row r="12" spans="1:26" x14ac:dyDescent="0.25">
      <c r="A12" s="116" t="s">
        <v>607</v>
      </c>
      <c r="B12" s="115" t="s">
        <v>1127</v>
      </c>
      <c r="C12" s="116">
        <v>4</v>
      </c>
      <c r="D12" s="116" t="s">
        <v>1514</v>
      </c>
      <c r="F12" s="56">
        <v>0</v>
      </c>
      <c r="G12" s="61">
        <v>362639</v>
      </c>
      <c r="H12" s="56" t="s">
        <v>936</v>
      </c>
      <c r="J12" s="56">
        <v>0</v>
      </c>
      <c r="K12" s="129" t="s">
        <v>608</v>
      </c>
      <c r="L12" s="56">
        <v>812</v>
      </c>
      <c r="M12" s="56" t="s">
        <v>609</v>
      </c>
      <c r="N12" s="56">
        <v>1623</v>
      </c>
      <c r="O12" s="64"/>
      <c r="T12" s="124">
        <v>0</v>
      </c>
      <c r="U12" s="125">
        <v>2841343304100</v>
      </c>
      <c r="V12" s="124">
        <v>1512</v>
      </c>
      <c r="W12" s="124" t="s">
        <v>614</v>
      </c>
      <c r="X12" s="124">
        <v>1200</v>
      </c>
      <c r="Y12" s="124"/>
    </row>
    <row r="13" spans="1:26" x14ac:dyDescent="0.25">
      <c r="A13" s="116" t="s">
        <v>608</v>
      </c>
      <c r="B13" s="115" t="s">
        <v>609</v>
      </c>
      <c r="C13" s="116">
        <v>1</v>
      </c>
      <c r="D13" s="116" t="s">
        <v>1128</v>
      </c>
      <c r="F13" s="56">
        <v>0</v>
      </c>
      <c r="G13" s="61">
        <v>750022</v>
      </c>
      <c r="H13" s="56" t="s">
        <v>1197</v>
      </c>
      <c r="J13" s="56">
        <v>0</v>
      </c>
      <c r="K13" s="128" t="s">
        <v>622</v>
      </c>
      <c r="L13" s="56">
        <v>351</v>
      </c>
      <c r="M13" s="56" t="s">
        <v>617</v>
      </c>
      <c r="N13" s="56">
        <v>450</v>
      </c>
      <c r="O13" s="64"/>
      <c r="T13" s="124">
        <v>0</v>
      </c>
      <c r="U13" s="125">
        <v>9242500089000</v>
      </c>
      <c r="V13" s="124">
        <v>2160</v>
      </c>
      <c r="W13" s="124" t="s">
        <v>615</v>
      </c>
      <c r="X13" s="124">
        <v>510</v>
      </c>
      <c r="Y13" s="124"/>
    </row>
    <row r="14" spans="1:26" x14ac:dyDescent="0.25">
      <c r="A14" s="118" t="s">
        <v>797</v>
      </c>
      <c r="B14" s="115" t="s">
        <v>632</v>
      </c>
      <c r="C14" s="116" t="s">
        <v>602</v>
      </c>
      <c r="D14" s="115"/>
      <c r="F14" s="56">
        <v>0</v>
      </c>
      <c r="G14" s="61">
        <v>338722</v>
      </c>
      <c r="H14" s="56" t="s">
        <v>1091</v>
      </c>
      <c r="J14" s="56">
        <v>0</v>
      </c>
      <c r="K14" s="128" t="s">
        <v>623</v>
      </c>
      <c r="L14" s="56">
        <v>300</v>
      </c>
      <c r="M14" s="56" t="s">
        <v>617</v>
      </c>
      <c r="N14" s="56">
        <v>800</v>
      </c>
      <c r="O14" s="64"/>
      <c r="T14" s="124">
        <v>0</v>
      </c>
      <c r="U14" s="125" t="s">
        <v>607</v>
      </c>
      <c r="V14" s="124">
        <v>240</v>
      </c>
      <c r="W14" s="124" t="s">
        <v>782</v>
      </c>
      <c r="X14" s="124">
        <v>145</v>
      </c>
      <c r="Y14" s="124"/>
    </row>
    <row r="15" spans="1:26" x14ac:dyDescent="0.25">
      <c r="A15" s="118" t="s">
        <v>622</v>
      </c>
      <c r="B15" s="115" t="s">
        <v>617</v>
      </c>
      <c r="C15" s="116">
        <v>2</v>
      </c>
      <c r="D15" s="115" t="s">
        <v>798</v>
      </c>
      <c r="F15" s="56">
        <v>0</v>
      </c>
      <c r="G15" s="61">
        <v>379870</v>
      </c>
      <c r="H15" s="56" t="s">
        <v>937</v>
      </c>
      <c r="J15" s="56">
        <v>0</v>
      </c>
      <c r="K15" s="128" t="s">
        <v>624</v>
      </c>
      <c r="L15" s="56">
        <v>720</v>
      </c>
      <c r="M15" s="56" t="s">
        <v>625</v>
      </c>
      <c r="N15" s="56">
        <v>300</v>
      </c>
      <c r="O15" s="64"/>
      <c r="T15" s="124">
        <v>0</v>
      </c>
      <c r="U15" s="125" t="s">
        <v>608</v>
      </c>
      <c r="V15" s="124">
        <v>812</v>
      </c>
      <c r="W15" s="124" t="s">
        <v>609</v>
      </c>
      <c r="X15" s="124">
        <v>1623</v>
      </c>
      <c r="Y15" s="124"/>
    </row>
    <row r="16" spans="1:26" x14ac:dyDescent="0.25">
      <c r="A16" s="118" t="s">
        <v>623</v>
      </c>
      <c r="B16" s="115" t="s">
        <v>617</v>
      </c>
      <c r="C16" s="116">
        <v>1</v>
      </c>
      <c r="D16" s="115" t="s">
        <v>800</v>
      </c>
      <c r="F16" s="56">
        <v>0</v>
      </c>
      <c r="G16" s="61">
        <v>161624</v>
      </c>
      <c r="H16" s="56" t="s">
        <v>938</v>
      </c>
      <c r="J16" s="56">
        <v>0</v>
      </c>
      <c r="K16" s="128" t="s">
        <v>626</v>
      </c>
      <c r="L16" s="56">
        <v>400</v>
      </c>
      <c r="M16" s="56" t="s">
        <v>627</v>
      </c>
      <c r="N16" s="56">
        <v>800</v>
      </c>
      <c r="O16" s="64"/>
      <c r="T16" s="124">
        <v>0</v>
      </c>
      <c r="U16" s="125" t="s">
        <v>616</v>
      </c>
      <c r="V16" s="124">
        <v>162</v>
      </c>
      <c r="W16" s="124" t="s">
        <v>617</v>
      </c>
      <c r="X16" s="124">
        <v>600</v>
      </c>
      <c r="Y16" s="124"/>
    </row>
    <row r="17" spans="1:25" x14ac:dyDescent="0.25">
      <c r="A17" s="118" t="s">
        <v>799</v>
      </c>
      <c r="B17" s="115" t="s">
        <v>783</v>
      </c>
      <c r="C17" s="116" t="s">
        <v>602</v>
      </c>
      <c r="D17" s="115"/>
      <c r="F17" s="56">
        <v>0</v>
      </c>
      <c r="G17" s="61">
        <v>330655</v>
      </c>
      <c r="H17" s="56" t="s">
        <v>939</v>
      </c>
      <c r="J17" s="56">
        <v>0</v>
      </c>
      <c r="K17" s="128" t="s">
        <v>628</v>
      </c>
      <c r="L17" s="56">
        <v>360</v>
      </c>
      <c r="M17" s="56" t="s">
        <v>629</v>
      </c>
      <c r="N17" s="56">
        <v>500</v>
      </c>
      <c r="O17" s="64"/>
      <c r="T17" s="124">
        <v>0</v>
      </c>
      <c r="U17" s="125" t="s">
        <v>618</v>
      </c>
      <c r="V17" s="124">
        <v>624</v>
      </c>
      <c r="W17" s="124" t="s">
        <v>617</v>
      </c>
      <c r="X17" s="124">
        <v>700</v>
      </c>
      <c r="Y17" s="124"/>
    </row>
    <row r="18" spans="1:25" x14ac:dyDescent="0.25">
      <c r="A18" s="118" t="s">
        <v>801</v>
      </c>
      <c r="B18" s="115" t="s">
        <v>783</v>
      </c>
      <c r="C18" s="116" t="s">
        <v>602</v>
      </c>
      <c r="D18" s="115"/>
      <c r="F18" s="56">
        <v>0</v>
      </c>
      <c r="G18" s="61">
        <v>342238</v>
      </c>
      <c r="H18" s="56" t="s">
        <v>940</v>
      </c>
      <c r="J18" s="56">
        <v>0</v>
      </c>
      <c r="K18" s="128" t="s">
        <v>630</v>
      </c>
      <c r="L18" s="56">
        <v>360</v>
      </c>
      <c r="M18" s="56" t="s">
        <v>629</v>
      </c>
      <c r="N18" s="56">
        <v>600</v>
      </c>
      <c r="O18" s="64"/>
      <c r="T18" s="124">
        <v>0</v>
      </c>
      <c r="U18" s="125" t="s">
        <v>619</v>
      </c>
      <c r="V18" s="124">
        <v>1008</v>
      </c>
      <c r="W18" s="124" t="s">
        <v>617</v>
      </c>
      <c r="X18" s="124">
        <v>950</v>
      </c>
      <c r="Y18" s="124"/>
    </row>
    <row r="19" spans="1:25" x14ac:dyDescent="0.25">
      <c r="A19" s="118" t="s">
        <v>624</v>
      </c>
      <c r="B19" s="115" t="s">
        <v>625</v>
      </c>
      <c r="C19" s="116">
        <v>3</v>
      </c>
      <c r="D19" s="115" t="s">
        <v>802</v>
      </c>
      <c r="F19" s="56">
        <v>0</v>
      </c>
      <c r="G19" s="61">
        <v>335549</v>
      </c>
      <c r="H19" s="56" t="s">
        <v>941</v>
      </c>
      <c r="J19" s="56">
        <v>0</v>
      </c>
      <c r="K19" s="128" t="s">
        <v>631</v>
      </c>
      <c r="L19" s="56">
        <v>672</v>
      </c>
      <c r="M19" s="56" t="s">
        <v>632</v>
      </c>
      <c r="N19" s="56">
        <v>600</v>
      </c>
      <c r="O19" s="64"/>
      <c r="T19" s="124">
        <v>0</v>
      </c>
      <c r="U19" s="125" t="s">
        <v>620</v>
      </c>
      <c r="V19" s="124">
        <v>900</v>
      </c>
      <c r="W19" s="124" t="s">
        <v>617</v>
      </c>
      <c r="X19" s="124">
        <v>600</v>
      </c>
      <c r="Y19" s="124"/>
    </row>
    <row r="20" spans="1:25" x14ac:dyDescent="0.25">
      <c r="A20" s="118" t="s">
        <v>626</v>
      </c>
      <c r="B20" s="115" t="s">
        <v>627</v>
      </c>
      <c r="C20" s="116">
        <v>2</v>
      </c>
      <c r="D20" s="115" t="s">
        <v>803</v>
      </c>
      <c r="F20" s="56">
        <v>0</v>
      </c>
      <c r="G20" s="61">
        <v>331247</v>
      </c>
      <c r="H20" s="56" t="s">
        <v>942</v>
      </c>
      <c r="J20" s="56">
        <v>0</v>
      </c>
      <c r="K20" s="128" t="s">
        <v>633</v>
      </c>
      <c r="L20" s="56">
        <v>360</v>
      </c>
      <c r="M20" s="56" t="s">
        <v>632</v>
      </c>
      <c r="N20" s="56">
        <v>250</v>
      </c>
      <c r="O20" s="64"/>
      <c r="T20" s="124">
        <v>0</v>
      </c>
      <c r="U20" s="125" t="s">
        <v>621</v>
      </c>
      <c r="V20" s="124">
        <v>720</v>
      </c>
      <c r="W20" s="124" t="s">
        <v>617</v>
      </c>
      <c r="X20" s="124">
        <v>700</v>
      </c>
      <c r="Y20" s="124"/>
    </row>
    <row r="21" spans="1:25" x14ac:dyDescent="0.25">
      <c r="A21" s="118" t="s">
        <v>628</v>
      </c>
      <c r="B21" s="115" t="s">
        <v>629</v>
      </c>
      <c r="C21" s="116">
        <v>1</v>
      </c>
      <c r="D21" s="115" t="s">
        <v>804</v>
      </c>
      <c r="F21" s="56">
        <v>0</v>
      </c>
      <c r="G21" s="61">
        <v>336070</v>
      </c>
      <c r="H21" s="56" t="s">
        <v>1198</v>
      </c>
      <c r="J21" s="56">
        <v>0</v>
      </c>
      <c r="K21" s="128" t="s">
        <v>1100</v>
      </c>
      <c r="L21" s="56">
        <v>960</v>
      </c>
      <c r="M21" s="56" t="s">
        <v>635</v>
      </c>
      <c r="N21" s="56">
        <v>450</v>
      </c>
      <c r="O21" s="64"/>
      <c r="T21" s="124">
        <v>0</v>
      </c>
      <c r="U21" s="125" t="s">
        <v>622</v>
      </c>
      <c r="V21" s="124">
        <v>351</v>
      </c>
      <c r="W21" s="124" t="s">
        <v>617</v>
      </c>
      <c r="X21" s="124">
        <v>450</v>
      </c>
      <c r="Y21" s="124"/>
    </row>
    <row r="22" spans="1:25" x14ac:dyDescent="0.25">
      <c r="A22" s="118" t="s">
        <v>630</v>
      </c>
      <c r="B22" s="115" t="s">
        <v>629</v>
      </c>
      <c r="C22" s="116">
        <v>1</v>
      </c>
      <c r="D22" s="115" t="s">
        <v>805</v>
      </c>
      <c r="F22" s="56">
        <v>0</v>
      </c>
      <c r="G22" s="61">
        <v>370319</v>
      </c>
      <c r="H22" s="56" t="s">
        <v>943</v>
      </c>
      <c r="J22" s="56">
        <v>0</v>
      </c>
      <c r="K22" s="128" t="s">
        <v>636</v>
      </c>
      <c r="L22" s="56">
        <v>960</v>
      </c>
      <c r="M22" s="56" t="s">
        <v>635</v>
      </c>
      <c r="N22" s="56">
        <v>450</v>
      </c>
      <c r="O22" s="64"/>
      <c r="T22" s="124">
        <v>0</v>
      </c>
      <c r="U22" s="125" t="s">
        <v>623</v>
      </c>
      <c r="V22" s="124">
        <v>300</v>
      </c>
      <c r="W22" s="124" t="s">
        <v>617</v>
      </c>
      <c r="X22" s="124">
        <v>800</v>
      </c>
      <c r="Y22" s="124"/>
    </row>
    <row r="23" spans="1:25" x14ac:dyDescent="0.25">
      <c r="A23" s="118" t="s">
        <v>631</v>
      </c>
      <c r="B23" s="115" t="s">
        <v>806</v>
      </c>
      <c r="C23" s="116">
        <v>2</v>
      </c>
      <c r="D23" s="115" t="s">
        <v>807</v>
      </c>
      <c r="F23" s="56">
        <v>0</v>
      </c>
      <c r="G23" s="61">
        <v>300071</v>
      </c>
      <c r="H23" s="56" t="s">
        <v>944</v>
      </c>
      <c r="J23" s="56">
        <v>0</v>
      </c>
      <c r="K23" s="128" t="s">
        <v>637</v>
      </c>
      <c r="L23" s="56">
        <v>960</v>
      </c>
      <c r="M23" s="56" t="s">
        <v>635</v>
      </c>
      <c r="N23" s="56">
        <v>450</v>
      </c>
      <c r="O23" s="64"/>
      <c r="T23" s="124">
        <v>0</v>
      </c>
      <c r="U23" s="125" t="s">
        <v>624</v>
      </c>
      <c r="V23" s="124">
        <v>720</v>
      </c>
      <c r="W23" s="124" t="s">
        <v>625</v>
      </c>
      <c r="X23" s="124">
        <v>300</v>
      </c>
      <c r="Y23" s="124"/>
    </row>
    <row r="24" spans="1:25" x14ac:dyDescent="0.25">
      <c r="A24" s="118" t="s">
        <v>633</v>
      </c>
      <c r="B24" s="115" t="s">
        <v>632</v>
      </c>
      <c r="C24" s="116">
        <v>3</v>
      </c>
      <c r="D24" s="115" t="s">
        <v>808</v>
      </c>
      <c r="F24" s="56">
        <v>0</v>
      </c>
      <c r="G24" s="61">
        <v>352524</v>
      </c>
      <c r="H24" s="56" t="s">
        <v>945</v>
      </c>
      <c r="J24" s="56">
        <v>0</v>
      </c>
      <c r="K24" s="128" t="s">
        <v>1102</v>
      </c>
      <c r="L24" s="56">
        <v>960</v>
      </c>
      <c r="M24" s="56" t="s">
        <v>635</v>
      </c>
      <c r="N24" s="56">
        <v>450</v>
      </c>
      <c r="O24" s="64"/>
      <c r="T24" s="124">
        <v>0</v>
      </c>
      <c r="U24" s="125" t="s">
        <v>626</v>
      </c>
      <c r="V24" s="124">
        <v>400</v>
      </c>
      <c r="W24" s="124" t="s">
        <v>627</v>
      </c>
      <c r="X24" s="124">
        <v>800</v>
      </c>
      <c r="Y24" s="124"/>
    </row>
    <row r="25" spans="1:25" x14ac:dyDescent="0.25">
      <c r="A25" s="118" t="s">
        <v>1101</v>
      </c>
      <c r="B25" s="115" t="s">
        <v>809</v>
      </c>
      <c r="C25" s="116" t="s">
        <v>602</v>
      </c>
      <c r="D25" s="115"/>
      <c r="F25" s="56">
        <v>0</v>
      </c>
      <c r="G25" s="61">
        <v>315971</v>
      </c>
      <c r="H25" s="56" t="s">
        <v>946</v>
      </c>
      <c r="J25" s="56">
        <v>0</v>
      </c>
      <c r="K25" s="128" t="s">
        <v>1103</v>
      </c>
      <c r="L25" s="56">
        <v>960</v>
      </c>
      <c r="M25" s="56" t="s">
        <v>635</v>
      </c>
      <c r="N25" s="56">
        <v>450</v>
      </c>
      <c r="O25" s="64"/>
      <c r="T25" s="124">
        <v>0</v>
      </c>
      <c r="U25" s="125" t="s">
        <v>628</v>
      </c>
      <c r="V25" s="124">
        <v>360</v>
      </c>
      <c r="W25" s="124" t="s">
        <v>629</v>
      </c>
      <c r="X25" s="124">
        <v>500</v>
      </c>
      <c r="Y25" s="124"/>
    </row>
    <row r="26" spans="1:25" x14ac:dyDescent="0.25">
      <c r="A26" s="118" t="s">
        <v>634</v>
      </c>
      <c r="B26" s="115" t="s">
        <v>809</v>
      </c>
      <c r="C26" s="116" t="s">
        <v>602</v>
      </c>
      <c r="D26" s="115"/>
      <c r="F26" s="56">
        <v>0</v>
      </c>
      <c r="G26" s="61">
        <v>358376</v>
      </c>
      <c r="H26" s="56" t="s">
        <v>947</v>
      </c>
      <c r="J26" s="56">
        <v>0</v>
      </c>
      <c r="K26" s="128" t="s">
        <v>640</v>
      </c>
      <c r="L26" s="56">
        <v>960</v>
      </c>
      <c r="M26" s="56" t="s">
        <v>635</v>
      </c>
      <c r="N26" s="56">
        <v>450</v>
      </c>
      <c r="O26" s="64"/>
      <c r="T26" s="124">
        <v>0</v>
      </c>
      <c r="U26" s="125" t="s">
        <v>630</v>
      </c>
      <c r="V26" s="124">
        <v>360</v>
      </c>
      <c r="W26" s="124" t="s">
        <v>629</v>
      </c>
      <c r="X26" s="124">
        <v>600</v>
      </c>
      <c r="Y26" s="124"/>
    </row>
    <row r="27" spans="1:25" x14ac:dyDescent="0.25">
      <c r="A27" s="118" t="s">
        <v>1100</v>
      </c>
      <c r="B27" s="115" t="s">
        <v>809</v>
      </c>
      <c r="C27" s="116">
        <v>2</v>
      </c>
      <c r="D27" s="115" t="s">
        <v>1129</v>
      </c>
      <c r="F27" s="56">
        <v>0</v>
      </c>
      <c r="G27" s="61">
        <v>351637</v>
      </c>
      <c r="H27" s="56" t="s">
        <v>948</v>
      </c>
      <c r="J27" s="56">
        <v>0</v>
      </c>
      <c r="K27" s="128" t="s">
        <v>1105</v>
      </c>
      <c r="L27" s="56">
        <v>960</v>
      </c>
      <c r="M27" s="56" t="s">
        <v>635</v>
      </c>
      <c r="N27" s="56">
        <v>450</v>
      </c>
      <c r="O27" s="64"/>
      <c r="T27" s="124">
        <v>0</v>
      </c>
      <c r="U27" s="125" t="s">
        <v>631</v>
      </c>
      <c r="V27" s="124">
        <v>672</v>
      </c>
      <c r="W27" s="124" t="s">
        <v>632</v>
      </c>
      <c r="X27" s="124">
        <v>600</v>
      </c>
      <c r="Y27" s="124"/>
    </row>
    <row r="28" spans="1:25" x14ac:dyDescent="0.25">
      <c r="A28" s="118" t="s">
        <v>636</v>
      </c>
      <c r="B28" s="115" t="s">
        <v>809</v>
      </c>
      <c r="C28" s="116">
        <v>3</v>
      </c>
      <c r="D28" s="115" t="s">
        <v>810</v>
      </c>
      <c r="F28" s="56">
        <v>0</v>
      </c>
      <c r="G28" s="61">
        <v>374379</v>
      </c>
      <c r="H28" s="56" t="s">
        <v>1199</v>
      </c>
      <c r="J28" s="56">
        <v>0</v>
      </c>
      <c r="K28" s="128" t="s">
        <v>1106</v>
      </c>
      <c r="L28" s="56">
        <v>960</v>
      </c>
      <c r="M28" s="56" t="s">
        <v>635</v>
      </c>
      <c r="N28" s="56">
        <v>450</v>
      </c>
      <c r="O28" s="64"/>
      <c r="T28" s="124">
        <v>0</v>
      </c>
      <c r="U28" s="125" t="s">
        <v>633</v>
      </c>
      <c r="V28" s="124">
        <v>360</v>
      </c>
      <c r="W28" s="124" t="s">
        <v>632</v>
      </c>
      <c r="X28" s="124">
        <v>250</v>
      </c>
      <c r="Y28" s="124"/>
    </row>
    <row r="29" spans="1:25" x14ac:dyDescent="0.25">
      <c r="A29" s="118" t="s">
        <v>637</v>
      </c>
      <c r="B29" s="115" t="s">
        <v>809</v>
      </c>
      <c r="C29" s="116">
        <v>3</v>
      </c>
      <c r="D29" s="115" t="s">
        <v>811</v>
      </c>
      <c r="F29" s="56">
        <v>0</v>
      </c>
      <c r="G29" s="61">
        <v>330342</v>
      </c>
      <c r="H29" s="56" t="s">
        <v>949</v>
      </c>
      <c r="J29" s="56">
        <v>0</v>
      </c>
      <c r="K29" s="128" t="s">
        <v>1108</v>
      </c>
      <c r="L29" s="56">
        <v>960</v>
      </c>
      <c r="M29" s="56" t="s">
        <v>635</v>
      </c>
      <c r="N29" s="56">
        <v>450</v>
      </c>
      <c r="O29" s="64"/>
      <c r="T29" s="124">
        <v>0</v>
      </c>
      <c r="U29" s="125" t="s">
        <v>634</v>
      </c>
      <c r="V29" s="124">
        <v>960</v>
      </c>
      <c r="W29" s="124" t="s">
        <v>635</v>
      </c>
      <c r="X29" s="124">
        <v>450</v>
      </c>
      <c r="Y29" s="124"/>
    </row>
    <row r="30" spans="1:25" x14ac:dyDescent="0.25">
      <c r="A30" s="118" t="s">
        <v>1102</v>
      </c>
      <c r="B30" s="115" t="s">
        <v>809</v>
      </c>
      <c r="C30" s="116">
        <v>2</v>
      </c>
      <c r="D30" s="115" t="s">
        <v>1130</v>
      </c>
      <c r="F30" s="56">
        <v>0</v>
      </c>
      <c r="G30" s="61">
        <v>331292</v>
      </c>
      <c r="H30" s="56" t="s">
        <v>950</v>
      </c>
      <c r="J30" s="56">
        <v>0</v>
      </c>
      <c r="K30" s="130" t="s">
        <v>1442</v>
      </c>
      <c r="L30" s="56">
        <v>961</v>
      </c>
      <c r="M30" s="56" t="s">
        <v>635</v>
      </c>
      <c r="N30" s="56">
        <v>450</v>
      </c>
      <c r="O30" s="64"/>
      <c r="T30" s="124">
        <v>0</v>
      </c>
      <c r="U30" s="125" t="s">
        <v>1100</v>
      </c>
      <c r="V30" s="124">
        <v>960</v>
      </c>
      <c r="W30" s="124" t="s">
        <v>635</v>
      </c>
      <c r="X30" s="124">
        <v>450</v>
      </c>
      <c r="Y30" s="124"/>
    </row>
    <row r="31" spans="1:25" x14ac:dyDescent="0.25">
      <c r="A31" s="118" t="s">
        <v>1103</v>
      </c>
      <c r="B31" s="115" t="s">
        <v>809</v>
      </c>
      <c r="C31" s="116">
        <v>2</v>
      </c>
      <c r="D31" s="115" t="s">
        <v>1131</v>
      </c>
      <c r="F31" s="56">
        <v>0</v>
      </c>
      <c r="G31" s="61">
        <v>365302</v>
      </c>
      <c r="H31" s="56" t="s">
        <v>951</v>
      </c>
      <c r="J31" s="56">
        <v>0</v>
      </c>
      <c r="K31" s="130" t="s">
        <v>1505</v>
      </c>
      <c r="L31" s="56">
        <v>962</v>
      </c>
      <c r="M31" s="56" t="s">
        <v>635</v>
      </c>
      <c r="N31" s="56">
        <v>452</v>
      </c>
      <c r="O31" s="64"/>
      <c r="T31" s="124">
        <v>0</v>
      </c>
      <c r="U31" s="125" t="s">
        <v>636</v>
      </c>
      <c r="V31" s="124">
        <v>960</v>
      </c>
      <c r="W31" s="124" t="s">
        <v>635</v>
      </c>
      <c r="X31" s="124">
        <v>450</v>
      </c>
      <c r="Y31" s="124"/>
    </row>
    <row r="32" spans="1:25" x14ac:dyDescent="0.25">
      <c r="A32" s="118" t="s">
        <v>812</v>
      </c>
      <c r="B32" s="115" t="s">
        <v>809</v>
      </c>
      <c r="C32" s="116" t="s">
        <v>602</v>
      </c>
      <c r="D32" s="115"/>
      <c r="F32" s="56">
        <v>0</v>
      </c>
      <c r="G32" s="61">
        <v>332838</v>
      </c>
      <c r="H32" s="56" t="s">
        <v>952</v>
      </c>
      <c r="J32" s="56">
        <v>0</v>
      </c>
      <c r="K32" s="128" t="s">
        <v>814</v>
      </c>
      <c r="L32" s="56">
        <v>960</v>
      </c>
      <c r="M32" s="56" t="s">
        <v>635</v>
      </c>
      <c r="N32" s="56">
        <v>450</v>
      </c>
      <c r="O32" s="64"/>
      <c r="T32" s="124">
        <v>0</v>
      </c>
      <c r="U32" s="125" t="s">
        <v>637</v>
      </c>
      <c r="V32" s="124">
        <v>960</v>
      </c>
      <c r="W32" s="124" t="s">
        <v>635</v>
      </c>
      <c r="X32" s="124">
        <v>450</v>
      </c>
      <c r="Y32" s="124"/>
    </row>
    <row r="33" spans="1:25" x14ac:dyDescent="0.25">
      <c r="A33" s="118" t="s">
        <v>638</v>
      </c>
      <c r="B33" s="115" t="s">
        <v>809</v>
      </c>
      <c r="C33" s="116" t="s">
        <v>602</v>
      </c>
      <c r="D33" s="115"/>
      <c r="F33" s="56">
        <v>0</v>
      </c>
      <c r="G33" s="61">
        <v>376374</v>
      </c>
      <c r="H33" s="56" t="s">
        <v>953</v>
      </c>
      <c r="J33" s="56">
        <v>0</v>
      </c>
      <c r="K33" s="128" t="s">
        <v>1169</v>
      </c>
      <c r="L33" s="56">
        <v>960</v>
      </c>
      <c r="M33" s="56" t="s">
        <v>635</v>
      </c>
      <c r="N33" s="56">
        <v>450</v>
      </c>
      <c r="O33" s="64"/>
      <c r="T33" s="124">
        <v>0</v>
      </c>
      <c r="U33" s="125" t="s">
        <v>1101</v>
      </c>
      <c r="V33" s="124">
        <v>960</v>
      </c>
      <c r="W33" s="124" t="s">
        <v>635</v>
      </c>
      <c r="X33" s="124">
        <v>450</v>
      </c>
      <c r="Y33" s="124"/>
    </row>
    <row r="34" spans="1:25" x14ac:dyDescent="0.25">
      <c r="A34" s="118" t="s">
        <v>813</v>
      </c>
      <c r="B34" s="115" t="s">
        <v>809</v>
      </c>
      <c r="C34" s="116" t="s">
        <v>602</v>
      </c>
      <c r="D34" s="115"/>
      <c r="F34" s="56">
        <v>0</v>
      </c>
      <c r="G34" s="61">
        <v>332534</v>
      </c>
      <c r="H34" s="56" t="s">
        <v>954</v>
      </c>
      <c r="J34" s="56">
        <v>0</v>
      </c>
      <c r="K34" s="128" t="s">
        <v>643</v>
      </c>
      <c r="L34" s="56">
        <v>960</v>
      </c>
      <c r="M34" s="56" t="s">
        <v>635</v>
      </c>
      <c r="N34" s="56">
        <v>450</v>
      </c>
      <c r="O34" s="64"/>
      <c r="T34" s="124">
        <v>0</v>
      </c>
      <c r="U34" s="125" t="s">
        <v>1102</v>
      </c>
      <c r="V34" s="124">
        <v>960</v>
      </c>
      <c r="W34" s="124" t="s">
        <v>635</v>
      </c>
      <c r="X34" s="124">
        <v>450</v>
      </c>
      <c r="Y34" s="124"/>
    </row>
    <row r="35" spans="1:25" x14ac:dyDescent="0.25">
      <c r="A35" s="118" t="s">
        <v>640</v>
      </c>
      <c r="B35" s="115" t="s">
        <v>809</v>
      </c>
      <c r="C35" s="116">
        <v>2</v>
      </c>
      <c r="D35" s="115" t="s">
        <v>1132</v>
      </c>
      <c r="F35" s="56">
        <v>0</v>
      </c>
      <c r="G35" s="61">
        <v>10005942</v>
      </c>
      <c r="H35" s="56" t="s">
        <v>955</v>
      </c>
      <c r="J35" s="56">
        <v>0</v>
      </c>
      <c r="K35" s="128" t="s">
        <v>1109</v>
      </c>
      <c r="L35" s="56">
        <v>960</v>
      </c>
      <c r="M35" s="56" t="s">
        <v>635</v>
      </c>
      <c r="N35" s="56">
        <v>450</v>
      </c>
      <c r="O35" s="64"/>
      <c r="T35" s="124">
        <v>0</v>
      </c>
      <c r="U35" s="125" t="s">
        <v>1103</v>
      </c>
      <c r="V35" s="124">
        <v>960</v>
      </c>
      <c r="W35" s="124" t="s">
        <v>635</v>
      </c>
      <c r="X35" s="124">
        <v>450</v>
      </c>
      <c r="Y35" s="124"/>
    </row>
    <row r="36" spans="1:25" x14ac:dyDescent="0.25">
      <c r="A36" s="118" t="s">
        <v>1105</v>
      </c>
      <c r="B36" s="115" t="s">
        <v>809</v>
      </c>
      <c r="C36" s="116">
        <v>2</v>
      </c>
      <c r="D36" s="115" t="s">
        <v>1133</v>
      </c>
      <c r="F36" s="56">
        <v>0</v>
      </c>
      <c r="G36" s="61">
        <v>336664</v>
      </c>
      <c r="H36" s="56" t="s">
        <v>956</v>
      </c>
      <c r="J36" s="56">
        <v>0</v>
      </c>
      <c r="K36" s="128" t="s">
        <v>1110</v>
      </c>
      <c r="L36" s="58">
        <v>960</v>
      </c>
      <c r="M36" s="56" t="s">
        <v>635</v>
      </c>
      <c r="N36" s="56">
        <v>450</v>
      </c>
      <c r="O36" s="64"/>
      <c r="T36" s="124">
        <v>0</v>
      </c>
      <c r="U36" s="125" t="s">
        <v>812</v>
      </c>
      <c r="V36" s="124">
        <v>960</v>
      </c>
      <c r="W36" s="124" t="s">
        <v>635</v>
      </c>
      <c r="X36" s="124">
        <v>450</v>
      </c>
      <c r="Y36" s="124"/>
    </row>
    <row r="37" spans="1:25" x14ac:dyDescent="0.25">
      <c r="A37" s="118" t="s">
        <v>641</v>
      </c>
      <c r="B37" s="115" t="s">
        <v>809</v>
      </c>
      <c r="C37" s="116" t="s">
        <v>602</v>
      </c>
      <c r="D37" s="115"/>
      <c r="F37" s="56">
        <v>0</v>
      </c>
      <c r="G37" s="61">
        <v>357181</v>
      </c>
      <c r="H37" s="56" t="s">
        <v>957</v>
      </c>
      <c r="J37" s="56">
        <v>0</v>
      </c>
      <c r="K37" s="128" t="s">
        <v>1251</v>
      </c>
      <c r="L37" s="58">
        <v>961</v>
      </c>
      <c r="M37" s="56" t="s">
        <v>635</v>
      </c>
      <c r="N37" s="56">
        <v>451</v>
      </c>
      <c r="O37" s="64"/>
      <c r="T37" s="124">
        <v>0</v>
      </c>
      <c r="U37" s="125" t="s">
        <v>638</v>
      </c>
      <c r="V37" s="124">
        <v>960</v>
      </c>
      <c r="W37" s="124" t="s">
        <v>635</v>
      </c>
      <c r="X37" s="124">
        <v>450</v>
      </c>
      <c r="Y37" s="124"/>
    </row>
    <row r="38" spans="1:25" x14ac:dyDescent="0.25">
      <c r="A38" s="118" t="s">
        <v>1106</v>
      </c>
      <c r="B38" s="115" t="s">
        <v>809</v>
      </c>
      <c r="C38" s="116">
        <v>2</v>
      </c>
      <c r="D38" s="115" t="s">
        <v>1135</v>
      </c>
      <c r="F38" s="56">
        <v>0</v>
      </c>
      <c r="G38" s="61">
        <v>558405</v>
      </c>
      <c r="H38" s="56" t="s">
        <v>958</v>
      </c>
      <c r="J38" s="56">
        <v>0</v>
      </c>
      <c r="K38" s="128" t="s">
        <v>645</v>
      </c>
      <c r="L38" s="58">
        <v>962</v>
      </c>
      <c r="M38" s="56" t="s">
        <v>635</v>
      </c>
      <c r="N38" s="56">
        <v>452</v>
      </c>
      <c r="O38" s="64"/>
      <c r="T38" s="124">
        <v>0</v>
      </c>
      <c r="U38" s="125" t="s">
        <v>813</v>
      </c>
      <c r="V38" s="124">
        <v>960</v>
      </c>
      <c r="W38" s="124" t="s">
        <v>635</v>
      </c>
      <c r="X38" s="124">
        <v>450</v>
      </c>
      <c r="Y38" s="124"/>
    </row>
    <row r="39" spans="1:25" x14ac:dyDescent="0.25">
      <c r="A39" s="118" t="s">
        <v>1107</v>
      </c>
      <c r="B39" s="115" t="s">
        <v>809</v>
      </c>
      <c r="C39" s="116" t="s">
        <v>602</v>
      </c>
      <c r="D39" s="115"/>
      <c r="F39" s="56">
        <v>0</v>
      </c>
      <c r="G39" s="61">
        <v>356729</v>
      </c>
      <c r="H39" s="56" t="s">
        <v>959</v>
      </c>
      <c r="J39" s="56">
        <v>0</v>
      </c>
      <c r="K39" s="128" t="s">
        <v>646</v>
      </c>
      <c r="L39" s="58">
        <v>963</v>
      </c>
      <c r="M39" s="56" t="s">
        <v>635</v>
      </c>
      <c r="N39" s="56">
        <v>453</v>
      </c>
      <c r="O39" s="64"/>
      <c r="T39" s="124">
        <v>0</v>
      </c>
      <c r="U39" s="125" t="s">
        <v>640</v>
      </c>
      <c r="V39" s="124">
        <v>960</v>
      </c>
      <c r="W39" s="124" t="s">
        <v>635</v>
      </c>
      <c r="X39" s="124">
        <v>450</v>
      </c>
      <c r="Y39" s="124"/>
    </row>
    <row r="40" spans="1:25" x14ac:dyDescent="0.25">
      <c r="A40" s="118" t="s">
        <v>639</v>
      </c>
      <c r="B40" s="115" t="s">
        <v>809</v>
      </c>
      <c r="C40" s="116" t="s">
        <v>602</v>
      </c>
      <c r="D40" s="115"/>
      <c r="F40" s="56">
        <v>0</v>
      </c>
      <c r="G40" s="61">
        <v>316325</v>
      </c>
      <c r="H40" s="56" t="s">
        <v>960</v>
      </c>
      <c r="J40" s="56">
        <v>0</v>
      </c>
      <c r="K40" s="128" t="s">
        <v>647</v>
      </c>
      <c r="L40" s="56">
        <v>960</v>
      </c>
      <c r="M40" s="56" t="s">
        <v>635</v>
      </c>
      <c r="N40" s="56">
        <v>450</v>
      </c>
      <c r="O40" s="64"/>
      <c r="T40" s="124">
        <v>0</v>
      </c>
      <c r="U40" s="125" t="s">
        <v>1104</v>
      </c>
      <c r="V40" s="124">
        <v>960</v>
      </c>
      <c r="W40" s="124" t="s">
        <v>635</v>
      </c>
      <c r="X40" s="124">
        <v>450</v>
      </c>
      <c r="Y40" s="124"/>
    </row>
    <row r="41" spans="1:25" x14ac:dyDescent="0.25">
      <c r="A41" s="118" t="s">
        <v>1108</v>
      </c>
      <c r="B41" s="115" t="s">
        <v>809</v>
      </c>
      <c r="C41" s="116">
        <v>2</v>
      </c>
      <c r="D41" s="115" t="s">
        <v>1136</v>
      </c>
      <c r="F41" s="56">
        <v>0</v>
      </c>
      <c r="G41" s="61">
        <v>339944</v>
      </c>
      <c r="H41" s="56" t="s">
        <v>961</v>
      </c>
      <c r="J41" s="56">
        <v>0</v>
      </c>
      <c r="K41" s="128" t="s">
        <v>1111</v>
      </c>
      <c r="L41" s="56">
        <v>960</v>
      </c>
      <c r="M41" s="56" t="s">
        <v>635</v>
      </c>
      <c r="N41" s="56">
        <v>450</v>
      </c>
      <c r="O41" s="64"/>
      <c r="T41" s="124">
        <v>0</v>
      </c>
      <c r="U41" s="125" t="s">
        <v>1105</v>
      </c>
      <c r="V41" s="124">
        <v>960</v>
      </c>
      <c r="W41" s="124" t="s">
        <v>635</v>
      </c>
      <c r="X41" s="124">
        <v>450</v>
      </c>
      <c r="Y41" s="124"/>
    </row>
    <row r="42" spans="1:25" x14ac:dyDescent="0.25">
      <c r="A42" s="119" t="s">
        <v>1442</v>
      </c>
      <c r="B42" s="117" t="s">
        <v>809</v>
      </c>
      <c r="C42" s="120">
        <v>2</v>
      </c>
      <c r="D42" s="119" t="s">
        <v>845</v>
      </c>
      <c r="F42" s="56">
        <v>0</v>
      </c>
      <c r="G42" s="61">
        <v>372309</v>
      </c>
      <c r="H42" s="56" t="s">
        <v>962</v>
      </c>
      <c r="J42" s="56">
        <v>0</v>
      </c>
      <c r="K42" s="129" t="s">
        <v>1292</v>
      </c>
      <c r="L42" s="56">
        <v>961</v>
      </c>
      <c r="M42" s="56" t="s">
        <v>635</v>
      </c>
      <c r="N42" s="56">
        <v>451</v>
      </c>
      <c r="O42" s="64"/>
      <c r="T42" s="124">
        <v>0</v>
      </c>
      <c r="U42" s="125" t="s">
        <v>641</v>
      </c>
      <c r="V42" s="124">
        <v>960</v>
      </c>
      <c r="W42" s="124" t="s">
        <v>635</v>
      </c>
      <c r="X42" s="124">
        <v>450</v>
      </c>
      <c r="Y42" s="124"/>
    </row>
    <row r="43" spans="1:25" x14ac:dyDescent="0.25">
      <c r="A43" s="119" t="s">
        <v>1505</v>
      </c>
      <c r="B43" s="117" t="s">
        <v>809</v>
      </c>
      <c r="C43" s="120">
        <v>2</v>
      </c>
      <c r="D43" s="119" t="s">
        <v>893</v>
      </c>
      <c r="F43" s="56">
        <v>0</v>
      </c>
      <c r="G43" s="61">
        <v>330937</v>
      </c>
      <c r="H43" s="56" t="s">
        <v>1200</v>
      </c>
      <c r="J43" s="56">
        <v>0</v>
      </c>
      <c r="K43" s="128" t="s">
        <v>648</v>
      </c>
      <c r="L43" s="56">
        <v>962</v>
      </c>
      <c r="M43" s="56" t="s">
        <v>635</v>
      </c>
      <c r="N43" s="56">
        <v>452</v>
      </c>
      <c r="O43" s="64"/>
      <c r="T43" s="124">
        <v>0</v>
      </c>
      <c r="U43" s="125" t="s">
        <v>1106</v>
      </c>
      <c r="V43" s="124">
        <v>960</v>
      </c>
      <c r="W43" s="124" t="s">
        <v>635</v>
      </c>
      <c r="X43" s="124">
        <v>450</v>
      </c>
      <c r="Y43" s="124"/>
    </row>
    <row r="44" spans="1:25" x14ac:dyDescent="0.25">
      <c r="A44" s="118" t="s">
        <v>814</v>
      </c>
      <c r="B44" s="115" t="s">
        <v>809</v>
      </c>
      <c r="C44" s="116">
        <v>2</v>
      </c>
      <c r="D44" s="115" t="s">
        <v>1137</v>
      </c>
      <c r="F44" s="56">
        <v>0</v>
      </c>
      <c r="G44" s="61">
        <v>384958</v>
      </c>
      <c r="H44" s="56" t="s">
        <v>963</v>
      </c>
      <c r="J44" s="56">
        <v>0</v>
      </c>
      <c r="K44" s="128" t="s">
        <v>650</v>
      </c>
      <c r="L44" s="56">
        <v>963</v>
      </c>
      <c r="M44" s="56" t="s">
        <v>635</v>
      </c>
      <c r="N44" s="56">
        <v>453</v>
      </c>
      <c r="O44" s="64"/>
      <c r="T44" s="124">
        <v>0</v>
      </c>
      <c r="U44" s="125" t="s">
        <v>1107</v>
      </c>
      <c r="V44" s="124">
        <v>960</v>
      </c>
      <c r="W44" s="124" t="s">
        <v>635</v>
      </c>
      <c r="X44" s="124">
        <v>450</v>
      </c>
      <c r="Y44" s="124"/>
    </row>
    <row r="45" spans="1:25" x14ac:dyDescent="0.25">
      <c r="A45" s="118" t="s">
        <v>1169</v>
      </c>
      <c r="B45" s="115" t="s">
        <v>809</v>
      </c>
      <c r="C45" s="116">
        <v>2</v>
      </c>
      <c r="D45" s="115" t="s">
        <v>1170</v>
      </c>
      <c r="F45" s="56">
        <v>0</v>
      </c>
      <c r="G45" s="61">
        <v>336991</v>
      </c>
      <c r="H45" s="56" t="s">
        <v>964</v>
      </c>
      <c r="J45" s="56">
        <v>0</v>
      </c>
      <c r="K45" s="130" t="s">
        <v>1441</v>
      </c>
      <c r="L45" s="56">
        <v>964</v>
      </c>
      <c r="M45" s="56" t="s">
        <v>635</v>
      </c>
      <c r="N45" s="56">
        <v>454</v>
      </c>
      <c r="O45" s="64"/>
      <c r="T45" s="124">
        <v>0</v>
      </c>
      <c r="U45" s="125" t="s">
        <v>639</v>
      </c>
      <c r="V45" s="124">
        <v>960</v>
      </c>
      <c r="W45" s="124" t="s">
        <v>635</v>
      </c>
      <c r="X45" s="124">
        <v>450</v>
      </c>
      <c r="Y45" s="124"/>
    </row>
    <row r="46" spans="1:25" x14ac:dyDescent="0.25">
      <c r="A46" s="118" t="s">
        <v>643</v>
      </c>
      <c r="B46" s="115" t="s">
        <v>809</v>
      </c>
      <c r="C46" s="116">
        <v>3</v>
      </c>
      <c r="D46" s="115" t="s">
        <v>815</v>
      </c>
      <c r="F46" s="56">
        <v>0</v>
      </c>
      <c r="G46" s="61">
        <v>380963</v>
      </c>
      <c r="H46" s="56" t="s">
        <v>1201</v>
      </c>
      <c r="J46" s="56">
        <v>0</v>
      </c>
      <c r="K46" s="128" t="s">
        <v>1112</v>
      </c>
      <c r="L46" s="56">
        <v>965</v>
      </c>
      <c r="M46" s="56" t="s">
        <v>635</v>
      </c>
      <c r="N46" s="56">
        <v>455</v>
      </c>
      <c r="O46" s="64"/>
      <c r="T46" s="124">
        <v>0</v>
      </c>
      <c r="U46" s="125" t="s">
        <v>1108</v>
      </c>
      <c r="V46" s="124">
        <v>960</v>
      </c>
      <c r="W46" s="124" t="s">
        <v>635</v>
      </c>
      <c r="X46" s="124">
        <v>450</v>
      </c>
      <c r="Y46" s="124"/>
    </row>
    <row r="47" spans="1:25" x14ac:dyDescent="0.25">
      <c r="A47" s="118" t="s">
        <v>1109</v>
      </c>
      <c r="B47" s="115" t="s">
        <v>809</v>
      </c>
      <c r="C47" s="116">
        <v>2</v>
      </c>
      <c r="D47" s="115" t="s">
        <v>1139</v>
      </c>
      <c r="F47" s="56">
        <v>0</v>
      </c>
      <c r="G47" s="61">
        <v>310054</v>
      </c>
      <c r="H47" s="56" t="s">
        <v>965</v>
      </c>
      <c r="J47" s="56">
        <v>0</v>
      </c>
      <c r="K47" s="128" t="s">
        <v>651</v>
      </c>
      <c r="L47" s="56">
        <v>966</v>
      </c>
      <c r="M47" s="56" t="s">
        <v>635</v>
      </c>
      <c r="N47" s="56">
        <v>456</v>
      </c>
      <c r="O47" s="64"/>
      <c r="T47" s="124">
        <v>0</v>
      </c>
      <c r="U47" s="125" t="s">
        <v>814</v>
      </c>
      <c r="V47" s="124">
        <v>960</v>
      </c>
      <c r="W47" s="124" t="s">
        <v>635</v>
      </c>
      <c r="X47" s="124">
        <v>450</v>
      </c>
      <c r="Y47" s="124"/>
    </row>
    <row r="48" spans="1:25" x14ac:dyDescent="0.25">
      <c r="A48" s="118" t="s">
        <v>1110</v>
      </c>
      <c r="B48" s="115" t="s">
        <v>809</v>
      </c>
      <c r="C48" s="116">
        <v>2</v>
      </c>
      <c r="D48" s="115" t="s">
        <v>1140</v>
      </c>
      <c r="F48" s="56">
        <v>0</v>
      </c>
      <c r="G48" s="61">
        <v>10005580</v>
      </c>
      <c r="H48" s="56" t="s">
        <v>966</v>
      </c>
      <c r="J48" s="56">
        <v>0</v>
      </c>
      <c r="K48" s="128" t="s">
        <v>652</v>
      </c>
      <c r="L48" s="56">
        <v>967</v>
      </c>
      <c r="M48" s="56" t="s">
        <v>635</v>
      </c>
      <c r="N48" s="56">
        <v>457</v>
      </c>
      <c r="O48" s="64"/>
      <c r="T48" s="124">
        <v>0</v>
      </c>
      <c r="U48" s="125" t="s">
        <v>1169</v>
      </c>
      <c r="V48" s="124">
        <v>960</v>
      </c>
      <c r="W48" s="124" t="s">
        <v>635</v>
      </c>
      <c r="X48" s="124">
        <v>450</v>
      </c>
      <c r="Y48" s="124"/>
    </row>
    <row r="49" spans="1:25" x14ac:dyDescent="0.25">
      <c r="A49" s="118" t="s">
        <v>644</v>
      </c>
      <c r="B49" s="115" t="s">
        <v>809</v>
      </c>
      <c r="C49" s="116" t="s">
        <v>602</v>
      </c>
      <c r="D49" s="115"/>
      <c r="F49" s="56">
        <v>0</v>
      </c>
      <c r="G49" s="61">
        <v>337028</v>
      </c>
      <c r="H49" s="56" t="s">
        <v>967</v>
      </c>
      <c r="J49" s="56">
        <v>0</v>
      </c>
      <c r="K49" s="129" t="s">
        <v>1293</v>
      </c>
      <c r="L49" s="56">
        <v>968</v>
      </c>
      <c r="M49" s="56" t="s">
        <v>635</v>
      </c>
      <c r="N49" s="56">
        <v>458</v>
      </c>
      <c r="O49" s="64"/>
      <c r="T49" s="124">
        <v>0</v>
      </c>
      <c r="U49" s="125" t="s">
        <v>642</v>
      </c>
      <c r="V49" s="124">
        <v>960</v>
      </c>
      <c r="W49" s="124" t="s">
        <v>635</v>
      </c>
      <c r="X49" s="124">
        <v>450</v>
      </c>
      <c r="Y49" s="124"/>
    </row>
    <row r="50" spans="1:25" x14ac:dyDescent="0.25">
      <c r="A50" s="118" t="s">
        <v>1251</v>
      </c>
      <c r="B50" s="115" t="s">
        <v>809</v>
      </c>
      <c r="C50" s="120">
        <v>2</v>
      </c>
      <c r="D50" s="115" t="s">
        <v>1252</v>
      </c>
      <c r="F50" s="56">
        <v>0</v>
      </c>
      <c r="G50" s="61">
        <v>336765</v>
      </c>
      <c r="H50" s="56" t="s">
        <v>968</v>
      </c>
      <c r="J50" s="56">
        <v>0</v>
      </c>
      <c r="K50" s="128" t="s">
        <v>1171</v>
      </c>
      <c r="L50" s="56">
        <v>969</v>
      </c>
      <c r="M50" s="56" t="s">
        <v>635</v>
      </c>
      <c r="N50" s="56">
        <v>459</v>
      </c>
      <c r="O50" s="64"/>
      <c r="T50" s="124">
        <v>0</v>
      </c>
      <c r="U50" s="125" t="s">
        <v>643</v>
      </c>
      <c r="V50" s="124">
        <v>960</v>
      </c>
      <c r="W50" s="124" t="s">
        <v>635</v>
      </c>
      <c r="X50" s="124">
        <v>450</v>
      </c>
      <c r="Y50" s="124"/>
    </row>
    <row r="51" spans="1:25" x14ac:dyDescent="0.25">
      <c r="A51" s="118" t="s">
        <v>645</v>
      </c>
      <c r="B51" s="115" t="s">
        <v>809</v>
      </c>
      <c r="C51" s="116">
        <v>6</v>
      </c>
      <c r="D51" s="115" t="s">
        <v>1674</v>
      </c>
      <c r="F51" s="56">
        <v>0</v>
      </c>
      <c r="G51" s="61">
        <v>751162</v>
      </c>
      <c r="H51" s="56" t="s">
        <v>1202</v>
      </c>
      <c r="J51" s="56">
        <v>0</v>
      </c>
      <c r="K51" s="130" t="s">
        <v>1239</v>
      </c>
      <c r="L51" s="56">
        <v>970</v>
      </c>
      <c r="M51" s="56" t="s">
        <v>635</v>
      </c>
      <c r="N51" s="56">
        <v>460</v>
      </c>
      <c r="O51" s="64"/>
      <c r="T51" s="124">
        <v>0</v>
      </c>
      <c r="U51" s="125" t="s">
        <v>1109</v>
      </c>
      <c r="V51" s="124">
        <v>960</v>
      </c>
      <c r="W51" s="124" t="s">
        <v>635</v>
      </c>
      <c r="X51" s="124">
        <v>450</v>
      </c>
      <c r="Y51" s="124"/>
    </row>
    <row r="52" spans="1:25" x14ac:dyDescent="0.25">
      <c r="A52" s="118" t="s">
        <v>646</v>
      </c>
      <c r="B52" s="115" t="s">
        <v>809</v>
      </c>
      <c r="C52" s="116">
        <v>3</v>
      </c>
      <c r="D52" s="115" t="s">
        <v>816</v>
      </c>
      <c r="F52" s="56">
        <v>0</v>
      </c>
      <c r="G52" s="61">
        <v>364790</v>
      </c>
      <c r="H52" s="56" t="s">
        <v>1203</v>
      </c>
      <c r="J52" s="56">
        <v>0</v>
      </c>
      <c r="K52" s="130" t="s">
        <v>1275</v>
      </c>
      <c r="L52" s="56">
        <v>971</v>
      </c>
      <c r="M52" s="56" t="s">
        <v>635</v>
      </c>
      <c r="N52" s="56">
        <v>461</v>
      </c>
      <c r="O52" s="64"/>
      <c r="T52" s="124">
        <v>0</v>
      </c>
      <c r="U52" s="125" t="s">
        <v>1110</v>
      </c>
      <c r="V52" s="126">
        <v>960</v>
      </c>
      <c r="W52" s="124" t="s">
        <v>635</v>
      </c>
      <c r="X52" s="124">
        <v>450</v>
      </c>
      <c r="Y52" s="124"/>
    </row>
    <row r="53" spans="1:25" x14ac:dyDescent="0.25">
      <c r="A53" s="118" t="s">
        <v>647</v>
      </c>
      <c r="B53" s="115" t="s">
        <v>809</v>
      </c>
      <c r="C53" s="116">
        <v>2</v>
      </c>
      <c r="D53" s="115" t="s">
        <v>1141</v>
      </c>
      <c r="F53" s="56">
        <v>0</v>
      </c>
      <c r="G53" s="61">
        <v>334552</v>
      </c>
      <c r="H53" s="56" t="s">
        <v>969</v>
      </c>
      <c r="J53" s="56">
        <v>0</v>
      </c>
      <c r="K53" s="129" t="s">
        <v>1125</v>
      </c>
      <c r="L53" s="56">
        <v>5760</v>
      </c>
      <c r="M53" s="56" t="s">
        <v>662</v>
      </c>
      <c r="N53" s="56">
        <v>300</v>
      </c>
      <c r="O53" s="64"/>
      <c r="T53" s="124">
        <v>0</v>
      </c>
      <c r="U53" s="125" t="s">
        <v>644</v>
      </c>
      <c r="V53" s="124">
        <v>960</v>
      </c>
      <c r="W53" s="124" t="s">
        <v>635</v>
      </c>
      <c r="X53" s="124">
        <v>450</v>
      </c>
      <c r="Y53" s="124"/>
    </row>
    <row r="54" spans="1:25" x14ac:dyDescent="0.25">
      <c r="A54" s="118" t="s">
        <v>1111</v>
      </c>
      <c r="B54" s="115" t="s">
        <v>809</v>
      </c>
      <c r="C54" s="116">
        <v>2</v>
      </c>
      <c r="D54" s="115" t="s">
        <v>1142</v>
      </c>
      <c r="F54" s="56">
        <v>0</v>
      </c>
      <c r="G54" s="61">
        <v>351891</v>
      </c>
      <c r="H54" s="56" t="s">
        <v>970</v>
      </c>
      <c r="J54" s="56">
        <v>0</v>
      </c>
      <c r="K54" s="129" t="s">
        <v>1299</v>
      </c>
      <c r="L54" s="56">
        <v>5761</v>
      </c>
      <c r="M54" s="56" t="s">
        <v>662</v>
      </c>
      <c r="N54" s="56">
        <v>301</v>
      </c>
      <c r="O54" s="64"/>
      <c r="T54" s="124">
        <v>0</v>
      </c>
      <c r="U54" s="125" t="s">
        <v>645</v>
      </c>
      <c r="V54" s="124">
        <v>960</v>
      </c>
      <c r="W54" s="124" t="s">
        <v>635</v>
      </c>
      <c r="X54" s="124">
        <v>450</v>
      </c>
      <c r="Y54" s="124"/>
    </row>
    <row r="55" spans="1:25" x14ac:dyDescent="0.25">
      <c r="A55" s="116" t="s">
        <v>1292</v>
      </c>
      <c r="B55" s="115" t="s">
        <v>809</v>
      </c>
      <c r="C55" s="116">
        <v>1</v>
      </c>
      <c r="D55" s="115" t="s">
        <v>1516</v>
      </c>
      <c r="F55" s="56">
        <v>0</v>
      </c>
      <c r="G55" s="61">
        <v>345053</v>
      </c>
      <c r="H55" s="56" t="s">
        <v>1204</v>
      </c>
      <c r="J55" s="56">
        <v>0</v>
      </c>
      <c r="K55" s="128" t="s">
        <v>654</v>
      </c>
      <c r="L55" s="56">
        <v>264</v>
      </c>
      <c r="M55" s="56" t="s">
        <v>611</v>
      </c>
      <c r="N55" s="56">
        <v>350</v>
      </c>
      <c r="O55" s="64"/>
      <c r="T55" s="124">
        <v>0</v>
      </c>
      <c r="U55" s="125" t="s">
        <v>646</v>
      </c>
      <c r="V55" s="124">
        <v>960</v>
      </c>
      <c r="W55" s="124" t="s">
        <v>635</v>
      </c>
      <c r="X55" s="124">
        <v>450</v>
      </c>
      <c r="Y55" s="124"/>
    </row>
    <row r="56" spans="1:25" x14ac:dyDescent="0.25">
      <c r="A56" s="118" t="s">
        <v>648</v>
      </c>
      <c r="B56" s="115" t="s">
        <v>809</v>
      </c>
      <c r="C56" s="116">
        <v>2</v>
      </c>
      <c r="D56" s="115" t="s">
        <v>1143</v>
      </c>
      <c r="F56" s="56">
        <v>0</v>
      </c>
      <c r="G56" s="61">
        <v>331733</v>
      </c>
      <c r="H56" s="56" t="s">
        <v>971</v>
      </c>
      <c r="J56" s="56">
        <v>0</v>
      </c>
      <c r="K56" s="128" t="s">
        <v>655</v>
      </c>
      <c r="L56" s="56">
        <v>648</v>
      </c>
      <c r="M56" s="56" t="s">
        <v>656</v>
      </c>
      <c r="N56" s="56">
        <v>400</v>
      </c>
      <c r="O56" s="64"/>
      <c r="T56" s="124">
        <v>0</v>
      </c>
      <c r="U56" s="125" t="s">
        <v>647</v>
      </c>
      <c r="V56" s="124">
        <v>960</v>
      </c>
      <c r="W56" s="124" t="s">
        <v>635</v>
      </c>
      <c r="X56" s="124">
        <v>450</v>
      </c>
      <c r="Y56" s="124"/>
    </row>
    <row r="57" spans="1:25" x14ac:dyDescent="0.25">
      <c r="A57" s="118" t="s">
        <v>649</v>
      </c>
      <c r="B57" s="115" t="s">
        <v>809</v>
      </c>
      <c r="C57" s="116" t="s">
        <v>602</v>
      </c>
      <c r="D57" s="115"/>
      <c r="F57" s="56">
        <v>0</v>
      </c>
      <c r="G57" s="61">
        <v>338643</v>
      </c>
      <c r="H57" s="56" t="s">
        <v>972</v>
      </c>
      <c r="J57" s="56">
        <v>0</v>
      </c>
      <c r="K57" s="128" t="s">
        <v>1113</v>
      </c>
      <c r="L57" s="56">
        <v>3840</v>
      </c>
      <c r="M57" s="115" t="s">
        <v>1147</v>
      </c>
      <c r="N57" s="56">
        <v>250</v>
      </c>
      <c r="O57" s="64"/>
      <c r="T57" s="124">
        <v>0</v>
      </c>
      <c r="U57" s="125" t="s">
        <v>1111</v>
      </c>
      <c r="V57" s="124">
        <v>960</v>
      </c>
      <c r="W57" s="124" t="s">
        <v>635</v>
      </c>
      <c r="X57" s="124">
        <v>450</v>
      </c>
      <c r="Y57" s="124"/>
    </row>
    <row r="58" spans="1:25" x14ac:dyDescent="0.25">
      <c r="A58" s="118" t="s">
        <v>650</v>
      </c>
      <c r="B58" s="115" t="s">
        <v>809</v>
      </c>
      <c r="C58" s="116">
        <v>2</v>
      </c>
      <c r="D58" s="115" t="s">
        <v>1144</v>
      </c>
      <c r="F58" s="56">
        <v>0</v>
      </c>
      <c r="G58" s="61">
        <v>336981</v>
      </c>
      <c r="H58" s="56" t="s">
        <v>973</v>
      </c>
      <c r="J58" s="56">
        <v>0</v>
      </c>
      <c r="K58" s="128" t="s">
        <v>1114</v>
      </c>
      <c r="L58" s="56">
        <v>3840</v>
      </c>
      <c r="M58" s="115" t="s">
        <v>1147</v>
      </c>
      <c r="N58" s="56">
        <v>250</v>
      </c>
      <c r="O58" s="64"/>
      <c r="T58" s="124">
        <v>0</v>
      </c>
      <c r="U58" s="125" t="s">
        <v>648</v>
      </c>
      <c r="V58" s="124">
        <v>960</v>
      </c>
      <c r="W58" s="124" t="s">
        <v>635</v>
      </c>
      <c r="X58" s="124">
        <v>450</v>
      </c>
      <c r="Y58" s="124"/>
    </row>
    <row r="59" spans="1:25" x14ac:dyDescent="0.25">
      <c r="A59" s="118" t="s">
        <v>1296</v>
      </c>
      <c r="B59" s="117" t="s">
        <v>809</v>
      </c>
      <c r="C59" s="116" t="s">
        <v>602</v>
      </c>
      <c r="D59" s="115"/>
      <c r="F59" s="56">
        <v>0</v>
      </c>
      <c r="G59" s="61">
        <v>352561</v>
      </c>
      <c r="H59" s="56" t="s">
        <v>974</v>
      </c>
      <c r="J59" s="56">
        <v>0</v>
      </c>
      <c r="K59" s="128" t="s">
        <v>1172</v>
      </c>
      <c r="L59" s="56">
        <v>4800</v>
      </c>
      <c r="M59" s="115" t="s">
        <v>1147</v>
      </c>
      <c r="N59" s="56">
        <v>250</v>
      </c>
      <c r="O59" s="64"/>
      <c r="T59" s="124">
        <v>0</v>
      </c>
      <c r="U59" s="125" t="s">
        <v>649</v>
      </c>
      <c r="V59" s="124">
        <v>960</v>
      </c>
      <c r="W59" s="124" t="s">
        <v>635</v>
      </c>
      <c r="X59" s="124">
        <v>450</v>
      </c>
      <c r="Y59" s="124"/>
    </row>
    <row r="60" spans="1:25" x14ac:dyDescent="0.25">
      <c r="A60" s="119" t="s">
        <v>1441</v>
      </c>
      <c r="B60" s="117" t="s">
        <v>809</v>
      </c>
      <c r="C60" s="120">
        <v>2</v>
      </c>
      <c r="D60" s="119" t="s">
        <v>1134</v>
      </c>
      <c r="F60" s="56">
        <v>0</v>
      </c>
      <c r="G60" s="61">
        <v>306270</v>
      </c>
      <c r="H60" s="56" t="s">
        <v>975</v>
      </c>
      <c r="J60" s="56">
        <v>0</v>
      </c>
      <c r="K60" s="128" t="s">
        <v>1173</v>
      </c>
      <c r="L60" s="56">
        <v>4800</v>
      </c>
      <c r="M60" s="115" t="s">
        <v>1147</v>
      </c>
      <c r="N60" s="56">
        <v>250</v>
      </c>
      <c r="O60" s="64"/>
      <c r="T60" s="124">
        <v>0</v>
      </c>
      <c r="U60" s="125" t="s">
        <v>650</v>
      </c>
      <c r="V60" s="124">
        <v>960</v>
      </c>
      <c r="W60" s="124" t="s">
        <v>635</v>
      </c>
      <c r="X60" s="124">
        <v>450</v>
      </c>
      <c r="Y60" s="124"/>
    </row>
    <row r="61" spans="1:25" x14ac:dyDescent="0.25">
      <c r="A61" s="118" t="s">
        <v>1112</v>
      </c>
      <c r="B61" s="115" t="s">
        <v>809</v>
      </c>
      <c r="C61" s="116">
        <v>2</v>
      </c>
      <c r="D61" s="115" t="s">
        <v>1145</v>
      </c>
      <c r="F61" s="56">
        <v>0</v>
      </c>
      <c r="G61" s="61">
        <v>355017</v>
      </c>
      <c r="H61" s="56" t="s">
        <v>976</v>
      </c>
      <c r="J61" s="56">
        <v>0</v>
      </c>
      <c r="K61" s="128" t="s">
        <v>1174</v>
      </c>
      <c r="L61" s="56">
        <v>2688</v>
      </c>
      <c r="M61" s="56" t="s">
        <v>1219</v>
      </c>
      <c r="N61" s="56">
        <v>350</v>
      </c>
      <c r="O61" s="64"/>
      <c r="T61" s="124">
        <v>0</v>
      </c>
      <c r="U61" s="125" t="s">
        <v>1112</v>
      </c>
      <c r="V61" s="124">
        <v>960</v>
      </c>
      <c r="W61" s="124" t="s">
        <v>635</v>
      </c>
      <c r="X61" s="124">
        <v>450</v>
      </c>
      <c r="Y61" s="124"/>
    </row>
    <row r="62" spans="1:25" x14ac:dyDescent="0.25">
      <c r="A62" s="116" t="s">
        <v>1294</v>
      </c>
      <c r="B62" s="117" t="s">
        <v>809</v>
      </c>
      <c r="C62" s="116" t="s">
        <v>602</v>
      </c>
      <c r="D62" s="115"/>
      <c r="F62" s="56">
        <v>0</v>
      </c>
      <c r="G62" s="61">
        <v>502130</v>
      </c>
      <c r="H62" s="56" t="s">
        <v>977</v>
      </c>
      <c r="J62" s="56">
        <v>0</v>
      </c>
      <c r="K62" s="128" t="s">
        <v>1517</v>
      </c>
      <c r="L62" s="56">
        <v>624</v>
      </c>
      <c r="M62" s="115" t="s">
        <v>1518</v>
      </c>
      <c r="N62" s="56">
        <v>250</v>
      </c>
      <c r="O62" s="64"/>
      <c r="T62" s="124">
        <v>0</v>
      </c>
      <c r="U62" s="125" t="s">
        <v>651</v>
      </c>
      <c r="V62" s="124">
        <v>960</v>
      </c>
      <c r="W62" s="124" t="s">
        <v>635</v>
      </c>
      <c r="X62" s="124">
        <v>450</v>
      </c>
      <c r="Y62" s="124"/>
    </row>
    <row r="63" spans="1:25" x14ac:dyDescent="0.25">
      <c r="A63" s="119" t="s">
        <v>1276</v>
      </c>
      <c r="B63" s="117" t="s">
        <v>809</v>
      </c>
      <c r="C63" s="120" t="s">
        <v>602</v>
      </c>
      <c r="D63" s="119"/>
      <c r="F63" s="56">
        <v>0</v>
      </c>
      <c r="G63" s="61">
        <v>352065</v>
      </c>
      <c r="H63" s="56" t="s">
        <v>978</v>
      </c>
      <c r="J63" s="56">
        <v>0</v>
      </c>
      <c r="K63" s="128" t="s">
        <v>1520</v>
      </c>
      <c r="L63" s="56">
        <v>224</v>
      </c>
      <c r="M63" s="115" t="s">
        <v>611</v>
      </c>
      <c r="N63" s="56">
        <v>450</v>
      </c>
      <c r="O63" s="64"/>
      <c r="T63" s="124">
        <v>0</v>
      </c>
      <c r="U63" s="125" t="s">
        <v>652</v>
      </c>
      <c r="V63" s="124">
        <v>960</v>
      </c>
      <c r="W63" s="124" t="s">
        <v>635</v>
      </c>
      <c r="X63" s="124">
        <v>450</v>
      </c>
      <c r="Y63" s="124"/>
    </row>
    <row r="64" spans="1:25" x14ac:dyDescent="0.25">
      <c r="A64" s="118" t="s">
        <v>651</v>
      </c>
      <c r="B64" s="115" t="s">
        <v>809</v>
      </c>
      <c r="C64" s="116">
        <v>3</v>
      </c>
      <c r="D64" s="115" t="s">
        <v>817</v>
      </c>
      <c r="F64" s="56">
        <v>0</v>
      </c>
      <c r="G64" s="61">
        <v>533735</v>
      </c>
      <c r="H64" s="56" t="s">
        <v>979</v>
      </c>
      <c r="J64" s="56">
        <v>0</v>
      </c>
      <c r="K64" s="128" t="s">
        <v>1175</v>
      </c>
      <c r="L64" s="56">
        <v>4800</v>
      </c>
      <c r="M64" s="56" t="s">
        <v>672</v>
      </c>
      <c r="N64" s="56">
        <v>224</v>
      </c>
      <c r="O64" s="64"/>
      <c r="T64" s="124">
        <v>0</v>
      </c>
      <c r="U64" s="125" t="s">
        <v>653</v>
      </c>
      <c r="V64" s="124">
        <v>960</v>
      </c>
      <c r="W64" s="124" t="s">
        <v>635</v>
      </c>
      <c r="X64" s="124">
        <v>450</v>
      </c>
      <c r="Y64" s="124"/>
    </row>
    <row r="65" spans="1:25" x14ac:dyDescent="0.25">
      <c r="A65" s="118" t="s">
        <v>652</v>
      </c>
      <c r="B65" s="115" t="s">
        <v>809</v>
      </c>
      <c r="C65" s="116">
        <v>2</v>
      </c>
      <c r="D65" s="115" t="s">
        <v>1146</v>
      </c>
      <c r="F65" s="56">
        <v>0</v>
      </c>
      <c r="G65" s="61">
        <v>369370</v>
      </c>
      <c r="H65" s="56" t="s">
        <v>981</v>
      </c>
      <c r="J65" s="56">
        <v>0</v>
      </c>
      <c r="K65" s="128" t="s">
        <v>1176</v>
      </c>
      <c r="L65" s="56">
        <v>4800</v>
      </c>
      <c r="M65" s="56" t="s">
        <v>672</v>
      </c>
      <c r="N65" s="56">
        <v>224</v>
      </c>
      <c r="O65" s="64"/>
      <c r="T65" s="124">
        <v>0</v>
      </c>
      <c r="U65" s="125" t="s">
        <v>654</v>
      </c>
      <c r="V65" s="124">
        <v>264</v>
      </c>
      <c r="W65" s="124" t="s">
        <v>611</v>
      </c>
      <c r="X65" s="124">
        <v>350</v>
      </c>
      <c r="Y65" s="124"/>
    </row>
    <row r="66" spans="1:25" x14ac:dyDescent="0.25">
      <c r="A66" s="118" t="s">
        <v>653</v>
      </c>
      <c r="B66" s="115" t="s">
        <v>809</v>
      </c>
      <c r="C66" s="116" t="s">
        <v>602</v>
      </c>
      <c r="D66" s="115"/>
      <c r="F66" s="56">
        <v>0</v>
      </c>
      <c r="G66" s="61">
        <v>339236</v>
      </c>
      <c r="H66" s="56" t="s">
        <v>980</v>
      </c>
      <c r="J66" s="56">
        <v>0</v>
      </c>
      <c r="K66" s="128" t="s">
        <v>1177</v>
      </c>
      <c r="L66" s="56">
        <v>4800</v>
      </c>
      <c r="M66" s="56" t="s">
        <v>672</v>
      </c>
      <c r="N66" s="56">
        <v>224</v>
      </c>
      <c r="O66" s="64"/>
      <c r="T66" s="124">
        <v>0</v>
      </c>
      <c r="U66" s="125" t="s">
        <v>655</v>
      </c>
      <c r="V66" s="124">
        <v>648</v>
      </c>
      <c r="W66" s="124" t="s">
        <v>656</v>
      </c>
      <c r="X66" s="124">
        <v>400</v>
      </c>
      <c r="Y66" s="124"/>
    </row>
    <row r="67" spans="1:25" x14ac:dyDescent="0.25">
      <c r="A67" s="116" t="s">
        <v>1293</v>
      </c>
      <c r="B67" s="117" t="s">
        <v>809</v>
      </c>
      <c r="C67" s="116">
        <v>3</v>
      </c>
      <c r="D67" s="115" t="s">
        <v>1515</v>
      </c>
      <c r="F67" s="56">
        <v>0</v>
      </c>
      <c r="G67" s="61">
        <v>360652</v>
      </c>
      <c r="H67" s="56" t="s">
        <v>982</v>
      </c>
      <c r="J67" s="56">
        <v>0</v>
      </c>
      <c r="K67" s="129" t="s">
        <v>1124</v>
      </c>
      <c r="L67" s="56">
        <v>10800</v>
      </c>
      <c r="M67" s="56" t="s">
        <v>729</v>
      </c>
      <c r="N67" s="56">
        <v>250</v>
      </c>
      <c r="O67" s="64"/>
      <c r="T67" s="124">
        <v>0</v>
      </c>
      <c r="U67" s="125" t="s">
        <v>1174</v>
      </c>
      <c r="V67" s="124">
        <v>2688</v>
      </c>
      <c r="W67" s="124" t="s">
        <v>1219</v>
      </c>
      <c r="X67" s="124">
        <v>350</v>
      </c>
      <c r="Y67" s="124"/>
    </row>
    <row r="68" spans="1:25" x14ac:dyDescent="0.25">
      <c r="A68" s="118" t="s">
        <v>1295</v>
      </c>
      <c r="B68" s="117" t="s">
        <v>809</v>
      </c>
      <c r="C68" s="116" t="s">
        <v>602</v>
      </c>
      <c r="D68" s="115"/>
      <c r="F68" s="56">
        <v>0</v>
      </c>
      <c r="G68" s="61">
        <v>330689</v>
      </c>
      <c r="H68" s="56" t="s">
        <v>983</v>
      </c>
      <c r="J68" s="56">
        <v>0</v>
      </c>
      <c r="K68" s="128" t="s">
        <v>657</v>
      </c>
      <c r="L68" s="56">
        <v>2304</v>
      </c>
      <c r="M68" s="56" t="s">
        <v>611</v>
      </c>
      <c r="N68" s="56">
        <v>400</v>
      </c>
      <c r="O68" s="64"/>
      <c r="T68" s="124">
        <v>0</v>
      </c>
      <c r="U68" s="125" t="s">
        <v>1175</v>
      </c>
      <c r="V68" s="124">
        <v>4800</v>
      </c>
      <c r="W68" s="124" t="s">
        <v>672</v>
      </c>
      <c r="X68" s="124">
        <v>224</v>
      </c>
      <c r="Y68" s="124"/>
    </row>
    <row r="69" spans="1:25" x14ac:dyDescent="0.25">
      <c r="A69" s="118" t="s">
        <v>1171</v>
      </c>
      <c r="B69" s="115" t="s">
        <v>809</v>
      </c>
      <c r="C69" s="116">
        <v>2</v>
      </c>
      <c r="D69" s="115" t="s">
        <v>1277</v>
      </c>
      <c r="F69" s="56">
        <v>0</v>
      </c>
      <c r="G69" s="61">
        <v>994822</v>
      </c>
      <c r="H69" s="56" t="s">
        <v>984</v>
      </c>
      <c r="J69" s="56">
        <v>0</v>
      </c>
      <c r="K69" s="129" t="s">
        <v>1444</v>
      </c>
      <c r="L69" s="56">
        <v>4800</v>
      </c>
      <c r="M69" s="56" t="s">
        <v>1445</v>
      </c>
      <c r="N69" s="56">
        <v>250</v>
      </c>
      <c r="O69" s="64"/>
      <c r="T69" s="124">
        <v>0</v>
      </c>
      <c r="U69" s="125" t="s">
        <v>1176</v>
      </c>
      <c r="V69" s="124">
        <v>4800</v>
      </c>
      <c r="W69" s="124" t="s">
        <v>672</v>
      </c>
      <c r="X69" s="124">
        <v>224</v>
      </c>
      <c r="Y69" s="124"/>
    </row>
    <row r="70" spans="1:25" x14ac:dyDescent="0.25">
      <c r="A70" s="119" t="s">
        <v>1239</v>
      </c>
      <c r="B70" s="117" t="s">
        <v>809</v>
      </c>
      <c r="C70" s="120">
        <v>2</v>
      </c>
      <c r="D70" s="119" t="s">
        <v>1240</v>
      </c>
      <c r="F70" s="56">
        <v>0</v>
      </c>
      <c r="G70" s="61">
        <v>359102</v>
      </c>
      <c r="H70" s="56" t="s">
        <v>985</v>
      </c>
      <c r="J70" s="56">
        <v>0</v>
      </c>
      <c r="K70" s="128" t="s">
        <v>658</v>
      </c>
      <c r="L70" s="56">
        <v>4032</v>
      </c>
      <c r="M70" s="56" t="s">
        <v>611</v>
      </c>
      <c r="N70" s="56">
        <v>500</v>
      </c>
      <c r="O70" s="64"/>
      <c r="T70" s="124">
        <v>0</v>
      </c>
      <c r="U70" s="125" t="s">
        <v>1177</v>
      </c>
      <c r="V70" s="124">
        <v>4800</v>
      </c>
      <c r="W70" s="124" t="s">
        <v>672</v>
      </c>
      <c r="X70" s="124">
        <v>224</v>
      </c>
      <c r="Y70" s="124"/>
    </row>
    <row r="71" spans="1:25" x14ac:dyDescent="0.25">
      <c r="A71" s="119" t="s">
        <v>1275</v>
      </c>
      <c r="B71" s="117" t="s">
        <v>809</v>
      </c>
      <c r="C71" s="120">
        <v>2</v>
      </c>
      <c r="D71" s="119" t="s">
        <v>1138</v>
      </c>
      <c r="F71" s="56">
        <v>0</v>
      </c>
      <c r="G71" s="61">
        <v>332089</v>
      </c>
      <c r="H71" s="56" t="s">
        <v>1205</v>
      </c>
      <c r="J71" s="56">
        <v>0</v>
      </c>
      <c r="K71" s="128" t="s">
        <v>1268</v>
      </c>
      <c r="L71" s="56">
        <v>2016</v>
      </c>
      <c r="M71" s="56" t="s">
        <v>680</v>
      </c>
      <c r="N71" s="56">
        <v>200</v>
      </c>
      <c r="O71" s="64"/>
      <c r="T71" s="124">
        <v>0</v>
      </c>
      <c r="U71" s="125" t="s">
        <v>657</v>
      </c>
      <c r="V71" s="124">
        <v>2304</v>
      </c>
      <c r="W71" s="124" t="s">
        <v>611</v>
      </c>
      <c r="X71" s="124">
        <v>400</v>
      </c>
      <c r="Y71" s="124"/>
    </row>
    <row r="72" spans="1:25" x14ac:dyDescent="0.25">
      <c r="A72" s="116" t="s">
        <v>1125</v>
      </c>
      <c r="B72" s="115" t="s">
        <v>662</v>
      </c>
      <c r="C72" s="116">
        <v>3</v>
      </c>
      <c r="D72" s="115" t="s">
        <v>1274</v>
      </c>
      <c r="F72" s="56">
        <v>0</v>
      </c>
      <c r="G72" s="61">
        <v>335656</v>
      </c>
      <c r="H72" s="56" t="s">
        <v>986</v>
      </c>
      <c r="J72" s="56">
        <v>0</v>
      </c>
      <c r="K72" s="128" t="s">
        <v>1523</v>
      </c>
      <c r="L72" s="56">
        <v>576</v>
      </c>
      <c r="M72" s="115" t="s">
        <v>1524</v>
      </c>
      <c r="N72" s="56">
        <v>300</v>
      </c>
      <c r="O72" s="64"/>
      <c r="T72" s="124">
        <v>0</v>
      </c>
      <c r="U72" s="125" t="s">
        <v>658</v>
      </c>
      <c r="V72" s="124">
        <v>4032</v>
      </c>
      <c r="W72" s="124" t="s">
        <v>611</v>
      </c>
      <c r="X72" s="124">
        <v>500</v>
      </c>
      <c r="Y72" s="124"/>
    </row>
    <row r="73" spans="1:25" x14ac:dyDescent="0.25">
      <c r="A73" s="116" t="s">
        <v>1299</v>
      </c>
      <c r="B73" s="117" t="s">
        <v>662</v>
      </c>
      <c r="C73" s="116">
        <v>2</v>
      </c>
      <c r="D73" s="115" t="s">
        <v>1300</v>
      </c>
      <c r="F73" s="56">
        <v>0</v>
      </c>
      <c r="G73" s="61">
        <v>331338</v>
      </c>
      <c r="H73" s="56" t="s">
        <v>987</v>
      </c>
      <c r="J73" s="56">
        <v>0</v>
      </c>
      <c r="K73" s="128" t="s">
        <v>664</v>
      </c>
      <c r="L73" s="56">
        <v>1344</v>
      </c>
      <c r="M73" s="56" t="s">
        <v>665</v>
      </c>
      <c r="N73" s="56">
        <v>1344</v>
      </c>
      <c r="O73" s="64"/>
      <c r="T73" s="124">
        <v>0</v>
      </c>
      <c r="U73" s="125" t="s">
        <v>659</v>
      </c>
      <c r="V73" s="124">
        <v>4800</v>
      </c>
      <c r="W73" s="124" t="s">
        <v>660</v>
      </c>
      <c r="X73" s="124">
        <v>250</v>
      </c>
      <c r="Y73" s="124"/>
    </row>
    <row r="74" spans="1:25" x14ac:dyDescent="0.25">
      <c r="A74" s="118" t="s">
        <v>654</v>
      </c>
      <c r="B74" s="115" t="s">
        <v>818</v>
      </c>
      <c r="C74" s="116">
        <v>3</v>
      </c>
      <c r="D74" s="115" t="s">
        <v>819</v>
      </c>
      <c r="F74" s="56">
        <v>0</v>
      </c>
      <c r="G74" s="61">
        <v>334902</v>
      </c>
      <c r="H74" s="56" t="s">
        <v>1092</v>
      </c>
      <c r="J74" s="56">
        <v>0</v>
      </c>
      <c r="K74" s="128" t="s">
        <v>666</v>
      </c>
      <c r="L74" s="56">
        <v>1896</v>
      </c>
      <c r="M74" s="56" t="s">
        <v>1117</v>
      </c>
      <c r="N74" s="56">
        <v>1896</v>
      </c>
      <c r="O74" s="64"/>
      <c r="T74" s="124">
        <v>0</v>
      </c>
      <c r="U74" s="125" t="s">
        <v>661</v>
      </c>
      <c r="V74" s="124">
        <v>4800</v>
      </c>
      <c r="W74" s="124" t="s">
        <v>662</v>
      </c>
      <c r="X74" s="124">
        <v>250</v>
      </c>
      <c r="Y74" s="124"/>
    </row>
    <row r="75" spans="1:25" x14ac:dyDescent="0.25">
      <c r="A75" s="118" t="s">
        <v>655</v>
      </c>
      <c r="B75" s="115" t="s">
        <v>820</v>
      </c>
      <c r="C75" s="116">
        <v>3</v>
      </c>
      <c r="D75" s="115" t="s">
        <v>821</v>
      </c>
      <c r="F75" s="56">
        <v>0</v>
      </c>
      <c r="G75" s="61">
        <v>337659</v>
      </c>
      <c r="H75" s="56" t="s">
        <v>988</v>
      </c>
      <c r="J75" s="56">
        <v>1</v>
      </c>
      <c r="K75" s="128" t="s">
        <v>667</v>
      </c>
      <c r="L75" s="56">
        <v>520</v>
      </c>
      <c r="M75" s="56" t="s">
        <v>611</v>
      </c>
      <c r="N75" s="56">
        <v>450</v>
      </c>
      <c r="O75" s="64"/>
      <c r="T75" s="124">
        <v>0</v>
      </c>
      <c r="U75" s="125" t="s">
        <v>825</v>
      </c>
      <c r="V75" s="124">
        <v>4800</v>
      </c>
      <c r="W75" s="124" t="s">
        <v>660</v>
      </c>
      <c r="X75" s="124">
        <v>250</v>
      </c>
      <c r="Y75" s="124"/>
    </row>
    <row r="76" spans="1:25" x14ac:dyDescent="0.25">
      <c r="A76" s="118" t="s">
        <v>1113</v>
      </c>
      <c r="B76" s="115" t="s">
        <v>1147</v>
      </c>
      <c r="C76" s="116">
        <v>1</v>
      </c>
      <c r="D76" s="115" t="s">
        <v>1148</v>
      </c>
      <c r="F76" s="56">
        <v>0</v>
      </c>
      <c r="G76" s="61">
        <v>347159</v>
      </c>
      <c r="H76" s="56" t="s">
        <v>989</v>
      </c>
      <c r="J76" s="56">
        <v>1</v>
      </c>
      <c r="K76" s="128" t="s">
        <v>667</v>
      </c>
      <c r="L76" s="56">
        <v>520</v>
      </c>
      <c r="M76" s="56" t="s">
        <v>632</v>
      </c>
      <c r="N76" s="56">
        <v>450</v>
      </c>
      <c r="O76" s="64"/>
      <c r="T76" s="124">
        <v>0</v>
      </c>
      <c r="U76" s="125" t="s">
        <v>663</v>
      </c>
      <c r="V76" s="124">
        <v>4800</v>
      </c>
      <c r="W76" s="124" t="s">
        <v>660</v>
      </c>
      <c r="X76" s="124">
        <v>250</v>
      </c>
      <c r="Y76" s="124"/>
    </row>
    <row r="77" spans="1:25" x14ac:dyDescent="0.25">
      <c r="A77" s="118" t="s">
        <v>1114</v>
      </c>
      <c r="B77" s="115" t="s">
        <v>1147</v>
      </c>
      <c r="C77" s="116">
        <v>1</v>
      </c>
      <c r="D77" s="115" t="s">
        <v>1149</v>
      </c>
      <c r="F77" s="56">
        <v>0</v>
      </c>
      <c r="G77" s="61">
        <v>336265</v>
      </c>
      <c r="H77" s="56" t="s">
        <v>990</v>
      </c>
      <c r="J77" s="56">
        <v>0</v>
      </c>
      <c r="K77" s="128" t="s">
        <v>668</v>
      </c>
      <c r="L77" s="56">
        <v>1200</v>
      </c>
      <c r="M77" s="56" t="s">
        <v>669</v>
      </c>
      <c r="N77" s="56">
        <v>600</v>
      </c>
      <c r="O77" s="64"/>
      <c r="T77" s="124">
        <v>0</v>
      </c>
      <c r="U77" s="125" t="s">
        <v>1115</v>
      </c>
      <c r="V77" s="124">
        <v>4800</v>
      </c>
      <c r="W77" s="124" t="s">
        <v>660</v>
      </c>
      <c r="X77" s="124">
        <v>250</v>
      </c>
      <c r="Y77" s="124"/>
    </row>
    <row r="78" spans="1:25" x14ac:dyDescent="0.25">
      <c r="A78" s="118" t="s">
        <v>1172</v>
      </c>
      <c r="B78" s="115" t="s">
        <v>1147</v>
      </c>
      <c r="C78" s="116">
        <v>2</v>
      </c>
      <c r="D78" s="115" t="s">
        <v>1443</v>
      </c>
      <c r="F78" s="56">
        <v>0</v>
      </c>
      <c r="G78" s="61">
        <v>347053</v>
      </c>
      <c r="H78" s="56" t="s">
        <v>991</v>
      </c>
      <c r="J78" s="56">
        <v>0</v>
      </c>
      <c r="K78" s="128" t="s">
        <v>834</v>
      </c>
      <c r="L78" s="56">
        <v>396</v>
      </c>
      <c r="M78" s="56" t="s">
        <v>611</v>
      </c>
      <c r="N78" s="56">
        <v>400</v>
      </c>
      <c r="O78" s="64"/>
      <c r="T78" s="124">
        <v>0</v>
      </c>
      <c r="U78" s="125" t="s">
        <v>1116</v>
      </c>
      <c r="V78" s="124">
        <v>4800</v>
      </c>
      <c r="W78" s="124" t="s">
        <v>660</v>
      </c>
      <c r="X78" s="124">
        <v>250</v>
      </c>
      <c r="Y78" s="124"/>
    </row>
    <row r="79" spans="1:25" x14ac:dyDescent="0.25">
      <c r="A79" s="118" t="s">
        <v>1173</v>
      </c>
      <c r="B79" s="115" t="s">
        <v>1147</v>
      </c>
      <c r="C79" s="116">
        <v>2</v>
      </c>
      <c r="D79" s="115" t="s">
        <v>826</v>
      </c>
      <c r="F79" s="56">
        <v>0</v>
      </c>
      <c r="G79" s="61">
        <v>304203</v>
      </c>
      <c r="H79" s="56" t="s">
        <v>992</v>
      </c>
      <c r="J79" s="56">
        <v>0</v>
      </c>
      <c r="K79" s="128" t="s">
        <v>836</v>
      </c>
      <c r="L79" s="56">
        <v>18144</v>
      </c>
      <c r="M79" s="56" t="s">
        <v>672</v>
      </c>
      <c r="N79" s="56">
        <v>1100</v>
      </c>
      <c r="O79" s="64"/>
      <c r="T79" s="124">
        <v>0</v>
      </c>
      <c r="U79" s="125" t="s">
        <v>664</v>
      </c>
      <c r="V79" s="124">
        <v>1344</v>
      </c>
      <c r="W79" s="124" t="s">
        <v>665</v>
      </c>
      <c r="X79" s="124">
        <v>1344</v>
      </c>
      <c r="Y79" s="124"/>
    </row>
    <row r="80" spans="1:25" x14ac:dyDescent="0.25">
      <c r="A80" s="118" t="s">
        <v>1174</v>
      </c>
      <c r="B80" s="115" t="s">
        <v>729</v>
      </c>
      <c r="C80" s="116">
        <v>2</v>
      </c>
      <c r="D80" s="115" t="s">
        <v>1673</v>
      </c>
      <c r="F80" s="56">
        <v>0</v>
      </c>
      <c r="G80" s="61">
        <v>352960</v>
      </c>
      <c r="H80" s="56" t="s">
        <v>1093</v>
      </c>
      <c r="J80" s="56">
        <v>0</v>
      </c>
      <c r="K80" s="128" t="s">
        <v>674</v>
      </c>
      <c r="L80" s="56">
        <v>640</v>
      </c>
      <c r="M80" s="56" t="s">
        <v>610</v>
      </c>
      <c r="N80" s="56">
        <v>1050</v>
      </c>
      <c r="O80" s="64"/>
      <c r="T80" s="124">
        <v>0</v>
      </c>
      <c r="U80" s="125" t="s">
        <v>666</v>
      </c>
      <c r="V80" s="124">
        <v>1896</v>
      </c>
      <c r="W80" s="124" t="s">
        <v>1117</v>
      </c>
      <c r="X80" s="124">
        <v>1896</v>
      </c>
      <c r="Y80" s="124"/>
    </row>
    <row r="81" spans="1:25" x14ac:dyDescent="0.25">
      <c r="A81" s="118" t="s">
        <v>1517</v>
      </c>
      <c r="B81" s="115" t="s">
        <v>1518</v>
      </c>
      <c r="C81" s="116">
        <v>3</v>
      </c>
      <c r="D81" s="115" t="s">
        <v>1519</v>
      </c>
      <c r="F81" s="56">
        <v>0</v>
      </c>
      <c r="G81" s="61">
        <v>340001</v>
      </c>
      <c r="H81" s="56" t="s">
        <v>993</v>
      </c>
      <c r="J81" s="56">
        <v>0</v>
      </c>
      <c r="K81" s="128" t="s">
        <v>675</v>
      </c>
      <c r="L81" s="56">
        <v>3276</v>
      </c>
      <c r="M81" s="56" t="s">
        <v>672</v>
      </c>
      <c r="N81" s="56">
        <v>620</v>
      </c>
      <c r="O81" s="64"/>
      <c r="T81" s="124">
        <v>1</v>
      </c>
      <c r="U81" s="125" t="s">
        <v>667</v>
      </c>
      <c r="V81" s="124">
        <v>520</v>
      </c>
      <c r="W81" s="124" t="s">
        <v>611</v>
      </c>
      <c r="X81" s="124">
        <v>450</v>
      </c>
      <c r="Y81" s="124"/>
    </row>
    <row r="82" spans="1:25" x14ac:dyDescent="0.25">
      <c r="A82" s="118" t="s">
        <v>1520</v>
      </c>
      <c r="B82" s="115" t="s">
        <v>611</v>
      </c>
      <c r="C82" s="116">
        <v>3</v>
      </c>
      <c r="D82" s="115" t="s">
        <v>1521</v>
      </c>
      <c r="F82" s="56">
        <v>0</v>
      </c>
      <c r="G82" s="61">
        <v>352016</v>
      </c>
      <c r="H82" s="56" t="s">
        <v>994</v>
      </c>
      <c r="J82" s="56">
        <v>0</v>
      </c>
      <c r="K82" s="128" t="s">
        <v>676</v>
      </c>
      <c r="L82" s="56">
        <v>3276</v>
      </c>
      <c r="M82" s="56" t="s">
        <v>672</v>
      </c>
      <c r="N82" s="56">
        <v>620</v>
      </c>
      <c r="O82" s="64"/>
      <c r="T82" s="124">
        <v>1</v>
      </c>
      <c r="U82" s="125" t="s">
        <v>667</v>
      </c>
      <c r="V82" s="124">
        <v>520</v>
      </c>
      <c r="W82" s="124" t="s">
        <v>632</v>
      </c>
      <c r="X82" s="124">
        <v>450</v>
      </c>
      <c r="Y82" s="124"/>
    </row>
    <row r="83" spans="1:25" x14ac:dyDescent="0.25">
      <c r="A83" s="118" t="s">
        <v>1175</v>
      </c>
      <c r="B83" s="115" t="s">
        <v>672</v>
      </c>
      <c r="C83" s="116">
        <v>1</v>
      </c>
      <c r="D83" s="115" t="s">
        <v>1672</v>
      </c>
      <c r="F83" s="56">
        <v>0</v>
      </c>
      <c r="G83" s="61">
        <v>335682</v>
      </c>
      <c r="H83" s="56" t="s">
        <v>995</v>
      </c>
      <c r="J83" s="56">
        <v>0</v>
      </c>
      <c r="K83" s="128" t="s">
        <v>841</v>
      </c>
      <c r="L83" s="56">
        <v>3276</v>
      </c>
      <c r="M83" s="56" t="s">
        <v>678</v>
      </c>
      <c r="N83" s="56">
        <v>620</v>
      </c>
      <c r="O83" s="64"/>
      <c r="T83" s="124">
        <v>0</v>
      </c>
      <c r="U83" s="125" t="s">
        <v>668</v>
      </c>
      <c r="V83" s="124">
        <v>1200</v>
      </c>
      <c r="W83" s="124" t="s">
        <v>669</v>
      </c>
      <c r="X83" s="124">
        <v>600</v>
      </c>
      <c r="Y83" s="124"/>
    </row>
    <row r="84" spans="1:25" x14ac:dyDescent="0.25">
      <c r="A84" s="118" t="s">
        <v>1176</v>
      </c>
      <c r="B84" s="115" t="s">
        <v>672</v>
      </c>
      <c r="C84" s="116">
        <v>1</v>
      </c>
      <c r="D84" s="115" t="s">
        <v>1671</v>
      </c>
      <c r="F84" s="56">
        <v>0</v>
      </c>
      <c r="G84" s="61">
        <v>326781</v>
      </c>
      <c r="H84" s="56" t="s">
        <v>996</v>
      </c>
      <c r="J84" s="56">
        <v>0</v>
      </c>
      <c r="K84" s="128" t="s">
        <v>679</v>
      </c>
      <c r="L84" s="56">
        <v>1440</v>
      </c>
      <c r="M84" s="56" t="s">
        <v>680</v>
      </c>
      <c r="N84" s="56">
        <v>350</v>
      </c>
      <c r="O84" s="64"/>
      <c r="T84" s="124">
        <v>0</v>
      </c>
      <c r="U84" s="125" t="s">
        <v>670</v>
      </c>
      <c r="V84" s="124">
        <v>396</v>
      </c>
      <c r="W84" s="124" t="s">
        <v>611</v>
      </c>
      <c r="X84" s="124">
        <v>400</v>
      </c>
      <c r="Y84" s="124"/>
    </row>
    <row r="85" spans="1:25" x14ac:dyDescent="0.25">
      <c r="A85" s="118" t="s">
        <v>1177</v>
      </c>
      <c r="B85" s="115" t="s">
        <v>672</v>
      </c>
      <c r="C85" s="116">
        <v>1</v>
      </c>
      <c r="D85" s="115" t="s">
        <v>1670</v>
      </c>
      <c r="F85" s="56">
        <v>0</v>
      </c>
      <c r="G85" s="61">
        <v>352590</v>
      </c>
      <c r="H85" s="56" t="s">
        <v>997</v>
      </c>
      <c r="J85" s="56">
        <v>0</v>
      </c>
      <c r="K85" s="128" t="s">
        <v>681</v>
      </c>
      <c r="L85" s="56">
        <v>1728</v>
      </c>
      <c r="M85" s="56" t="s">
        <v>680</v>
      </c>
      <c r="N85" s="56">
        <v>300</v>
      </c>
      <c r="O85" s="64"/>
      <c r="T85" s="124">
        <v>0</v>
      </c>
      <c r="U85" s="125" t="s">
        <v>671</v>
      </c>
      <c r="V85" s="124">
        <v>18144</v>
      </c>
      <c r="W85" s="124" t="s">
        <v>672</v>
      </c>
      <c r="X85" s="124">
        <v>1100</v>
      </c>
      <c r="Y85" s="124"/>
    </row>
    <row r="86" spans="1:25" x14ac:dyDescent="0.25">
      <c r="A86" s="116" t="s">
        <v>1124</v>
      </c>
      <c r="B86" s="115" t="s">
        <v>729</v>
      </c>
      <c r="C86" s="116">
        <v>1</v>
      </c>
      <c r="D86" s="115" t="s">
        <v>1167</v>
      </c>
      <c r="F86" s="56">
        <v>0</v>
      </c>
      <c r="G86" s="61">
        <v>330967</v>
      </c>
      <c r="H86" s="56" t="s">
        <v>998</v>
      </c>
      <c r="J86" s="56">
        <v>0</v>
      </c>
      <c r="K86" s="128" t="s">
        <v>683</v>
      </c>
      <c r="L86" s="56">
        <v>11520</v>
      </c>
      <c r="M86" s="56" t="s">
        <v>684</v>
      </c>
      <c r="N86" s="56">
        <v>350</v>
      </c>
      <c r="O86" s="64"/>
      <c r="T86" s="124">
        <v>0</v>
      </c>
      <c r="U86" s="125" t="s">
        <v>673</v>
      </c>
      <c r="V86" s="124">
        <v>1280</v>
      </c>
      <c r="W86" s="124" t="s">
        <v>672</v>
      </c>
      <c r="X86" s="124">
        <v>420</v>
      </c>
      <c r="Y86" s="124"/>
    </row>
    <row r="87" spans="1:25" x14ac:dyDescent="0.25">
      <c r="A87" s="118" t="s">
        <v>657</v>
      </c>
      <c r="B87" s="115" t="s">
        <v>611</v>
      </c>
      <c r="C87" s="116">
        <v>3</v>
      </c>
      <c r="D87" s="115" t="s">
        <v>1526</v>
      </c>
      <c r="F87" s="56">
        <v>0</v>
      </c>
      <c r="G87" s="61">
        <v>353430</v>
      </c>
      <c r="H87" s="56" t="s">
        <v>665</v>
      </c>
      <c r="J87" s="56">
        <v>0</v>
      </c>
      <c r="K87" s="128" t="s">
        <v>847</v>
      </c>
      <c r="L87" s="56">
        <v>3600</v>
      </c>
      <c r="M87" s="56" t="s">
        <v>686</v>
      </c>
      <c r="N87" s="56">
        <v>450</v>
      </c>
      <c r="O87" s="64"/>
      <c r="T87" s="124">
        <v>0</v>
      </c>
      <c r="U87" s="125" t="s">
        <v>674</v>
      </c>
      <c r="V87" s="124">
        <v>640</v>
      </c>
      <c r="W87" s="124" t="s">
        <v>610</v>
      </c>
      <c r="X87" s="124">
        <v>1050</v>
      </c>
      <c r="Y87" s="124"/>
    </row>
    <row r="88" spans="1:25" x14ac:dyDescent="0.25">
      <c r="A88" s="116" t="s">
        <v>1444</v>
      </c>
      <c r="B88" s="117" t="s">
        <v>1445</v>
      </c>
      <c r="C88" s="116">
        <v>1</v>
      </c>
      <c r="D88" s="115" t="s">
        <v>1446</v>
      </c>
      <c r="F88" s="56">
        <v>0</v>
      </c>
      <c r="G88" s="61">
        <v>375637</v>
      </c>
      <c r="H88" s="56" t="s">
        <v>999</v>
      </c>
      <c r="J88" s="56">
        <v>0</v>
      </c>
      <c r="K88" s="128" t="s">
        <v>687</v>
      </c>
      <c r="L88" s="56">
        <v>3600</v>
      </c>
      <c r="M88" s="56" t="s">
        <v>686</v>
      </c>
      <c r="N88" s="56">
        <v>450</v>
      </c>
      <c r="O88" s="64"/>
      <c r="T88" s="124">
        <v>0</v>
      </c>
      <c r="U88" s="125" t="s">
        <v>675</v>
      </c>
      <c r="V88" s="124">
        <v>3276</v>
      </c>
      <c r="W88" s="124" t="s">
        <v>672</v>
      </c>
      <c r="X88" s="124">
        <v>620</v>
      </c>
      <c r="Y88" s="124"/>
    </row>
    <row r="89" spans="1:25" x14ac:dyDescent="0.25">
      <c r="A89" s="118" t="s">
        <v>658</v>
      </c>
      <c r="B89" s="115" t="s">
        <v>611</v>
      </c>
      <c r="C89" s="116">
        <v>3</v>
      </c>
      <c r="D89" s="115" t="s">
        <v>1522</v>
      </c>
      <c r="F89" s="56">
        <v>0</v>
      </c>
      <c r="G89" s="61">
        <v>351953</v>
      </c>
      <c r="H89" s="56" t="s">
        <v>1000</v>
      </c>
      <c r="J89" s="56">
        <v>0</v>
      </c>
      <c r="K89" s="128" t="s">
        <v>1168</v>
      </c>
      <c r="L89" s="56">
        <v>576</v>
      </c>
      <c r="M89" s="56" t="s">
        <v>688</v>
      </c>
      <c r="N89" s="56">
        <v>300</v>
      </c>
      <c r="O89" s="64"/>
      <c r="T89" s="124">
        <v>0</v>
      </c>
      <c r="U89" s="125" t="s">
        <v>676</v>
      </c>
      <c r="V89" s="124">
        <v>3276</v>
      </c>
      <c r="W89" s="124" t="s">
        <v>672</v>
      </c>
      <c r="X89" s="124">
        <v>620</v>
      </c>
      <c r="Y89" s="124"/>
    </row>
    <row r="90" spans="1:25" x14ac:dyDescent="0.25">
      <c r="A90" s="118" t="s">
        <v>659</v>
      </c>
      <c r="B90" s="115" t="s">
        <v>823</v>
      </c>
      <c r="C90" s="116" t="s">
        <v>602</v>
      </c>
      <c r="D90" s="115"/>
      <c r="F90" s="56">
        <v>0</v>
      </c>
      <c r="G90" s="61">
        <v>385996</v>
      </c>
      <c r="H90" s="56" t="s">
        <v>1094</v>
      </c>
      <c r="J90" s="56">
        <v>0</v>
      </c>
      <c r="K90" s="128" t="s">
        <v>689</v>
      </c>
      <c r="L90" s="56">
        <v>384</v>
      </c>
      <c r="M90" s="56" t="s">
        <v>611</v>
      </c>
      <c r="N90" s="56">
        <v>400</v>
      </c>
      <c r="O90" s="64"/>
      <c r="T90" s="124">
        <v>0</v>
      </c>
      <c r="U90" s="125" t="s">
        <v>677</v>
      </c>
      <c r="V90" s="124">
        <v>3276</v>
      </c>
      <c r="W90" s="124" t="s">
        <v>678</v>
      </c>
      <c r="X90" s="124">
        <v>620</v>
      </c>
      <c r="Y90" s="124"/>
    </row>
    <row r="91" spans="1:25" x14ac:dyDescent="0.25">
      <c r="A91" s="118" t="s">
        <v>1268</v>
      </c>
      <c r="B91" s="115" t="s">
        <v>680</v>
      </c>
      <c r="C91" s="116">
        <v>3</v>
      </c>
      <c r="D91" s="115" t="s">
        <v>1269</v>
      </c>
      <c r="F91" s="56">
        <v>0</v>
      </c>
      <c r="G91" s="61">
        <v>330700</v>
      </c>
      <c r="H91" s="56" t="s">
        <v>1001</v>
      </c>
      <c r="J91" s="56">
        <v>1</v>
      </c>
      <c r="K91" s="128" t="s">
        <v>689</v>
      </c>
      <c r="L91" s="56">
        <v>720</v>
      </c>
      <c r="M91" s="56" t="s">
        <v>690</v>
      </c>
      <c r="N91" s="56">
        <v>740</v>
      </c>
      <c r="O91" s="64"/>
      <c r="T91" s="124">
        <v>0</v>
      </c>
      <c r="U91" s="125" t="s">
        <v>679</v>
      </c>
      <c r="V91" s="124">
        <v>1440</v>
      </c>
      <c r="W91" s="124" t="s">
        <v>680</v>
      </c>
      <c r="X91" s="124">
        <v>350</v>
      </c>
      <c r="Y91" s="124"/>
    </row>
    <row r="92" spans="1:25" x14ac:dyDescent="0.25">
      <c r="A92" s="118" t="s">
        <v>825</v>
      </c>
      <c r="B92" s="115" t="s">
        <v>823</v>
      </c>
      <c r="C92" s="116" t="s">
        <v>602</v>
      </c>
      <c r="D92" s="115"/>
      <c r="F92" s="56">
        <v>0</v>
      </c>
      <c r="G92" s="61">
        <v>330695</v>
      </c>
      <c r="H92" s="56" t="s">
        <v>1206</v>
      </c>
      <c r="J92" s="56">
        <v>0</v>
      </c>
      <c r="K92" s="128" t="s">
        <v>1389</v>
      </c>
      <c r="L92" s="56">
        <v>576</v>
      </c>
      <c r="M92" s="115" t="s">
        <v>688</v>
      </c>
      <c r="N92" s="56">
        <v>450</v>
      </c>
      <c r="O92" s="64"/>
      <c r="T92" s="124">
        <v>0</v>
      </c>
      <c r="U92" s="125" t="s">
        <v>681</v>
      </c>
      <c r="V92" s="124">
        <v>1728</v>
      </c>
      <c r="W92" s="124" t="s">
        <v>680</v>
      </c>
      <c r="X92" s="124">
        <v>300</v>
      </c>
      <c r="Y92" s="124"/>
    </row>
    <row r="93" spans="1:25" x14ac:dyDescent="0.25">
      <c r="A93" s="118" t="s">
        <v>663</v>
      </c>
      <c r="B93" s="115" t="s">
        <v>823</v>
      </c>
      <c r="C93" s="116" t="s">
        <v>602</v>
      </c>
      <c r="D93" s="115"/>
      <c r="F93" s="56">
        <v>0</v>
      </c>
      <c r="G93" s="61">
        <v>330361</v>
      </c>
      <c r="H93" s="56" t="s">
        <v>1207</v>
      </c>
      <c r="J93" s="56">
        <v>0</v>
      </c>
      <c r="K93" s="128" t="s">
        <v>1668</v>
      </c>
      <c r="L93" s="56">
        <v>3600</v>
      </c>
      <c r="M93" s="115" t="s">
        <v>686</v>
      </c>
      <c r="N93" s="56">
        <v>450</v>
      </c>
      <c r="O93" s="64"/>
      <c r="T93" s="124">
        <v>0</v>
      </c>
      <c r="U93" s="125" t="s">
        <v>682</v>
      </c>
      <c r="V93" s="124">
        <v>4800</v>
      </c>
      <c r="W93" s="124" t="s">
        <v>660</v>
      </c>
      <c r="X93" s="124">
        <v>250</v>
      </c>
      <c r="Y93" s="124"/>
    </row>
    <row r="94" spans="1:25" x14ac:dyDescent="0.25">
      <c r="A94" s="118" t="s">
        <v>827</v>
      </c>
      <c r="B94" s="115" t="s">
        <v>828</v>
      </c>
      <c r="C94" s="116" t="s">
        <v>602</v>
      </c>
      <c r="D94" s="115"/>
      <c r="F94" s="56">
        <v>0</v>
      </c>
      <c r="G94" s="61">
        <v>365683</v>
      </c>
      <c r="H94" s="56" t="s">
        <v>782</v>
      </c>
      <c r="J94" s="56">
        <v>0</v>
      </c>
      <c r="K94" s="128" t="s">
        <v>696</v>
      </c>
      <c r="L94" s="56">
        <v>2520</v>
      </c>
      <c r="M94" s="56" t="s">
        <v>697</v>
      </c>
      <c r="N94" s="56">
        <v>400</v>
      </c>
      <c r="O94" s="64"/>
      <c r="T94" s="124">
        <v>0</v>
      </c>
      <c r="U94" s="125" t="s">
        <v>683</v>
      </c>
      <c r="V94" s="124">
        <v>11520</v>
      </c>
      <c r="W94" s="124" t="s">
        <v>684</v>
      </c>
      <c r="X94" s="124">
        <v>350</v>
      </c>
      <c r="Y94" s="124"/>
    </row>
    <row r="95" spans="1:25" x14ac:dyDescent="0.25">
      <c r="A95" s="118" t="s">
        <v>1523</v>
      </c>
      <c r="B95" s="115" t="s">
        <v>1524</v>
      </c>
      <c r="C95" s="116">
        <v>3</v>
      </c>
      <c r="D95" s="115" t="s">
        <v>824</v>
      </c>
      <c r="F95" s="56">
        <v>0</v>
      </c>
      <c r="G95" s="61">
        <v>359484</v>
      </c>
      <c r="H95" s="56" t="s">
        <v>1002</v>
      </c>
      <c r="J95" s="56">
        <v>0</v>
      </c>
      <c r="K95" s="128" t="s">
        <v>854</v>
      </c>
      <c r="L95" s="56">
        <v>1296</v>
      </c>
      <c r="M95" s="56" t="s">
        <v>693</v>
      </c>
      <c r="N95" s="56">
        <v>400</v>
      </c>
      <c r="O95" s="64"/>
      <c r="T95" s="124">
        <v>0</v>
      </c>
      <c r="U95" s="125" t="s">
        <v>685</v>
      </c>
      <c r="V95" s="124">
        <v>3600</v>
      </c>
      <c r="W95" s="124" t="s">
        <v>686</v>
      </c>
      <c r="X95" s="124">
        <v>450</v>
      </c>
      <c r="Y95" s="124"/>
    </row>
    <row r="96" spans="1:25" x14ac:dyDescent="0.25">
      <c r="A96" s="118" t="s">
        <v>664</v>
      </c>
      <c r="B96" s="115" t="s">
        <v>665</v>
      </c>
      <c r="C96" s="116">
        <v>1</v>
      </c>
      <c r="D96" s="115" t="s">
        <v>1150</v>
      </c>
      <c r="F96" s="56">
        <v>0</v>
      </c>
      <c r="G96" s="61">
        <v>367532</v>
      </c>
      <c r="H96" s="56" t="s">
        <v>1003</v>
      </c>
      <c r="J96" s="56">
        <v>0</v>
      </c>
      <c r="K96" s="128" t="s">
        <v>699</v>
      </c>
      <c r="L96" s="56">
        <v>420</v>
      </c>
      <c r="M96" s="56" t="s">
        <v>610</v>
      </c>
      <c r="N96" s="56">
        <v>950</v>
      </c>
      <c r="O96" s="64"/>
      <c r="T96" s="124">
        <v>0</v>
      </c>
      <c r="U96" s="125" t="s">
        <v>687</v>
      </c>
      <c r="V96" s="124">
        <v>3600</v>
      </c>
      <c r="W96" s="124" t="s">
        <v>686</v>
      </c>
      <c r="X96" s="124">
        <v>450</v>
      </c>
      <c r="Y96" s="124"/>
    </row>
    <row r="97" spans="1:25" x14ac:dyDescent="0.25">
      <c r="A97" s="118" t="s">
        <v>666</v>
      </c>
      <c r="B97" s="115" t="s">
        <v>829</v>
      </c>
      <c r="C97" s="116">
        <v>1</v>
      </c>
      <c r="D97" s="115" t="s">
        <v>830</v>
      </c>
      <c r="F97" s="56">
        <v>0</v>
      </c>
      <c r="G97" s="61">
        <v>335805</v>
      </c>
      <c r="H97" s="56" t="s">
        <v>1004</v>
      </c>
      <c r="J97" s="56">
        <v>0</v>
      </c>
      <c r="K97" s="128" t="s">
        <v>700</v>
      </c>
      <c r="L97" s="56">
        <v>1680</v>
      </c>
      <c r="M97" s="56" t="s">
        <v>613</v>
      </c>
      <c r="N97" s="56">
        <v>250</v>
      </c>
      <c r="O97" s="64"/>
      <c r="T97" s="124">
        <v>0</v>
      </c>
      <c r="U97" s="125" t="s">
        <v>1118</v>
      </c>
      <c r="V97" s="124">
        <v>576</v>
      </c>
      <c r="W97" s="124" t="s">
        <v>688</v>
      </c>
      <c r="X97" s="124">
        <v>300</v>
      </c>
      <c r="Y97" s="124"/>
    </row>
    <row r="98" spans="1:25" x14ac:dyDescent="0.25">
      <c r="A98" s="118" t="s">
        <v>667</v>
      </c>
      <c r="B98" s="115" t="s">
        <v>1241</v>
      </c>
      <c r="C98" s="116">
        <v>9</v>
      </c>
      <c r="D98" s="115" t="s">
        <v>831</v>
      </c>
      <c r="F98" s="56">
        <v>0</v>
      </c>
      <c r="G98" s="61">
        <v>350021</v>
      </c>
      <c r="H98" s="56" t="s">
        <v>1006</v>
      </c>
      <c r="J98" s="56">
        <v>0</v>
      </c>
      <c r="K98" s="128" t="s">
        <v>701</v>
      </c>
      <c r="L98" s="56">
        <v>240</v>
      </c>
      <c r="M98" s="56" t="s">
        <v>611</v>
      </c>
      <c r="N98" s="56">
        <v>300</v>
      </c>
      <c r="O98" s="64"/>
      <c r="T98" s="124">
        <v>1</v>
      </c>
      <c r="U98" s="125" t="s">
        <v>689</v>
      </c>
      <c r="V98" s="124">
        <v>384</v>
      </c>
      <c r="W98" s="124" t="s">
        <v>611</v>
      </c>
      <c r="X98" s="124">
        <v>400</v>
      </c>
      <c r="Y98" s="124"/>
    </row>
    <row r="99" spans="1:25" x14ac:dyDescent="0.25">
      <c r="A99" s="118" t="s">
        <v>668</v>
      </c>
      <c r="B99" s="115" t="s">
        <v>832</v>
      </c>
      <c r="C99" s="116">
        <v>3</v>
      </c>
      <c r="D99" s="115" t="s">
        <v>833</v>
      </c>
      <c r="F99" s="56">
        <v>0</v>
      </c>
      <c r="G99" s="61">
        <v>357288</v>
      </c>
      <c r="H99" s="56" t="s">
        <v>1208</v>
      </c>
      <c r="J99" s="56">
        <v>0</v>
      </c>
      <c r="K99" s="128" t="s">
        <v>702</v>
      </c>
      <c r="L99" s="56">
        <v>990</v>
      </c>
      <c r="M99" s="56" t="s">
        <v>703</v>
      </c>
      <c r="N99" s="56">
        <v>300</v>
      </c>
      <c r="O99" s="64"/>
      <c r="T99" s="124">
        <v>1</v>
      </c>
      <c r="U99" s="125" t="s">
        <v>689</v>
      </c>
      <c r="V99" s="124">
        <v>720</v>
      </c>
      <c r="W99" s="124" t="s">
        <v>690</v>
      </c>
      <c r="X99" s="124">
        <v>740</v>
      </c>
      <c r="Y99" s="124"/>
    </row>
    <row r="100" spans="1:25" x14ac:dyDescent="0.25">
      <c r="A100" s="118" t="s">
        <v>834</v>
      </c>
      <c r="B100" s="115" t="s">
        <v>611</v>
      </c>
      <c r="C100" s="116">
        <v>3</v>
      </c>
      <c r="D100" s="115" t="s">
        <v>835</v>
      </c>
      <c r="F100" s="56">
        <v>0</v>
      </c>
      <c r="G100" s="61">
        <v>335432</v>
      </c>
      <c r="H100" s="56" t="s">
        <v>1007</v>
      </c>
      <c r="J100" s="56">
        <v>1</v>
      </c>
      <c r="K100" s="128" t="s">
        <v>704</v>
      </c>
      <c r="L100" s="56">
        <v>384</v>
      </c>
      <c r="M100" s="56" t="s">
        <v>611</v>
      </c>
      <c r="N100" s="56">
        <v>450</v>
      </c>
      <c r="O100" s="64"/>
      <c r="T100" s="124">
        <v>0</v>
      </c>
      <c r="U100" s="125" t="s">
        <v>1119</v>
      </c>
      <c r="V100" s="124">
        <v>576</v>
      </c>
      <c r="W100" s="124" t="s">
        <v>691</v>
      </c>
      <c r="X100" s="124">
        <v>340</v>
      </c>
      <c r="Y100" s="124"/>
    </row>
    <row r="101" spans="1:25" x14ac:dyDescent="0.25">
      <c r="A101" s="118" t="s">
        <v>836</v>
      </c>
      <c r="B101" s="115" t="s">
        <v>672</v>
      </c>
      <c r="C101" s="116">
        <v>1</v>
      </c>
      <c r="D101" s="115" t="s">
        <v>1525</v>
      </c>
      <c r="F101" s="56">
        <v>0</v>
      </c>
      <c r="G101" s="61">
        <v>319269</v>
      </c>
      <c r="H101" s="56" t="s">
        <v>1095</v>
      </c>
      <c r="J101" s="56">
        <v>1</v>
      </c>
      <c r="K101" s="128" t="s">
        <v>704</v>
      </c>
      <c r="L101" s="56">
        <v>520</v>
      </c>
      <c r="M101" s="56" t="s">
        <v>612</v>
      </c>
      <c r="N101" s="56">
        <v>550</v>
      </c>
      <c r="O101" s="64"/>
      <c r="T101" s="124">
        <v>0</v>
      </c>
      <c r="U101" s="125" t="s">
        <v>692</v>
      </c>
      <c r="V101" s="124">
        <v>1440</v>
      </c>
      <c r="W101" s="124" t="s">
        <v>693</v>
      </c>
      <c r="X101" s="124">
        <v>350</v>
      </c>
      <c r="Y101" s="124"/>
    </row>
    <row r="102" spans="1:25" x14ac:dyDescent="0.25">
      <c r="A102" s="118" t="s">
        <v>674</v>
      </c>
      <c r="B102" s="115" t="s">
        <v>837</v>
      </c>
      <c r="C102" s="116">
        <v>1</v>
      </c>
      <c r="D102" s="115" t="s">
        <v>838</v>
      </c>
      <c r="F102" s="56">
        <v>0</v>
      </c>
      <c r="G102" s="61">
        <v>330595</v>
      </c>
      <c r="H102" s="56" t="s">
        <v>1008</v>
      </c>
      <c r="J102" s="56">
        <v>0</v>
      </c>
      <c r="K102" s="128" t="s">
        <v>705</v>
      </c>
      <c r="L102" s="56">
        <v>192</v>
      </c>
      <c r="M102" s="56" t="s">
        <v>611</v>
      </c>
      <c r="N102" s="56">
        <v>350</v>
      </c>
      <c r="O102" s="64"/>
      <c r="T102" s="124">
        <v>0</v>
      </c>
      <c r="U102" s="125" t="s">
        <v>694</v>
      </c>
      <c r="V102" s="124">
        <v>1760</v>
      </c>
      <c r="W102" s="124" t="s">
        <v>614</v>
      </c>
      <c r="X102" s="124">
        <v>700</v>
      </c>
      <c r="Y102" s="124"/>
    </row>
    <row r="103" spans="1:25" x14ac:dyDescent="0.25">
      <c r="A103" s="118" t="s">
        <v>675</v>
      </c>
      <c r="B103" s="115" t="s">
        <v>678</v>
      </c>
      <c r="C103" s="116">
        <v>3</v>
      </c>
      <c r="D103" s="115" t="s">
        <v>839</v>
      </c>
      <c r="F103" s="56">
        <v>0</v>
      </c>
      <c r="G103" s="61">
        <v>332707</v>
      </c>
      <c r="H103" s="56" t="s">
        <v>1009</v>
      </c>
      <c r="J103" s="56">
        <v>0</v>
      </c>
      <c r="K103" s="128" t="s">
        <v>706</v>
      </c>
      <c r="L103" s="56">
        <v>396</v>
      </c>
      <c r="M103" s="56" t="s">
        <v>611</v>
      </c>
      <c r="N103" s="56">
        <v>600</v>
      </c>
      <c r="O103" s="64"/>
      <c r="T103" s="124">
        <v>0</v>
      </c>
      <c r="U103" s="125" t="s">
        <v>695</v>
      </c>
      <c r="V103" s="124">
        <v>3600</v>
      </c>
      <c r="W103" s="124" t="s">
        <v>686</v>
      </c>
      <c r="X103" s="124">
        <v>450</v>
      </c>
      <c r="Y103" s="124"/>
    </row>
    <row r="104" spans="1:25" x14ac:dyDescent="0.25">
      <c r="A104" s="118" t="s">
        <v>676</v>
      </c>
      <c r="B104" s="115" t="s">
        <v>672</v>
      </c>
      <c r="C104" s="116">
        <v>3</v>
      </c>
      <c r="D104" s="115" t="s">
        <v>840</v>
      </c>
      <c r="F104" s="56">
        <v>0</v>
      </c>
      <c r="G104" s="61">
        <v>347114</v>
      </c>
      <c r="H104" s="56" t="s">
        <v>1096</v>
      </c>
      <c r="J104" s="56">
        <v>0</v>
      </c>
      <c r="K104" s="128" t="s">
        <v>707</v>
      </c>
      <c r="L104" s="56">
        <v>800</v>
      </c>
      <c r="M104" s="56" t="s">
        <v>614</v>
      </c>
      <c r="N104" s="56">
        <v>700</v>
      </c>
      <c r="O104" s="64"/>
      <c r="T104" s="124">
        <v>0</v>
      </c>
      <c r="U104" s="125" t="s">
        <v>696</v>
      </c>
      <c r="V104" s="124">
        <v>2520</v>
      </c>
      <c r="W104" s="124" t="s">
        <v>697</v>
      </c>
      <c r="X104" s="124">
        <v>400</v>
      </c>
      <c r="Y104" s="124"/>
    </row>
    <row r="105" spans="1:25" x14ac:dyDescent="0.25">
      <c r="A105" s="118" t="s">
        <v>841</v>
      </c>
      <c r="B105" s="115" t="s">
        <v>672</v>
      </c>
      <c r="C105" s="116">
        <v>2</v>
      </c>
      <c r="D105" s="115" t="s">
        <v>1151</v>
      </c>
      <c r="F105" s="56">
        <v>0</v>
      </c>
      <c r="G105" s="61">
        <v>323411</v>
      </c>
      <c r="H105" s="56" t="s">
        <v>1010</v>
      </c>
      <c r="J105" s="56">
        <v>0</v>
      </c>
      <c r="K105" s="128" t="s">
        <v>708</v>
      </c>
      <c r="L105" s="56">
        <v>7560</v>
      </c>
      <c r="M105" s="56" t="s">
        <v>629</v>
      </c>
      <c r="N105" s="56">
        <v>500</v>
      </c>
      <c r="O105" s="64"/>
      <c r="T105" s="124">
        <v>0</v>
      </c>
      <c r="U105" s="125" t="s">
        <v>698</v>
      </c>
      <c r="V105" s="124">
        <v>1296</v>
      </c>
      <c r="W105" s="124" t="s">
        <v>693</v>
      </c>
      <c r="X105" s="124">
        <v>400</v>
      </c>
      <c r="Y105" s="124"/>
    </row>
    <row r="106" spans="1:25" x14ac:dyDescent="0.25">
      <c r="A106" s="118" t="s">
        <v>679</v>
      </c>
      <c r="B106" s="115" t="s">
        <v>680</v>
      </c>
      <c r="C106" s="116">
        <v>2</v>
      </c>
      <c r="D106" s="115" t="s">
        <v>842</v>
      </c>
      <c r="F106" s="56">
        <v>0</v>
      </c>
      <c r="G106" s="61">
        <v>367172</v>
      </c>
      <c r="H106" s="56" t="s">
        <v>1011</v>
      </c>
      <c r="J106" s="56">
        <v>0</v>
      </c>
      <c r="K106" s="128" t="s">
        <v>709</v>
      </c>
      <c r="L106" s="56">
        <v>500</v>
      </c>
      <c r="M106" s="56" t="s">
        <v>710</v>
      </c>
      <c r="N106" s="56">
        <v>500</v>
      </c>
      <c r="O106" s="64"/>
      <c r="T106" s="124">
        <v>0</v>
      </c>
      <c r="U106" s="125" t="s">
        <v>699</v>
      </c>
      <c r="V106" s="124">
        <v>420</v>
      </c>
      <c r="W106" s="124" t="s">
        <v>610</v>
      </c>
      <c r="X106" s="124">
        <v>950</v>
      </c>
      <c r="Y106" s="124"/>
    </row>
    <row r="107" spans="1:25" x14ac:dyDescent="0.25">
      <c r="A107" s="118" t="s">
        <v>681</v>
      </c>
      <c r="B107" s="115" t="s">
        <v>843</v>
      </c>
      <c r="C107" s="116">
        <v>2</v>
      </c>
      <c r="D107" s="115" t="s">
        <v>844</v>
      </c>
      <c r="F107" s="56">
        <v>0</v>
      </c>
      <c r="G107" s="61">
        <v>333998</v>
      </c>
      <c r="H107" s="56" t="s">
        <v>1012</v>
      </c>
      <c r="J107" s="56">
        <v>0</v>
      </c>
      <c r="K107" s="128" t="s">
        <v>711</v>
      </c>
      <c r="L107" s="56">
        <v>1440</v>
      </c>
      <c r="M107" s="56" t="s">
        <v>613</v>
      </c>
      <c r="N107" s="56">
        <v>350</v>
      </c>
      <c r="O107" s="64"/>
      <c r="T107" s="124">
        <v>0</v>
      </c>
      <c r="U107" s="125" t="s">
        <v>700</v>
      </c>
      <c r="V107" s="124">
        <v>1680</v>
      </c>
      <c r="W107" s="124" t="s">
        <v>613</v>
      </c>
      <c r="X107" s="124">
        <v>250</v>
      </c>
      <c r="Y107" s="124"/>
    </row>
    <row r="108" spans="1:25" x14ac:dyDescent="0.25">
      <c r="A108" s="118" t="s">
        <v>683</v>
      </c>
      <c r="B108" s="115" t="s">
        <v>684</v>
      </c>
      <c r="C108" s="116">
        <v>2</v>
      </c>
      <c r="D108" s="115" t="s">
        <v>846</v>
      </c>
      <c r="F108" s="56">
        <v>0</v>
      </c>
      <c r="G108" s="61">
        <v>331937</v>
      </c>
      <c r="H108" s="56" t="s">
        <v>1013</v>
      </c>
      <c r="J108" s="56">
        <v>0</v>
      </c>
      <c r="K108" s="128" t="s">
        <v>712</v>
      </c>
      <c r="L108" s="56">
        <v>8400</v>
      </c>
      <c r="M108" s="56" t="s">
        <v>614</v>
      </c>
      <c r="N108" s="56">
        <v>700</v>
      </c>
      <c r="O108" s="64"/>
      <c r="T108" s="124">
        <v>0</v>
      </c>
      <c r="U108" s="125" t="s">
        <v>701</v>
      </c>
      <c r="V108" s="124">
        <v>240</v>
      </c>
      <c r="W108" s="124" t="s">
        <v>611</v>
      </c>
      <c r="X108" s="124">
        <v>300</v>
      </c>
      <c r="Y108" s="124"/>
    </row>
    <row r="109" spans="1:25" x14ac:dyDescent="0.25">
      <c r="A109" s="118" t="s">
        <v>847</v>
      </c>
      <c r="B109" s="115" t="s">
        <v>686</v>
      </c>
      <c r="C109" s="116">
        <v>2</v>
      </c>
      <c r="D109" s="115" t="s">
        <v>848</v>
      </c>
      <c r="F109" s="56">
        <v>0</v>
      </c>
      <c r="G109" s="61">
        <v>334850</v>
      </c>
      <c r="H109" s="56" t="s">
        <v>1014</v>
      </c>
      <c r="J109" s="56">
        <v>0</v>
      </c>
      <c r="K109" s="128" t="s">
        <v>713</v>
      </c>
      <c r="L109" s="56">
        <v>10500</v>
      </c>
      <c r="M109" s="56" t="s">
        <v>614</v>
      </c>
      <c r="N109" s="56">
        <v>500</v>
      </c>
      <c r="O109" s="64"/>
      <c r="T109" s="124">
        <v>0</v>
      </c>
      <c r="U109" s="125" t="s">
        <v>702</v>
      </c>
      <c r="V109" s="124">
        <v>990</v>
      </c>
      <c r="W109" s="124" t="s">
        <v>703</v>
      </c>
      <c r="X109" s="124">
        <v>300</v>
      </c>
      <c r="Y109" s="124"/>
    </row>
    <row r="110" spans="1:25" x14ac:dyDescent="0.25">
      <c r="A110" s="118" t="s">
        <v>687</v>
      </c>
      <c r="B110" s="115" t="s">
        <v>686</v>
      </c>
      <c r="C110" s="116">
        <v>2</v>
      </c>
      <c r="D110" s="115" t="s">
        <v>849</v>
      </c>
      <c r="F110" s="56">
        <v>0</v>
      </c>
      <c r="G110" s="61">
        <v>38296</v>
      </c>
      <c r="H110" s="56" t="s">
        <v>1015</v>
      </c>
      <c r="J110" s="56">
        <v>1</v>
      </c>
      <c r="K110" s="128" t="s">
        <v>714</v>
      </c>
      <c r="L110" s="56">
        <v>1632</v>
      </c>
      <c r="M110" s="56" t="s">
        <v>672</v>
      </c>
      <c r="N110" s="56">
        <v>520</v>
      </c>
      <c r="O110" s="64"/>
      <c r="T110" s="124">
        <v>1</v>
      </c>
      <c r="U110" s="125" t="s">
        <v>704</v>
      </c>
      <c r="V110" s="124">
        <v>384</v>
      </c>
      <c r="W110" s="124" t="s">
        <v>611</v>
      </c>
      <c r="X110" s="124">
        <v>450</v>
      </c>
      <c r="Y110" s="124"/>
    </row>
    <row r="111" spans="1:25" x14ac:dyDescent="0.25">
      <c r="A111" s="118" t="s">
        <v>1168</v>
      </c>
      <c r="B111" s="115" t="s">
        <v>688</v>
      </c>
      <c r="C111" s="116">
        <v>3</v>
      </c>
      <c r="D111" s="115" t="s">
        <v>1669</v>
      </c>
      <c r="F111" s="56">
        <v>0</v>
      </c>
      <c r="G111" s="61">
        <v>338682</v>
      </c>
      <c r="H111" s="56" t="s">
        <v>1016</v>
      </c>
      <c r="J111" s="56">
        <v>1</v>
      </c>
      <c r="K111" s="128" t="s">
        <v>714</v>
      </c>
      <c r="L111" s="56">
        <v>1280</v>
      </c>
      <c r="M111" s="56" t="s">
        <v>672</v>
      </c>
      <c r="N111" s="56">
        <v>420</v>
      </c>
      <c r="O111" s="64"/>
      <c r="T111" s="124">
        <v>1</v>
      </c>
      <c r="U111" s="125" t="s">
        <v>704</v>
      </c>
      <c r="V111" s="124">
        <v>520</v>
      </c>
      <c r="W111" s="124" t="s">
        <v>612</v>
      </c>
      <c r="X111" s="124">
        <v>550</v>
      </c>
      <c r="Y111" s="124"/>
    </row>
    <row r="112" spans="1:25" x14ac:dyDescent="0.25">
      <c r="A112" s="118" t="s">
        <v>689</v>
      </c>
      <c r="B112" s="115" t="s">
        <v>1242</v>
      </c>
      <c r="C112" s="116">
        <v>18</v>
      </c>
      <c r="D112" s="115" t="s">
        <v>1152</v>
      </c>
      <c r="F112" s="56">
        <v>0</v>
      </c>
      <c r="G112" s="61">
        <v>337781</v>
      </c>
      <c r="H112" s="56" t="s">
        <v>1017</v>
      </c>
      <c r="J112" s="56">
        <v>1</v>
      </c>
      <c r="K112" s="128" t="s">
        <v>715</v>
      </c>
      <c r="L112" s="56">
        <v>1900</v>
      </c>
      <c r="M112" s="56" t="s">
        <v>632</v>
      </c>
      <c r="N112" s="56">
        <v>1650</v>
      </c>
      <c r="O112" s="64"/>
      <c r="T112" s="124">
        <v>0</v>
      </c>
      <c r="U112" s="125" t="s">
        <v>705</v>
      </c>
      <c r="V112" s="124">
        <v>192</v>
      </c>
      <c r="W112" s="124" t="s">
        <v>611</v>
      </c>
      <c r="X112" s="124">
        <v>350</v>
      </c>
      <c r="Y112" s="124"/>
    </row>
    <row r="113" spans="1:25" x14ac:dyDescent="0.25">
      <c r="A113" s="118" t="s">
        <v>1389</v>
      </c>
      <c r="B113" s="115" t="s">
        <v>688</v>
      </c>
      <c r="C113" s="116">
        <v>12</v>
      </c>
      <c r="D113" s="115" t="s">
        <v>850</v>
      </c>
      <c r="F113" s="56">
        <v>0</v>
      </c>
      <c r="G113" s="61">
        <v>366295</v>
      </c>
      <c r="H113" s="56" t="s">
        <v>1018</v>
      </c>
      <c r="J113" s="56">
        <v>1</v>
      </c>
      <c r="K113" s="128" t="s">
        <v>715</v>
      </c>
      <c r="L113" s="56">
        <v>2160</v>
      </c>
      <c r="M113" s="56" t="s">
        <v>611</v>
      </c>
      <c r="N113" s="56">
        <v>1450</v>
      </c>
      <c r="O113" s="64"/>
      <c r="T113" s="124">
        <v>0</v>
      </c>
      <c r="U113" s="125" t="s">
        <v>706</v>
      </c>
      <c r="V113" s="124">
        <v>396</v>
      </c>
      <c r="W113" s="124" t="s">
        <v>611</v>
      </c>
      <c r="X113" s="124">
        <v>600</v>
      </c>
      <c r="Y113" s="124"/>
    </row>
    <row r="114" spans="1:25" x14ac:dyDescent="0.25">
      <c r="A114" s="118" t="s">
        <v>1527</v>
      </c>
      <c r="B114" s="115" t="s">
        <v>1528</v>
      </c>
      <c r="C114" s="116" t="s">
        <v>602</v>
      </c>
      <c r="D114" s="115"/>
      <c r="F114" s="56">
        <v>0</v>
      </c>
      <c r="G114" s="61">
        <v>332106</v>
      </c>
      <c r="H114" s="56" t="s">
        <v>1019</v>
      </c>
      <c r="J114" s="56">
        <v>0</v>
      </c>
      <c r="K114" s="128" t="s">
        <v>716</v>
      </c>
      <c r="L114" s="56">
        <v>420</v>
      </c>
      <c r="M114" s="56" t="s">
        <v>718</v>
      </c>
      <c r="N114" s="56">
        <v>550</v>
      </c>
      <c r="O114" s="64"/>
      <c r="T114" s="124">
        <v>0</v>
      </c>
      <c r="U114" s="125" t="s">
        <v>707</v>
      </c>
      <c r="V114" s="124">
        <v>800</v>
      </c>
      <c r="W114" s="124" t="s">
        <v>614</v>
      </c>
      <c r="X114" s="124">
        <v>700</v>
      </c>
      <c r="Y114" s="124"/>
    </row>
    <row r="115" spans="1:25" x14ac:dyDescent="0.25">
      <c r="A115" s="118" t="s">
        <v>851</v>
      </c>
      <c r="B115" s="115" t="s">
        <v>614</v>
      </c>
      <c r="C115" s="116" t="s">
        <v>602</v>
      </c>
      <c r="D115" s="115"/>
      <c r="F115" s="56">
        <v>0</v>
      </c>
      <c r="G115" s="61">
        <v>331215</v>
      </c>
      <c r="H115" s="56" t="s">
        <v>1020</v>
      </c>
      <c r="J115" s="56">
        <v>0</v>
      </c>
      <c r="K115" s="128" t="s">
        <v>717</v>
      </c>
      <c r="L115" s="56">
        <v>1344</v>
      </c>
      <c r="M115" s="56" t="s">
        <v>720</v>
      </c>
      <c r="N115" s="56">
        <v>400</v>
      </c>
      <c r="O115" s="64"/>
      <c r="T115" s="124">
        <v>0</v>
      </c>
      <c r="U115" s="125" t="s">
        <v>708</v>
      </c>
      <c r="V115" s="124">
        <v>7560</v>
      </c>
      <c r="W115" s="124" t="s">
        <v>629</v>
      </c>
      <c r="X115" s="124">
        <v>600</v>
      </c>
      <c r="Y115" s="124"/>
    </row>
    <row r="116" spans="1:25" x14ac:dyDescent="0.25">
      <c r="A116" s="118" t="s">
        <v>694</v>
      </c>
      <c r="B116" s="115" t="s">
        <v>614</v>
      </c>
      <c r="C116" s="116" t="s">
        <v>602</v>
      </c>
      <c r="D116" s="117"/>
      <c r="F116" s="56">
        <v>0</v>
      </c>
      <c r="G116" s="61">
        <v>366383</v>
      </c>
      <c r="H116" s="56" t="s">
        <v>1021</v>
      </c>
      <c r="J116" s="56">
        <v>0</v>
      </c>
      <c r="K116" s="128" t="s">
        <v>719</v>
      </c>
      <c r="L116" s="56">
        <v>2736</v>
      </c>
      <c r="M116" s="56" t="s">
        <v>656</v>
      </c>
      <c r="N116" s="56">
        <v>250</v>
      </c>
      <c r="O116" s="64"/>
      <c r="T116" s="124">
        <v>0</v>
      </c>
      <c r="U116" s="125" t="s">
        <v>709</v>
      </c>
      <c r="V116" s="124">
        <v>500</v>
      </c>
      <c r="W116" s="124" t="s">
        <v>710</v>
      </c>
      <c r="X116" s="124">
        <v>500</v>
      </c>
      <c r="Y116" s="124"/>
    </row>
    <row r="117" spans="1:25" x14ac:dyDescent="0.25">
      <c r="A117" s="118" t="s">
        <v>1668</v>
      </c>
      <c r="B117" s="115" t="s">
        <v>686</v>
      </c>
      <c r="C117" s="116">
        <v>3</v>
      </c>
      <c r="D117" s="115" t="s">
        <v>852</v>
      </c>
      <c r="F117" s="56">
        <v>0</v>
      </c>
      <c r="G117" s="61">
        <v>351078</v>
      </c>
      <c r="H117" s="56" t="s">
        <v>1022</v>
      </c>
      <c r="J117" s="56">
        <v>0</v>
      </c>
      <c r="K117" s="128" t="s">
        <v>722</v>
      </c>
      <c r="L117" s="56">
        <v>4212</v>
      </c>
      <c r="M117" s="56" t="s">
        <v>672</v>
      </c>
      <c r="N117" s="56">
        <v>475</v>
      </c>
      <c r="O117" s="64"/>
      <c r="T117" s="124">
        <v>0</v>
      </c>
      <c r="U117" s="125" t="s">
        <v>870</v>
      </c>
      <c r="V117" s="124">
        <v>800</v>
      </c>
      <c r="W117" s="124" t="s">
        <v>871</v>
      </c>
      <c r="X117" s="124">
        <v>285</v>
      </c>
      <c r="Y117" s="124"/>
    </row>
    <row r="118" spans="1:25" x14ac:dyDescent="0.25">
      <c r="A118" s="118" t="s">
        <v>696</v>
      </c>
      <c r="B118" s="115" t="s">
        <v>697</v>
      </c>
      <c r="C118" s="116">
        <v>4</v>
      </c>
      <c r="D118" s="115" t="s">
        <v>853</v>
      </c>
      <c r="F118" s="56">
        <v>0</v>
      </c>
      <c r="G118" s="61">
        <v>332210</v>
      </c>
      <c r="H118" s="56" t="s">
        <v>1023</v>
      </c>
      <c r="J118" s="56">
        <v>0</v>
      </c>
      <c r="K118" s="128" t="s">
        <v>885</v>
      </c>
      <c r="L118" s="56">
        <v>4212</v>
      </c>
      <c r="M118" s="56" t="s">
        <v>672</v>
      </c>
      <c r="N118" s="56">
        <v>475</v>
      </c>
      <c r="O118" s="64"/>
      <c r="T118" s="124">
        <v>0</v>
      </c>
      <c r="U118" s="125" t="s">
        <v>711</v>
      </c>
      <c r="V118" s="124">
        <v>1440</v>
      </c>
      <c r="W118" s="124" t="s">
        <v>613</v>
      </c>
      <c r="X118" s="124">
        <v>350</v>
      </c>
      <c r="Y118" s="124"/>
    </row>
    <row r="119" spans="1:25" x14ac:dyDescent="0.25">
      <c r="A119" s="118" t="s">
        <v>854</v>
      </c>
      <c r="B119" s="115" t="s">
        <v>613</v>
      </c>
      <c r="C119" s="116">
        <v>4</v>
      </c>
      <c r="D119" s="115" t="s">
        <v>855</v>
      </c>
      <c r="F119" s="56">
        <v>0</v>
      </c>
      <c r="G119" s="61">
        <v>347828</v>
      </c>
      <c r="H119" s="56" t="s">
        <v>1267</v>
      </c>
      <c r="J119" s="56">
        <v>0</v>
      </c>
      <c r="K119" s="128" t="s">
        <v>724</v>
      </c>
      <c r="L119" s="56">
        <v>1440</v>
      </c>
      <c r="M119" s="56" t="s">
        <v>613</v>
      </c>
      <c r="N119" s="56">
        <v>300</v>
      </c>
      <c r="O119" s="64"/>
      <c r="T119" s="124">
        <v>0</v>
      </c>
      <c r="U119" s="125" t="s">
        <v>712</v>
      </c>
      <c r="V119" s="124">
        <v>8400</v>
      </c>
      <c r="W119" s="124" t="s">
        <v>614</v>
      </c>
      <c r="X119" s="124">
        <v>700</v>
      </c>
      <c r="Y119" s="124"/>
    </row>
    <row r="120" spans="1:25" x14ac:dyDescent="0.25">
      <c r="A120" s="118" t="s">
        <v>699</v>
      </c>
      <c r="B120" s="115" t="s">
        <v>856</v>
      </c>
      <c r="C120" s="116">
        <v>1</v>
      </c>
      <c r="D120" s="115" t="s">
        <v>857</v>
      </c>
      <c r="F120" s="56">
        <v>0</v>
      </c>
      <c r="G120" s="61">
        <v>312976</v>
      </c>
      <c r="H120" s="56" t="s">
        <v>1209</v>
      </c>
      <c r="J120" s="56">
        <v>0</v>
      </c>
      <c r="K120" s="128" t="s">
        <v>725</v>
      </c>
      <c r="L120" s="56">
        <v>3600</v>
      </c>
      <c r="M120" s="56" t="s">
        <v>686</v>
      </c>
      <c r="N120" s="56">
        <v>450</v>
      </c>
      <c r="O120" s="64"/>
      <c r="T120" s="124">
        <v>0</v>
      </c>
      <c r="U120" s="125" t="s">
        <v>713</v>
      </c>
      <c r="V120" s="124">
        <v>10500</v>
      </c>
      <c r="W120" s="124" t="s">
        <v>614</v>
      </c>
      <c r="X120" s="124">
        <v>500</v>
      </c>
      <c r="Y120" s="124"/>
    </row>
    <row r="121" spans="1:25" x14ac:dyDescent="0.25">
      <c r="A121" s="118" t="s">
        <v>700</v>
      </c>
      <c r="B121" s="115" t="s">
        <v>858</v>
      </c>
      <c r="C121" s="116">
        <v>4</v>
      </c>
      <c r="D121" s="115" t="s">
        <v>1178</v>
      </c>
      <c r="F121" s="56">
        <v>0</v>
      </c>
      <c r="G121" s="61">
        <v>378808</v>
      </c>
      <c r="H121" s="56" t="s">
        <v>1210</v>
      </c>
      <c r="J121" s="56">
        <v>0</v>
      </c>
      <c r="K121" s="128" t="s">
        <v>1667</v>
      </c>
      <c r="L121" s="56">
        <v>3600</v>
      </c>
      <c r="M121" s="115" t="s">
        <v>686</v>
      </c>
      <c r="N121" s="56">
        <v>450</v>
      </c>
      <c r="O121" s="64"/>
      <c r="T121" s="124">
        <v>1</v>
      </c>
      <c r="U121" s="125" t="s">
        <v>714</v>
      </c>
      <c r="V121" s="124">
        <v>1632</v>
      </c>
      <c r="W121" s="124" t="s">
        <v>672</v>
      </c>
      <c r="X121" s="124">
        <v>520</v>
      </c>
      <c r="Y121" s="124"/>
    </row>
    <row r="122" spans="1:25" x14ac:dyDescent="0.25">
      <c r="A122" s="118" t="s">
        <v>701</v>
      </c>
      <c r="B122" s="115" t="s">
        <v>611</v>
      </c>
      <c r="C122" s="116">
        <v>12</v>
      </c>
      <c r="D122" s="115" t="s">
        <v>859</v>
      </c>
      <c r="F122" s="56">
        <v>0</v>
      </c>
      <c r="G122" s="61">
        <v>382750</v>
      </c>
      <c r="H122" s="56" t="s">
        <v>1024</v>
      </c>
      <c r="J122" s="56">
        <v>0</v>
      </c>
      <c r="K122" s="128" t="s">
        <v>895</v>
      </c>
      <c r="L122" s="56">
        <v>600</v>
      </c>
      <c r="M122" s="56" t="s">
        <v>731</v>
      </c>
      <c r="N122" s="56">
        <v>400</v>
      </c>
      <c r="O122" s="64"/>
      <c r="T122" s="124">
        <v>1</v>
      </c>
      <c r="U122" s="125" t="s">
        <v>714</v>
      </c>
      <c r="V122" s="124">
        <v>1280</v>
      </c>
      <c r="W122" s="124" t="s">
        <v>672</v>
      </c>
      <c r="X122" s="124">
        <v>420</v>
      </c>
      <c r="Y122" s="124"/>
    </row>
    <row r="123" spans="1:25" x14ac:dyDescent="0.25">
      <c r="A123" s="118" t="s">
        <v>702</v>
      </c>
      <c r="B123" s="115" t="s">
        <v>860</v>
      </c>
      <c r="C123" s="116">
        <v>3</v>
      </c>
      <c r="D123" s="115" t="s">
        <v>861</v>
      </c>
      <c r="F123" s="56">
        <v>0</v>
      </c>
      <c r="G123" s="61">
        <v>372380</v>
      </c>
      <c r="H123" s="56" t="s">
        <v>1025</v>
      </c>
      <c r="J123" s="56">
        <v>0</v>
      </c>
      <c r="K123" s="128" t="s">
        <v>728</v>
      </c>
      <c r="L123" s="56">
        <v>1800</v>
      </c>
      <c r="M123" s="56" t="s">
        <v>731</v>
      </c>
      <c r="N123" s="56">
        <v>400</v>
      </c>
      <c r="O123" s="64"/>
      <c r="T123" s="124">
        <v>0</v>
      </c>
      <c r="U123" s="125" t="s">
        <v>721</v>
      </c>
      <c r="V123" s="124">
        <v>840</v>
      </c>
      <c r="W123" s="124" t="s">
        <v>660</v>
      </c>
      <c r="X123" s="124">
        <v>170</v>
      </c>
      <c r="Y123" s="124"/>
    </row>
    <row r="124" spans="1:25" x14ac:dyDescent="0.25">
      <c r="A124" s="118" t="s">
        <v>704</v>
      </c>
      <c r="B124" s="115" t="s">
        <v>862</v>
      </c>
      <c r="C124" s="116">
        <v>3</v>
      </c>
      <c r="D124" s="115" t="s">
        <v>863</v>
      </c>
      <c r="F124" s="56">
        <v>0</v>
      </c>
      <c r="G124" s="61">
        <v>339739</v>
      </c>
      <c r="H124" s="56" t="s">
        <v>1026</v>
      </c>
      <c r="J124" s="56">
        <v>0</v>
      </c>
      <c r="K124" s="128" t="s">
        <v>730</v>
      </c>
      <c r="L124" s="56">
        <v>1800</v>
      </c>
      <c r="M124" s="56" t="s">
        <v>731</v>
      </c>
      <c r="N124" s="56">
        <v>450</v>
      </c>
      <c r="O124" s="64"/>
      <c r="T124" s="124">
        <v>1</v>
      </c>
      <c r="U124" s="125" t="s">
        <v>715</v>
      </c>
      <c r="V124" s="124">
        <v>1900</v>
      </c>
      <c r="W124" s="124" t="s">
        <v>632</v>
      </c>
      <c r="X124" s="124">
        <v>1650</v>
      </c>
      <c r="Y124" s="124"/>
    </row>
    <row r="125" spans="1:25" x14ac:dyDescent="0.25">
      <c r="A125" s="118" t="s">
        <v>705</v>
      </c>
      <c r="B125" s="115" t="s">
        <v>611</v>
      </c>
      <c r="C125" s="116">
        <v>1</v>
      </c>
      <c r="D125" s="115" t="s">
        <v>864</v>
      </c>
      <c r="F125" s="56">
        <v>0</v>
      </c>
      <c r="G125" s="61">
        <v>332091</v>
      </c>
      <c r="H125" s="56" t="s">
        <v>1027</v>
      </c>
      <c r="J125" s="56">
        <v>1</v>
      </c>
      <c r="K125" s="128" t="s">
        <v>732</v>
      </c>
      <c r="L125" s="56">
        <v>255</v>
      </c>
      <c r="M125" s="56" t="s">
        <v>611</v>
      </c>
      <c r="N125" s="56">
        <v>350</v>
      </c>
      <c r="O125" s="64"/>
      <c r="T125" s="124">
        <v>1</v>
      </c>
      <c r="U125" s="125" t="s">
        <v>715</v>
      </c>
      <c r="V125" s="124">
        <v>2160</v>
      </c>
      <c r="W125" s="124" t="s">
        <v>611</v>
      </c>
      <c r="X125" s="124">
        <v>1450</v>
      </c>
      <c r="Y125" s="124"/>
    </row>
    <row r="126" spans="1:25" x14ac:dyDescent="0.25">
      <c r="A126" s="118" t="s">
        <v>706</v>
      </c>
      <c r="B126" s="115" t="s">
        <v>611</v>
      </c>
      <c r="C126" s="116">
        <v>9</v>
      </c>
      <c r="D126" s="115" t="s">
        <v>865</v>
      </c>
      <c r="F126" s="56">
        <v>0</v>
      </c>
      <c r="G126" s="61">
        <v>558498</v>
      </c>
      <c r="H126" s="56" t="s">
        <v>1028</v>
      </c>
      <c r="J126" s="56">
        <v>1</v>
      </c>
      <c r="K126" s="128" t="s">
        <v>732</v>
      </c>
      <c r="L126" s="56">
        <v>576</v>
      </c>
      <c r="M126" s="56" t="s">
        <v>734</v>
      </c>
      <c r="N126" s="56">
        <v>450</v>
      </c>
      <c r="O126" s="64"/>
      <c r="T126" s="124">
        <v>0</v>
      </c>
      <c r="U126" s="125" t="s">
        <v>716</v>
      </c>
      <c r="V126" s="124">
        <v>420</v>
      </c>
      <c r="W126" s="124" t="s">
        <v>718</v>
      </c>
      <c r="X126" s="124">
        <v>550</v>
      </c>
      <c r="Y126" s="124"/>
    </row>
    <row r="127" spans="1:25" x14ac:dyDescent="0.25">
      <c r="A127" s="118" t="s">
        <v>707</v>
      </c>
      <c r="B127" s="115" t="s">
        <v>866</v>
      </c>
      <c r="C127" s="116">
        <v>6</v>
      </c>
      <c r="D127" s="115" t="s">
        <v>867</v>
      </c>
      <c r="F127" s="56">
        <v>0</v>
      </c>
      <c r="G127" s="61">
        <v>376607</v>
      </c>
      <c r="H127" s="56" t="s">
        <v>1029</v>
      </c>
      <c r="J127" s="56">
        <v>0</v>
      </c>
      <c r="K127" s="128" t="s">
        <v>735</v>
      </c>
      <c r="L127" s="56">
        <v>576</v>
      </c>
      <c r="M127" s="56" t="s">
        <v>656</v>
      </c>
      <c r="N127" s="56">
        <v>275</v>
      </c>
      <c r="O127" s="64"/>
      <c r="T127" s="124">
        <v>0</v>
      </c>
      <c r="U127" s="125" t="s">
        <v>717</v>
      </c>
      <c r="V127" s="124">
        <v>1344</v>
      </c>
      <c r="W127" s="124" t="s">
        <v>720</v>
      </c>
      <c r="X127" s="124">
        <v>400</v>
      </c>
      <c r="Y127" s="124"/>
    </row>
    <row r="128" spans="1:25" x14ac:dyDescent="0.25">
      <c r="A128" s="118" t="s">
        <v>708</v>
      </c>
      <c r="B128" s="115" t="s">
        <v>629</v>
      </c>
      <c r="C128" s="116">
        <v>3</v>
      </c>
      <c r="D128" s="115" t="s">
        <v>1153</v>
      </c>
      <c r="F128" s="56">
        <v>0</v>
      </c>
      <c r="G128" s="61">
        <v>331653</v>
      </c>
      <c r="H128" s="56" t="s">
        <v>1030</v>
      </c>
      <c r="J128" s="56">
        <v>0</v>
      </c>
      <c r="K128" s="128" t="s">
        <v>736</v>
      </c>
      <c r="L128" s="56">
        <v>180</v>
      </c>
      <c r="M128" s="56" t="s">
        <v>611</v>
      </c>
      <c r="N128" s="56">
        <v>300</v>
      </c>
      <c r="O128" s="64"/>
      <c r="T128" s="124">
        <v>0</v>
      </c>
      <c r="U128" s="125" t="s">
        <v>719</v>
      </c>
      <c r="V128" s="124">
        <v>2736</v>
      </c>
      <c r="W128" s="124" t="s">
        <v>656</v>
      </c>
      <c r="X128" s="124">
        <v>250</v>
      </c>
      <c r="Y128" s="124"/>
    </row>
    <row r="129" spans="1:25" x14ac:dyDescent="0.25">
      <c r="A129" s="118" t="s">
        <v>709</v>
      </c>
      <c r="B129" s="115" t="s">
        <v>868</v>
      </c>
      <c r="C129" s="116">
        <v>2</v>
      </c>
      <c r="D129" s="115" t="s">
        <v>869</v>
      </c>
      <c r="F129" s="56">
        <v>0</v>
      </c>
      <c r="G129" s="61">
        <v>339449</v>
      </c>
      <c r="H129" s="56" t="s">
        <v>1031</v>
      </c>
      <c r="J129" s="56">
        <v>0</v>
      </c>
      <c r="K129" s="128" t="s">
        <v>743</v>
      </c>
      <c r="L129" s="56">
        <v>324</v>
      </c>
      <c r="M129" s="56" t="s">
        <v>1120</v>
      </c>
      <c r="N129" s="56">
        <v>275</v>
      </c>
      <c r="O129" s="64"/>
      <c r="T129" s="124">
        <v>0</v>
      </c>
      <c r="U129" s="125" t="s">
        <v>722</v>
      </c>
      <c r="V129" s="124">
        <v>4212</v>
      </c>
      <c r="W129" s="124" t="s">
        <v>672</v>
      </c>
      <c r="X129" s="124">
        <v>475</v>
      </c>
      <c r="Y129" s="124"/>
    </row>
    <row r="130" spans="1:25" x14ac:dyDescent="0.25">
      <c r="A130" s="118" t="s">
        <v>872</v>
      </c>
      <c r="B130" s="115" t="s">
        <v>873</v>
      </c>
      <c r="C130" s="116" t="s">
        <v>602</v>
      </c>
      <c r="D130" s="115"/>
      <c r="F130" s="56">
        <v>0</v>
      </c>
      <c r="G130" s="61">
        <v>331872</v>
      </c>
      <c r="H130" s="56" t="s">
        <v>1032</v>
      </c>
      <c r="J130" s="56">
        <v>0</v>
      </c>
      <c r="K130" s="128" t="s">
        <v>737</v>
      </c>
      <c r="L130" s="56">
        <v>3276</v>
      </c>
      <c r="M130" s="56" t="s">
        <v>672</v>
      </c>
      <c r="N130" s="56">
        <v>620</v>
      </c>
      <c r="O130" s="64"/>
      <c r="T130" s="124">
        <v>0</v>
      </c>
      <c r="U130" s="125" t="s">
        <v>723</v>
      </c>
      <c r="V130" s="124">
        <v>4212</v>
      </c>
      <c r="W130" s="124" t="s">
        <v>672</v>
      </c>
      <c r="X130" s="124">
        <v>475</v>
      </c>
      <c r="Y130" s="124"/>
    </row>
    <row r="131" spans="1:25" x14ac:dyDescent="0.25">
      <c r="A131" s="118" t="s">
        <v>711</v>
      </c>
      <c r="B131" s="115" t="s">
        <v>613</v>
      </c>
      <c r="C131" s="116">
        <v>14</v>
      </c>
      <c r="D131" s="115" t="s">
        <v>874</v>
      </c>
      <c r="F131" s="56">
        <v>0</v>
      </c>
      <c r="G131" s="61">
        <v>330854</v>
      </c>
      <c r="H131" s="56" t="s">
        <v>1033</v>
      </c>
      <c r="J131" s="56">
        <v>0</v>
      </c>
      <c r="K131" s="128" t="s">
        <v>738</v>
      </c>
      <c r="L131" s="56">
        <v>3276</v>
      </c>
      <c r="M131" s="56" t="s">
        <v>672</v>
      </c>
      <c r="N131" s="56">
        <v>620</v>
      </c>
      <c r="O131" s="64"/>
      <c r="T131" s="124">
        <v>0</v>
      </c>
      <c r="U131" s="125" t="s">
        <v>724</v>
      </c>
      <c r="V131" s="124">
        <v>1440</v>
      </c>
      <c r="W131" s="124" t="s">
        <v>613</v>
      </c>
      <c r="X131" s="124">
        <v>300</v>
      </c>
      <c r="Y131" s="124"/>
    </row>
    <row r="132" spans="1:25" x14ac:dyDescent="0.25">
      <c r="A132" s="118" t="s">
        <v>712</v>
      </c>
      <c r="B132" s="115" t="s">
        <v>866</v>
      </c>
      <c r="C132" s="116">
        <v>3</v>
      </c>
      <c r="D132" s="115" t="s">
        <v>875</v>
      </c>
      <c r="F132" s="56">
        <v>0</v>
      </c>
      <c r="G132" s="61">
        <v>331204</v>
      </c>
      <c r="H132" s="56" t="s">
        <v>1034</v>
      </c>
      <c r="J132" s="56">
        <v>0</v>
      </c>
      <c r="K132" s="128" t="s">
        <v>740</v>
      </c>
      <c r="L132" s="56">
        <v>312</v>
      </c>
      <c r="M132" s="56" t="s">
        <v>611</v>
      </c>
      <c r="N132" s="56">
        <v>450</v>
      </c>
      <c r="O132" s="64"/>
      <c r="T132" s="124">
        <v>0</v>
      </c>
      <c r="U132" s="125" t="s">
        <v>725</v>
      </c>
      <c r="V132" s="124">
        <v>3600</v>
      </c>
      <c r="W132" s="124" t="s">
        <v>686</v>
      </c>
      <c r="X132" s="124">
        <v>450</v>
      </c>
      <c r="Y132" s="124"/>
    </row>
    <row r="133" spans="1:25" x14ac:dyDescent="0.25">
      <c r="A133" s="118" t="s">
        <v>713</v>
      </c>
      <c r="B133" s="115" t="s">
        <v>876</v>
      </c>
      <c r="C133" s="116">
        <v>6</v>
      </c>
      <c r="D133" s="115" t="s">
        <v>877</v>
      </c>
      <c r="F133" s="56">
        <v>0</v>
      </c>
      <c r="G133" s="61">
        <v>324265</v>
      </c>
      <c r="H133" s="56" t="s">
        <v>1035</v>
      </c>
      <c r="J133" s="56">
        <v>0</v>
      </c>
      <c r="K133" s="128" t="s">
        <v>739</v>
      </c>
      <c r="L133" s="56">
        <v>408</v>
      </c>
      <c r="M133" s="56" t="s">
        <v>741</v>
      </c>
      <c r="N133" s="56">
        <v>350</v>
      </c>
      <c r="O133" s="64"/>
      <c r="T133" s="124">
        <v>0</v>
      </c>
      <c r="U133" s="125" t="s">
        <v>726</v>
      </c>
      <c r="V133" s="124">
        <v>3600</v>
      </c>
      <c r="W133" s="124" t="s">
        <v>686</v>
      </c>
      <c r="X133" s="124">
        <v>450</v>
      </c>
      <c r="Y133" s="124"/>
    </row>
    <row r="134" spans="1:25" x14ac:dyDescent="0.25">
      <c r="A134" s="118" t="s">
        <v>714</v>
      </c>
      <c r="B134" s="115" t="s">
        <v>672</v>
      </c>
      <c r="C134" s="116">
        <v>3</v>
      </c>
      <c r="D134" s="115" t="s">
        <v>878</v>
      </c>
      <c r="F134" s="56">
        <v>0</v>
      </c>
      <c r="G134" s="61">
        <v>380321</v>
      </c>
      <c r="H134" s="56" t="s">
        <v>1036</v>
      </c>
      <c r="J134" s="56">
        <v>0</v>
      </c>
      <c r="K134" s="128" t="s">
        <v>902</v>
      </c>
      <c r="L134" s="56">
        <v>96</v>
      </c>
      <c r="M134" s="56" t="s">
        <v>1121</v>
      </c>
      <c r="N134" s="56">
        <v>300</v>
      </c>
      <c r="O134" s="64"/>
      <c r="T134" s="124">
        <v>0</v>
      </c>
      <c r="U134" s="125" t="s">
        <v>733</v>
      </c>
      <c r="V134" s="124">
        <v>800</v>
      </c>
      <c r="W134" s="124" t="s">
        <v>871</v>
      </c>
      <c r="X134" s="124">
        <v>200</v>
      </c>
      <c r="Y134" s="124"/>
    </row>
    <row r="135" spans="1:25" x14ac:dyDescent="0.25">
      <c r="A135" s="118" t="s">
        <v>715</v>
      </c>
      <c r="B135" s="115" t="s">
        <v>879</v>
      </c>
      <c r="C135" s="116">
        <v>1</v>
      </c>
      <c r="D135" s="115" t="s">
        <v>1154</v>
      </c>
      <c r="F135" s="56">
        <v>0</v>
      </c>
      <c r="G135" s="61">
        <v>380233</v>
      </c>
      <c r="H135" s="56" t="s">
        <v>1037</v>
      </c>
      <c r="J135" s="56">
        <v>0</v>
      </c>
      <c r="K135" s="128" t="s">
        <v>742</v>
      </c>
      <c r="L135" s="56">
        <v>240</v>
      </c>
      <c r="M135" s="56" t="s">
        <v>690</v>
      </c>
      <c r="N135" s="56">
        <v>700</v>
      </c>
      <c r="O135" s="64"/>
      <c r="T135" s="124">
        <v>0</v>
      </c>
      <c r="U135" s="125" t="s">
        <v>727</v>
      </c>
      <c r="V135" s="124">
        <v>432</v>
      </c>
      <c r="W135" s="124" t="s">
        <v>729</v>
      </c>
      <c r="X135" s="124">
        <v>250</v>
      </c>
      <c r="Y135" s="124"/>
    </row>
    <row r="136" spans="1:25" x14ac:dyDescent="0.25">
      <c r="A136" s="118" t="s">
        <v>716</v>
      </c>
      <c r="B136" s="115" t="s">
        <v>880</v>
      </c>
      <c r="C136" s="116">
        <v>3</v>
      </c>
      <c r="D136" s="115" t="s">
        <v>881</v>
      </c>
      <c r="F136" s="56">
        <v>0</v>
      </c>
      <c r="G136" s="61">
        <v>392494</v>
      </c>
      <c r="H136" s="56" t="s">
        <v>1211</v>
      </c>
      <c r="J136" s="56">
        <v>0</v>
      </c>
      <c r="K136" s="128" t="s">
        <v>744</v>
      </c>
      <c r="L136" s="56">
        <v>600</v>
      </c>
      <c r="M136" s="56" t="s">
        <v>745</v>
      </c>
      <c r="N136" s="56">
        <v>500</v>
      </c>
      <c r="O136" s="64"/>
      <c r="T136" s="124">
        <v>0</v>
      </c>
      <c r="U136" s="125" t="s">
        <v>895</v>
      </c>
      <c r="V136" s="124">
        <v>600</v>
      </c>
      <c r="W136" s="124" t="s">
        <v>731</v>
      </c>
      <c r="X136" s="124">
        <v>400</v>
      </c>
      <c r="Y136" s="124"/>
    </row>
    <row r="137" spans="1:25" x14ac:dyDescent="0.25">
      <c r="A137" s="118" t="s">
        <v>717</v>
      </c>
      <c r="B137" s="115" t="s">
        <v>720</v>
      </c>
      <c r="C137" s="116">
        <v>6</v>
      </c>
      <c r="D137" s="115" t="s">
        <v>882</v>
      </c>
      <c r="F137" s="56">
        <v>0</v>
      </c>
      <c r="G137" s="61">
        <v>332354</v>
      </c>
      <c r="H137" s="56" t="s">
        <v>1038</v>
      </c>
      <c r="J137" s="56">
        <v>0</v>
      </c>
      <c r="K137" s="128" t="s">
        <v>1181</v>
      </c>
      <c r="L137" s="56">
        <v>1152</v>
      </c>
      <c r="M137" s="56" t="s">
        <v>672</v>
      </c>
      <c r="N137" s="56">
        <v>300</v>
      </c>
      <c r="O137" s="64"/>
      <c r="T137" s="124">
        <v>0</v>
      </c>
      <c r="U137" s="125" t="s">
        <v>728</v>
      </c>
      <c r="V137" s="124">
        <v>1800</v>
      </c>
      <c r="W137" s="124" t="s">
        <v>731</v>
      </c>
      <c r="X137" s="124">
        <v>400</v>
      </c>
      <c r="Y137" s="124"/>
    </row>
    <row r="138" spans="1:25" x14ac:dyDescent="0.25">
      <c r="A138" s="118" t="s">
        <v>719</v>
      </c>
      <c r="B138" s="115" t="s">
        <v>883</v>
      </c>
      <c r="C138" s="116">
        <v>3</v>
      </c>
      <c r="D138" s="115" t="s">
        <v>884</v>
      </c>
      <c r="F138" s="56">
        <v>0</v>
      </c>
      <c r="G138" s="61">
        <v>380347</v>
      </c>
      <c r="H138" s="56" t="s">
        <v>1097</v>
      </c>
      <c r="J138" s="56">
        <v>0</v>
      </c>
      <c r="K138" s="128" t="s">
        <v>1530</v>
      </c>
      <c r="L138" s="56">
        <v>864</v>
      </c>
      <c r="M138" s="115" t="s">
        <v>672</v>
      </c>
      <c r="N138" s="56">
        <v>400</v>
      </c>
      <c r="O138" s="64"/>
      <c r="T138" s="124">
        <v>0</v>
      </c>
      <c r="U138" s="125" t="s">
        <v>730</v>
      </c>
      <c r="V138" s="124">
        <v>1800</v>
      </c>
      <c r="W138" s="124" t="s">
        <v>731</v>
      </c>
      <c r="X138" s="124">
        <v>450</v>
      </c>
      <c r="Y138" s="124"/>
    </row>
    <row r="139" spans="1:25" x14ac:dyDescent="0.25">
      <c r="A139" s="118" t="s">
        <v>722</v>
      </c>
      <c r="B139" s="115" t="s">
        <v>672</v>
      </c>
      <c r="C139" s="116">
        <v>2</v>
      </c>
      <c r="D139" s="115" t="s">
        <v>1155</v>
      </c>
      <c r="F139" s="56">
        <v>0</v>
      </c>
      <c r="G139" s="61">
        <v>339342</v>
      </c>
      <c r="H139" s="56" t="s">
        <v>1039</v>
      </c>
      <c r="J139" s="56">
        <v>0</v>
      </c>
      <c r="K139" s="128" t="s">
        <v>746</v>
      </c>
      <c r="L139" s="56">
        <v>336</v>
      </c>
      <c r="M139" s="56" t="s">
        <v>729</v>
      </c>
      <c r="N139" s="56">
        <v>125</v>
      </c>
      <c r="O139" s="64"/>
      <c r="T139" s="124">
        <v>1</v>
      </c>
      <c r="U139" s="125" t="s">
        <v>732</v>
      </c>
      <c r="V139" s="124">
        <v>255</v>
      </c>
      <c r="W139" s="124" t="s">
        <v>611</v>
      </c>
      <c r="X139" s="124">
        <v>350</v>
      </c>
      <c r="Y139" s="124"/>
    </row>
    <row r="140" spans="1:25" x14ac:dyDescent="0.25">
      <c r="A140" s="118" t="s">
        <v>885</v>
      </c>
      <c r="B140" s="115" t="s">
        <v>672</v>
      </c>
      <c r="C140" s="116">
        <v>2</v>
      </c>
      <c r="D140" s="115" t="s">
        <v>1156</v>
      </c>
      <c r="F140" s="56">
        <v>0</v>
      </c>
      <c r="G140" s="61">
        <v>337362</v>
      </c>
      <c r="H140" s="56" t="s">
        <v>1098</v>
      </c>
      <c r="J140" s="56">
        <v>0</v>
      </c>
      <c r="K140" s="128" t="s">
        <v>747</v>
      </c>
      <c r="L140" s="56">
        <v>336</v>
      </c>
      <c r="M140" s="56" t="s">
        <v>729</v>
      </c>
      <c r="N140" s="56">
        <v>125</v>
      </c>
      <c r="O140" s="64"/>
      <c r="T140" s="124">
        <v>1</v>
      </c>
      <c r="U140" s="125" t="s">
        <v>732</v>
      </c>
      <c r="V140" s="124">
        <v>576</v>
      </c>
      <c r="W140" s="124" t="s">
        <v>734</v>
      </c>
      <c r="X140" s="124">
        <v>450</v>
      </c>
      <c r="Y140" s="124"/>
    </row>
    <row r="141" spans="1:25" x14ac:dyDescent="0.25">
      <c r="A141" s="118" t="s">
        <v>724</v>
      </c>
      <c r="B141" s="115" t="s">
        <v>613</v>
      </c>
      <c r="C141" s="116">
        <v>8</v>
      </c>
      <c r="D141" s="115" t="s">
        <v>886</v>
      </c>
      <c r="F141" s="56">
        <v>0</v>
      </c>
      <c r="G141" s="61">
        <v>338420</v>
      </c>
      <c r="H141" s="56" t="s">
        <v>1040</v>
      </c>
      <c r="J141" s="56">
        <v>0</v>
      </c>
      <c r="K141" s="128" t="s">
        <v>748</v>
      </c>
      <c r="L141" s="56">
        <v>528</v>
      </c>
      <c r="M141" s="56" t="s">
        <v>656</v>
      </c>
      <c r="N141" s="56">
        <v>350</v>
      </c>
      <c r="O141" s="64"/>
      <c r="T141" s="124">
        <v>0</v>
      </c>
      <c r="U141" s="125" t="s">
        <v>735</v>
      </c>
      <c r="V141" s="124">
        <v>576</v>
      </c>
      <c r="W141" s="124" t="s">
        <v>656</v>
      </c>
      <c r="X141" s="124">
        <v>275</v>
      </c>
      <c r="Y141" s="124"/>
    </row>
    <row r="142" spans="1:25" x14ac:dyDescent="0.25">
      <c r="A142" s="118" t="s">
        <v>725</v>
      </c>
      <c r="B142" s="115" t="s">
        <v>686</v>
      </c>
      <c r="C142" s="116">
        <v>1</v>
      </c>
      <c r="D142" s="115" t="s">
        <v>887</v>
      </c>
      <c r="F142" s="56">
        <v>0</v>
      </c>
      <c r="G142" s="61">
        <v>331137</v>
      </c>
      <c r="H142" s="56" t="s">
        <v>1041</v>
      </c>
      <c r="J142" s="56">
        <v>0</v>
      </c>
      <c r="K142" s="128" t="s">
        <v>751</v>
      </c>
      <c r="L142" s="56">
        <v>960</v>
      </c>
      <c r="M142" s="56" t="s">
        <v>697</v>
      </c>
      <c r="N142" s="56">
        <v>300</v>
      </c>
      <c r="O142" s="64"/>
      <c r="T142" s="124">
        <v>0</v>
      </c>
      <c r="U142" s="125" t="s">
        <v>736</v>
      </c>
      <c r="V142" s="124">
        <v>180</v>
      </c>
      <c r="W142" s="124" t="s">
        <v>611</v>
      </c>
      <c r="X142" s="124">
        <v>300</v>
      </c>
      <c r="Y142" s="124"/>
    </row>
    <row r="143" spans="1:25" x14ac:dyDescent="0.25">
      <c r="A143" s="118" t="s">
        <v>1667</v>
      </c>
      <c r="B143" s="115" t="s">
        <v>686</v>
      </c>
      <c r="C143" s="116">
        <v>2</v>
      </c>
      <c r="D143" s="115" t="s">
        <v>1666</v>
      </c>
      <c r="F143" s="56">
        <v>0</v>
      </c>
      <c r="G143" s="61">
        <v>336720</v>
      </c>
      <c r="H143" s="56" t="s">
        <v>1042</v>
      </c>
      <c r="J143" s="56">
        <v>0</v>
      </c>
      <c r="K143" s="128" t="s">
        <v>1184</v>
      </c>
      <c r="L143" s="56">
        <v>1920</v>
      </c>
      <c r="M143" s="115" t="s">
        <v>1185</v>
      </c>
      <c r="N143" s="56">
        <v>300</v>
      </c>
      <c r="O143" s="64"/>
      <c r="T143" s="124">
        <v>0</v>
      </c>
      <c r="U143" s="125" t="s">
        <v>743</v>
      </c>
      <c r="V143" s="124">
        <v>324</v>
      </c>
      <c r="W143" s="124" t="s">
        <v>1120</v>
      </c>
      <c r="X143" s="124">
        <v>275</v>
      </c>
      <c r="Y143" s="124"/>
    </row>
    <row r="144" spans="1:25" x14ac:dyDescent="0.25">
      <c r="A144" s="118" t="s">
        <v>888</v>
      </c>
      <c r="B144" s="115" t="s">
        <v>731</v>
      </c>
      <c r="C144" s="116" t="s">
        <v>602</v>
      </c>
      <c r="D144" s="115"/>
      <c r="F144" s="56">
        <v>0</v>
      </c>
      <c r="G144" s="61">
        <v>334859</v>
      </c>
      <c r="H144" s="56" t="s">
        <v>1043</v>
      </c>
      <c r="J144" s="56">
        <v>0</v>
      </c>
      <c r="K144" s="128" t="s">
        <v>1533</v>
      </c>
      <c r="L144" s="56">
        <v>1728</v>
      </c>
      <c r="M144" s="115" t="s">
        <v>1534</v>
      </c>
      <c r="N144" s="56">
        <v>250</v>
      </c>
      <c r="O144" s="64"/>
      <c r="T144" s="124">
        <v>0</v>
      </c>
      <c r="U144" s="125" t="s">
        <v>737</v>
      </c>
      <c r="V144" s="124">
        <v>3276</v>
      </c>
      <c r="W144" s="124" t="s">
        <v>672</v>
      </c>
      <c r="X144" s="124">
        <v>620</v>
      </c>
      <c r="Y144" s="124"/>
    </row>
    <row r="145" spans="1:25" x14ac:dyDescent="0.25">
      <c r="A145" s="118" t="s">
        <v>889</v>
      </c>
      <c r="B145" s="115" t="s">
        <v>729</v>
      </c>
      <c r="C145" s="116" t="s">
        <v>602</v>
      </c>
      <c r="D145" s="115"/>
      <c r="F145" s="56">
        <v>0</v>
      </c>
      <c r="G145" s="61">
        <v>91367</v>
      </c>
      <c r="H145" s="56" t="s">
        <v>1044</v>
      </c>
      <c r="J145" s="56">
        <v>0</v>
      </c>
      <c r="K145" s="128" t="s">
        <v>1532</v>
      </c>
      <c r="L145" s="56">
        <v>1728</v>
      </c>
      <c r="M145" s="115" t="s">
        <v>1534</v>
      </c>
      <c r="N145" s="56">
        <v>250</v>
      </c>
      <c r="O145" s="64"/>
      <c r="T145" s="124">
        <v>0</v>
      </c>
      <c r="U145" s="125" t="s">
        <v>738</v>
      </c>
      <c r="V145" s="124">
        <v>3276</v>
      </c>
      <c r="W145" s="124" t="s">
        <v>672</v>
      </c>
      <c r="X145" s="124">
        <v>620</v>
      </c>
      <c r="Y145" s="124"/>
    </row>
    <row r="146" spans="1:25" x14ac:dyDescent="0.25">
      <c r="A146" s="118" t="s">
        <v>890</v>
      </c>
      <c r="B146" s="115" t="s">
        <v>729</v>
      </c>
      <c r="C146" s="121" t="s">
        <v>602</v>
      </c>
      <c r="D146" s="115"/>
      <c r="F146" s="56">
        <v>0</v>
      </c>
      <c r="G146" s="61">
        <v>877605</v>
      </c>
      <c r="H146" s="56" t="s">
        <v>1045</v>
      </c>
      <c r="J146" s="56">
        <v>0</v>
      </c>
      <c r="K146" s="128" t="s">
        <v>758</v>
      </c>
      <c r="L146" s="56">
        <v>560</v>
      </c>
      <c r="M146" s="56" t="s">
        <v>764</v>
      </c>
      <c r="N146" s="56">
        <v>80</v>
      </c>
      <c r="O146" s="64"/>
      <c r="T146" s="124">
        <v>0</v>
      </c>
      <c r="U146" s="125" t="s">
        <v>740</v>
      </c>
      <c r="V146" s="124">
        <v>312</v>
      </c>
      <c r="W146" s="124" t="s">
        <v>611</v>
      </c>
      <c r="X146" s="124">
        <v>450</v>
      </c>
      <c r="Y146" s="124"/>
    </row>
    <row r="147" spans="1:25" x14ac:dyDescent="0.25">
      <c r="A147" s="118" t="s">
        <v>891</v>
      </c>
      <c r="B147" s="115" t="s">
        <v>729</v>
      </c>
      <c r="C147" s="116" t="s">
        <v>602</v>
      </c>
      <c r="D147" s="115"/>
      <c r="F147" s="56">
        <v>0</v>
      </c>
      <c r="G147" s="61">
        <v>378269</v>
      </c>
      <c r="H147" s="56" t="s">
        <v>1046</v>
      </c>
      <c r="J147" s="56">
        <v>0</v>
      </c>
      <c r="K147" s="128" t="s">
        <v>759</v>
      </c>
      <c r="L147" s="56">
        <v>1400</v>
      </c>
      <c r="M147" s="56" t="s">
        <v>764</v>
      </c>
      <c r="N147" s="56">
        <v>80</v>
      </c>
      <c r="O147" s="64"/>
      <c r="T147" s="124">
        <v>0</v>
      </c>
      <c r="U147" s="125" t="s">
        <v>739</v>
      </c>
      <c r="V147" s="124">
        <v>408</v>
      </c>
      <c r="W147" s="124" t="s">
        <v>741</v>
      </c>
      <c r="X147" s="124">
        <v>350</v>
      </c>
      <c r="Y147" s="124"/>
    </row>
    <row r="148" spans="1:25" x14ac:dyDescent="0.25">
      <c r="A148" s="118" t="s">
        <v>894</v>
      </c>
      <c r="B148" s="115" t="s">
        <v>892</v>
      </c>
      <c r="C148" s="116" t="s">
        <v>602</v>
      </c>
      <c r="D148" s="115"/>
      <c r="F148" s="56">
        <v>0</v>
      </c>
      <c r="G148" s="61">
        <v>335788</v>
      </c>
      <c r="H148" s="56" t="s">
        <v>1047</v>
      </c>
      <c r="J148" s="56">
        <v>0</v>
      </c>
      <c r="K148" s="128" t="s">
        <v>761</v>
      </c>
      <c r="L148" s="56">
        <v>720</v>
      </c>
      <c r="M148" s="56" t="s">
        <v>764</v>
      </c>
      <c r="N148" s="56">
        <v>300</v>
      </c>
      <c r="O148" s="64"/>
      <c r="T148" s="124">
        <v>0</v>
      </c>
      <c r="U148" s="125" t="s">
        <v>902</v>
      </c>
      <c r="V148" s="124">
        <v>96</v>
      </c>
      <c r="W148" s="124" t="s">
        <v>1121</v>
      </c>
      <c r="X148" s="124">
        <v>350</v>
      </c>
      <c r="Y148" s="124"/>
    </row>
    <row r="149" spans="1:25" x14ac:dyDescent="0.25">
      <c r="A149" s="118" t="s">
        <v>895</v>
      </c>
      <c r="B149" s="115" t="s">
        <v>731</v>
      </c>
      <c r="C149" s="116">
        <v>1</v>
      </c>
      <c r="D149" s="115" t="s">
        <v>1157</v>
      </c>
      <c r="F149" s="56">
        <v>0</v>
      </c>
      <c r="G149" s="61">
        <v>343961</v>
      </c>
      <c r="H149" s="56" t="s">
        <v>1048</v>
      </c>
      <c r="J149" s="56">
        <v>0</v>
      </c>
      <c r="K149" s="128" t="s">
        <v>762</v>
      </c>
      <c r="L149" s="56">
        <v>720</v>
      </c>
      <c r="M149" s="56" t="s">
        <v>764</v>
      </c>
      <c r="N149" s="56">
        <v>80</v>
      </c>
      <c r="O149" s="64"/>
      <c r="T149" s="124">
        <v>0</v>
      </c>
      <c r="U149" s="125" t="s">
        <v>742</v>
      </c>
      <c r="V149" s="124">
        <v>240</v>
      </c>
      <c r="W149" s="124" t="s">
        <v>690</v>
      </c>
      <c r="X149" s="124">
        <v>700</v>
      </c>
      <c r="Y149" s="124"/>
    </row>
    <row r="150" spans="1:25" x14ac:dyDescent="0.25">
      <c r="A150" s="118" t="s">
        <v>728</v>
      </c>
      <c r="B150" s="115" t="s">
        <v>1158</v>
      </c>
      <c r="C150" s="116">
        <v>3</v>
      </c>
      <c r="D150" s="117" t="s">
        <v>1270</v>
      </c>
      <c r="F150" s="56">
        <v>0</v>
      </c>
      <c r="G150" s="61">
        <v>368058</v>
      </c>
      <c r="H150" s="56" t="s">
        <v>1212</v>
      </c>
      <c r="J150" s="56">
        <v>0</v>
      </c>
      <c r="K150" s="129" t="s">
        <v>1280</v>
      </c>
      <c r="L150" s="56">
        <v>1920</v>
      </c>
      <c r="M150" s="56" t="s">
        <v>1291</v>
      </c>
      <c r="N150" s="56">
        <v>250</v>
      </c>
      <c r="O150" s="64"/>
      <c r="T150" s="124">
        <v>0</v>
      </c>
      <c r="U150" s="125" t="s">
        <v>744</v>
      </c>
      <c r="V150" s="124">
        <v>600</v>
      </c>
      <c r="W150" s="124" t="s">
        <v>745</v>
      </c>
      <c r="X150" s="124">
        <v>500</v>
      </c>
      <c r="Y150" s="124"/>
    </row>
    <row r="151" spans="1:25" x14ac:dyDescent="0.25">
      <c r="A151" s="118" t="s">
        <v>730</v>
      </c>
      <c r="B151" s="115" t="s">
        <v>1158</v>
      </c>
      <c r="C151" s="116">
        <v>3</v>
      </c>
      <c r="D151" s="117" t="s">
        <v>1271</v>
      </c>
      <c r="F151" s="56">
        <v>0</v>
      </c>
      <c r="G151" s="61">
        <v>706507</v>
      </c>
      <c r="H151" s="56" t="s">
        <v>1213</v>
      </c>
      <c r="J151" s="56">
        <v>0</v>
      </c>
      <c r="K151" s="128" t="s">
        <v>763</v>
      </c>
      <c r="L151" s="56">
        <v>624</v>
      </c>
      <c r="M151" s="56" t="s">
        <v>729</v>
      </c>
      <c r="N151" s="56">
        <v>300</v>
      </c>
      <c r="O151" s="64"/>
      <c r="T151" s="124">
        <v>0</v>
      </c>
      <c r="U151" s="125" t="s">
        <v>746</v>
      </c>
      <c r="V151" s="124">
        <v>336</v>
      </c>
      <c r="W151" s="124" t="s">
        <v>729</v>
      </c>
      <c r="X151" s="124">
        <v>125</v>
      </c>
      <c r="Y151" s="124"/>
    </row>
    <row r="152" spans="1:25" x14ac:dyDescent="0.25">
      <c r="A152" s="118" t="s">
        <v>732</v>
      </c>
      <c r="B152" s="115" t="s">
        <v>896</v>
      </c>
      <c r="C152" s="116">
        <v>12</v>
      </c>
      <c r="D152" s="115" t="s">
        <v>796</v>
      </c>
      <c r="F152" s="56">
        <v>0</v>
      </c>
      <c r="G152" s="61">
        <v>359459</v>
      </c>
      <c r="H152" s="56" t="s">
        <v>1049</v>
      </c>
      <c r="J152" s="56">
        <v>0</v>
      </c>
      <c r="K152" s="128" t="s">
        <v>765</v>
      </c>
      <c r="L152" s="56">
        <v>624</v>
      </c>
      <c r="M152" s="56" t="s">
        <v>729</v>
      </c>
      <c r="N152" s="56">
        <v>300</v>
      </c>
      <c r="O152" s="64"/>
      <c r="T152" s="124">
        <v>0</v>
      </c>
      <c r="U152" s="125" t="s">
        <v>747</v>
      </c>
      <c r="V152" s="124">
        <v>336</v>
      </c>
      <c r="W152" s="124" t="s">
        <v>729</v>
      </c>
      <c r="X152" s="124">
        <v>125</v>
      </c>
      <c r="Y152" s="124"/>
    </row>
    <row r="153" spans="1:25" x14ac:dyDescent="0.25">
      <c r="A153" s="118" t="s">
        <v>735</v>
      </c>
      <c r="B153" s="115" t="s">
        <v>656</v>
      </c>
      <c r="C153" s="116">
        <v>12</v>
      </c>
      <c r="D153" s="115" t="s">
        <v>1665</v>
      </c>
      <c r="F153" s="56">
        <v>0</v>
      </c>
      <c r="G153" s="61">
        <v>385121</v>
      </c>
      <c r="H153" s="56" t="s">
        <v>1050</v>
      </c>
      <c r="J153" s="56">
        <v>0</v>
      </c>
      <c r="K153" s="129" t="s">
        <v>752</v>
      </c>
      <c r="L153" s="56">
        <v>660</v>
      </c>
      <c r="M153" s="56" t="s">
        <v>760</v>
      </c>
      <c r="N153" s="56">
        <v>500</v>
      </c>
      <c r="O153" s="64"/>
      <c r="T153" s="124">
        <v>0</v>
      </c>
      <c r="U153" s="125" t="s">
        <v>748</v>
      </c>
      <c r="V153" s="124">
        <v>528</v>
      </c>
      <c r="W153" s="124" t="s">
        <v>656</v>
      </c>
      <c r="X153" s="124">
        <v>350</v>
      </c>
      <c r="Y153" s="124"/>
    </row>
    <row r="154" spans="1:25" x14ac:dyDescent="0.25">
      <c r="A154" s="118" t="s">
        <v>736</v>
      </c>
      <c r="B154" s="115" t="s">
        <v>611</v>
      </c>
      <c r="C154" s="116">
        <v>2</v>
      </c>
      <c r="D154" s="115" t="s">
        <v>898</v>
      </c>
      <c r="F154" s="56">
        <v>0</v>
      </c>
      <c r="G154" s="61">
        <v>389061</v>
      </c>
      <c r="H154" s="56" t="s">
        <v>1051</v>
      </c>
      <c r="J154" s="56">
        <v>0</v>
      </c>
      <c r="K154" s="128" t="s">
        <v>767</v>
      </c>
      <c r="L154" s="56">
        <v>2376</v>
      </c>
      <c r="M154" s="56" t="s">
        <v>731</v>
      </c>
      <c r="N154" s="56">
        <v>400</v>
      </c>
      <c r="O154" s="64"/>
      <c r="T154" s="124">
        <v>0</v>
      </c>
      <c r="U154" s="125" t="s">
        <v>749</v>
      </c>
      <c r="V154" s="124">
        <v>1872</v>
      </c>
      <c r="W154" s="124" t="s">
        <v>731</v>
      </c>
      <c r="X154" s="124">
        <v>400</v>
      </c>
      <c r="Y154" s="124"/>
    </row>
    <row r="155" spans="1:25" x14ac:dyDescent="0.25">
      <c r="A155" s="118" t="s">
        <v>743</v>
      </c>
      <c r="B155" s="115" t="s">
        <v>899</v>
      </c>
      <c r="C155" s="116">
        <v>3</v>
      </c>
      <c r="D155" s="115" t="s">
        <v>1529</v>
      </c>
      <c r="F155" s="56">
        <v>0</v>
      </c>
      <c r="G155" s="61">
        <v>336949</v>
      </c>
      <c r="H155" s="56" t="s">
        <v>1052</v>
      </c>
      <c r="J155" s="56">
        <v>0</v>
      </c>
      <c r="K155" s="128" t="s">
        <v>754</v>
      </c>
      <c r="L155" s="56">
        <v>2376</v>
      </c>
      <c r="M155" s="56" t="s">
        <v>731</v>
      </c>
      <c r="N155" s="56">
        <v>500</v>
      </c>
      <c r="O155" s="64"/>
      <c r="T155" s="124">
        <v>0</v>
      </c>
      <c r="U155" s="125" t="s">
        <v>750</v>
      </c>
      <c r="V155" s="124">
        <v>1872</v>
      </c>
      <c r="W155" s="124" t="s">
        <v>731</v>
      </c>
      <c r="X155" s="124">
        <v>400</v>
      </c>
      <c r="Y155" s="124"/>
    </row>
    <row r="156" spans="1:25" x14ac:dyDescent="0.25">
      <c r="A156" s="118" t="s">
        <v>737</v>
      </c>
      <c r="B156" s="115" t="s">
        <v>678</v>
      </c>
      <c r="C156" s="116">
        <v>3</v>
      </c>
      <c r="D156" s="115" t="s">
        <v>1664</v>
      </c>
      <c r="F156" s="56">
        <v>0</v>
      </c>
      <c r="G156" s="61">
        <v>353088</v>
      </c>
      <c r="H156" s="56" t="s">
        <v>1053</v>
      </c>
      <c r="J156" s="56">
        <v>0</v>
      </c>
      <c r="K156" s="129" t="s">
        <v>1281</v>
      </c>
      <c r="L156" s="56">
        <v>840</v>
      </c>
      <c r="M156" s="115" t="s">
        <v>1285</v>
      </c>
      <c r="N156" s="56">
        <v>250</v>
      </c>
      <c r="O156" s="64"/>
      <c r="T156" s="124">
        <v>0</v>
      </c>
      <c r="U156" s="125" t="s">
        <v>751</v>
      </c>
      <c r="V156" s="124">
        <v>960</v>
      </c>
      <c r="W156" s="124" t="s">
        <v>697</v>
      </c>
      <c r="X156" s="124">
        <v>300</v>
      </c>
      <c r="Y156" s="124"/>
    </row>
    <row r="157" spans="1:25" x14ac:dyDescent="0.25">
      <c r="A157" s="118" t="s">
        <v>738</v>
      </c>
      <c r="B157" s="115" t="s">
        <v>678</v>
      </c>
      <c r="C157" s="116">
        <v>3</v>
      </c>
      <c r="D157" s="115" t="s">
        <v>900</v>
      </c>
      <c r="F157" s="56">
        <v>0</v>
      </c>
      <c r="G157" s="61">
        <v>331806</v>
      </c>
      <c r="H157" s="56" t="s">
        <v>1054</v>
      </c>
      <c r="J157" s="56">
        <v>0</v>
      </c>
      <c r="K157" s="128" t="s">
        <v>1186</v>
      </c>
      <c r="L157" s="56">
        <v>2880</v>
      </c>
      <c r="M157" s="115" t="s">
        <v>1187</v>
      </c>
      <c r="N157" s="56">
        <v>300</v>
      </c>
      <c r="O157" s="64"/>
      <c r="T157" s="124">
        <v>0</v>
      </c>
      <c r="U157" s="125" t="s">
        <v>758</v>
      </c>
      <c r="V157" s="124">
        <v>560</v>
      </c>
      <c r="W157" s="124" t="s">
        <v>764</v>
      </c>
      <c r="X157" s="124">
        <v>80</v>
      </c>
      <c r="Y157" s="124"/>
    </row>
    <row r="158" spans="1:25" x14ac:dyDescent="0.25">
      <c r="A158" s="118" t="s">
        <v>740</v>
      </c>
      <c r="B158" s="115" t="s">
        <v>611</v>
      </c>
      <c r="C158" s="116">
        <v>16</v>
      </c>
      <c r="D158" s="115" t="s">
        <v>1243</v>
      </c>
      <c r="F158" s="56">
        <v>0</v>
      </c>
      <c r="G158" s="61">
        <v>331805</v>
      </c>
      <c r="H158" s="56" t="s">
        <v>1214</v>
      </c>
      <c r="J158" s="56">
        <v>0</v>
      </c>
      <c r="K158" s="129" t="s">
        <v>755</v>
      </c>
      <c r="L158" s="56">
        <v>240</v>
      </c>
      <c r="M158" s="56" t="s">
        <v>764</v>
      </c>
      <c r="N158" s="56">
        <v>80</v>
      </c>
      <c r="O158" s="64"/>
      <c r="T158" s="124">
        <v>0</v>
      </c>
      <c r="U158" s="125" t="s">
        <v>759</v>
      </c>
      <c r="V158" s="124">
        <v>1400</v>
      </c>
      <c r="W158" s="124" t="s">
        <v>764</v>
      </c>
      <c r="X158" s="124">
        <v>80</v>
      </c>
      <c r="Y158" s="124"/>
    </row>
    <row r="159" spans="1:25" x14ac:dyDescent="0.25">
      <c r="A159" s="118" t="s">
        <v>739</v>
      </c>
      <c r="B159" s="115" t="s">
        <v>901</v>
      </c>
      <c r="C159" s="116">
        <v>11</v>
      </c>
      <c r="D159" s="115" t="s">
        <v>1244</v>
      </c>
      <c r="F159" s="56">
        <v>0</v>
      </c>
      <c r="G159" s="61">
        <v>339273</v>
      </c>
      <c r="H159" s="56" t="s">
        <v>1055</v>
      </c>
      <c r="J159" s="56">
        <v>0</v>
      </c>
      <c r="K159" s="129" t="s">
        <v>756</v>
      </c>
      <c r="L159" s="56">
        <v>240</v>
      </c>
      <c r="M159" s="56" t="s">
        <v>764</v>
      </c>
      <c r="N159" s="56">
        <v>80</v>
      </c>
      <c r="O159" s="64"/>
      <c r="T159" s="124">
        <v>0</v>
      </c>
      <c r="U159" s="125" t="s">
        <v>761</v>
      </c>
      <c r="V159" s="124">
        <v>720</v>
      </c>
      <c r="W159" s="124" t="s">
        <v>764</v>
      </c>
      <c r="X159" s="124">
        <v>300</v>
      </c>
      <c r="Y159" s="124"/>
    </row>
    <row r="160" spans="1:25" x14ac:dyDescent="0.25">
      <c r="A160" s="118" t="s">
        <v>902</v>
      </c>
      <c r="B160" s="115" t="s">
        <v>1179</v>
      </c>
      <c r="C160" s="116">
        <v>6</v>
      </c>
      <c r="D160" s="115" t="s">
        <v>1180</v>
      </c>
      <c r="F160" s="56">
        <v>0</v>
      </c>
      <c r="G160" s="61">
        <v>383335</v>
      </c>
      <c r="H160" s="56" t="s">
        <v>1056</v>
      </c>
      <c r="J160" s="56">
        <v>0</v>
      </c>
      <c r="K160" s="129" t="s">
        <v>772</v>
      </c>
      <c r="L160" s="56">
        <v>864</v>
      </c>
      <c r="M160" s="56" t="s">
        <v>1122</v>
      </c>
      <c r="N160" s="56">
        <v>400</v>
      </c>
      <c r="O160" s="64"/>
      <c r="T160" s="124">
        <v>0</v>
      </c>
      <c r="U160" s="125" t="s">
        <v>762</v>
      </c>
      <c r="V160" s="124">
        <v>720</v>
      </c>
      <c r="W160" s="124" t="s">
        <v>764</v>
      </c>
      <c r="X160" s="124">
        <v>80</v>
      </c>
      <c r="Y160" s="124"/>
    </row>
    <row r="161" spans="1:25" x14ac:dyDescent="0.25">
      <c r="A161" s="118" t="s">
        <v>903</v>
      </c>
      <c r="B161" s="115" t="s">
        <v>731</v>
      </c>
      <c r="C161" s="116" t="s">
        <v>602</v>
      </c>
      <c r="D161" s="115"/>
      <c r="F161" s="56">
        <v>0</v>
      </c>
      <c r="G161" s="61">
        <v>350038</v>
      </c>
      <c r="H161" s="56" t="s">
        <v>1057</v>
      </c>
      <c r="J161" s="56">
        <v>0</v>
      </c>
      <c r="K161" s="129" t="s">
        <v>774</v>
      </c>
      <c r="L161" s="56">
        <v>864</v>
      </c>
      <c r="M161" s="56" t="s">
        <v>731</v>
      </c>
      <c r="N161" s="56">
        <v>400</v>
      </c>
      <c r="O161" s="64"/>
      <c r="T161" s="124">
        <v>0</v>
      </c>
      <c r="U161" s="125" t="s">
        <v>763</v>
      </c>
      <c r="V161" s="124">
        <v>624</v>
      </c>
      <c r="W161" s="124" t="s">
        <v>729</v>
      </c>
      <c r="X161" s="124">
        <v>300</v>
      </c>
      <c r="Y161" s="124"/>
    </row>
    <row r="162" spans="1:25" x14ac:dyDescent="0.25">
      <c r="A162" s="116" t="s">
        <v>1287</v>
      </c>
      <c r="B162" s="115" t="s">
        <v>731</v>
      </c>
      <c r="C162" s="116" t="s">
        <v>602</v>
      </c>
      <c r="D162" s="115"/>
      <c r="F162" s="56">
        <v>0</v>
      </c>
      <c r="G162" s="61">
        <v>340776</v>
      </c>
      <c r="H162" s="56" t="s">
        <v>1058</v>
      </c>
      <c r="J162" s="56">
        <v>0</v>
      </c>
      <c r="K162" s="129" t="s">
        <v>1189</v>
      </c>
      <c r="L162" s="56">
        <v>864</v>
      </c>
      <c r="M162" s="56" t="s">
        <v>731</v>
      </c>
      <c r="N162" s="56">
        <v>250</v>
      </c>
      <c r="O162" s="64"/>
      <c r="T162" s="124">
        <v>0</v>
      </c>
      <c r="U162" s="125" t="s">
        <v>765</v>
      </c>
      <c r="V162" s="124">
        <v>624</v>
      </c>
      <c r="W162" s="124" t="s">
        <v>729</v>
      </c>
      <c r="X162" s="124">
        <v>300</v>
      </c>
      <c r="Y162" s="124"/>
    </row>
    <row r="163" spans="1:25" x14ac:dyDescent="0.25">
      <c r="A163" s="118" t="s">
        <v>742</v>
      </c>
      <c r="B163" s="115" t="s">
        <v>904</v>
      </c>
      <c r="C163" s="116" t="s">
        <v>1159</v>
      </c>
      <c r="D163" s="115" t="s">
        <v>1663</v>
      </c>
      <c r="F163" s="56">
        <v>0</v>
      </c>
      <c r="G163" s="61">
        <v>331275</v>
      </c>
      <c r="H163" s="56" t="s">
        <v>1059</v>
      </c>
      <c r="J163" s="56">
        <v>0</v>
      </c>
      <c r="K163" s="129" t="s">
        <v>1191</v>
      </c>
      <c r="L163" s="56">
        <v>864</v>
      </c>
      <c r="M163" s="56" t="s">
        <v>731</v>
      </c>
      <c r="N163" s="56">
        <v>250</v>
      </c>
      <c r="O163" s="64"/>
      <c r="T163" s="124">
        <v>0</v>
      </c>
      <c r="U163" s="125" t="s">
        <v>752</v>
      </c>
      <c r="V163" s="124">
        <v>660</v>
      </c>
      <c r="W163" s="124" t="s">
        <v>760</v>
      </c>
      <c r="X163" s="124">
        <v>500</v>
      </c>
      <c r="Y163" s="124"/>
    </row>
    <row r="164" spans="1:25" x14ac:dyDescent="0.25">
      <c r="A164" s="118" t="s">
        <v>744</v>
      </c>
      <c r="B164" s="115" t="s">
        <v>899</v>
      </c>
      <c r="C164" s="116">
        <v>3</v>
      </c>
      <c r="D164" s="115" t="s">
        <v>905</v>
      </c>
      <c r="F164" s="56">
        <v>0</v>
      </c>
      <c r="G164" s="61">
        <v>335955</v>
      </c>
      <c r="H164" s="56" t="s">
        <v>1060</v>
      </c>
      <c r="J164" s="56">
        <v>0</v>
      </c>
      <c r="K164" s="129" t="s">
        <v>1447</v>
      </c>
      <c r="L164" s="56">
        <v>312</v>
      </c>
      <c r="M164" s="56" t="s">
        <v>611</v>
      </c>
      <c r="N164" s="56">
        <v>450</v>
      </c>
      <c r="O164" s="64"/>
      <c r="T164" s="124">
        <v>0</v>
      </c>
      <c r="U164" s="125" t="s">
        <v>767</v>
      </c>
      <c r="V164" s="124">
        <v>2376</v>
      </c>
      <c r="W164" s="124" t="s">
        <v>731</v>
      </c>
      <c r="X164" s="124">
        <v>400</v>
      </c>
      <c r="Y164" s="124"/>
    </row>
    <row r="165" spans="1:25" x14ac:dyDescent="0.25">
      <c r="A165" s="118" t="s">
        <v>1181</v>
      </c>
      <c r="B165" s="115" t="s">
        <v>1182</v>
      </c>
      <c r="C165" s="116">
        <v>3</v>
      </c>
      <c r="D165" s="115" t="s">
        <v>1662</v>
      </c>
      <c r="F165" s="56">
        <v>0</v>
      </c>
      <c r="G165" s="61">
        <v>335436</v>
      </c>
      <c r="H165" s="56" t="s">
        <v>1061</v>
      </c>
      <c r="J165" s="56">
        <v>0</v>
      </c>
      <c r="K165" s="129" t="s">
        <v>1192</v>
      </c>
      <c r="L165" s="56">
        <v>255</v>
      </c>
      <c r="M165" s="115" t="s">
        <v>611</v>
      </c>
      <c r="N165" s="56">
        <v>250</v>
      </c>
      <c r="O165" s="64"/>
      <c r="T165" s="124">
        <v>0</v>
      </c>
      <c r="U165" s="125" t="s">
        <v>754</v>
      </c>
      <c r="V165" s="124">
        <v>2376</v>
      </c>
      <c r="W165" s="124" t="s">
        <v>731</v>
      </c>
      <c r="X165" s="124">
        <v>500</v>
      </c>
      <c r="Y165" s="124"/>
    </row>
    <row r="166" spans="1:25" x14ac:dyDescent="0.25">
      <c r="A166" s="118" t="s">
        <v>1530</v>
      </c>
      <c r="B166" s="115" t="s">
        <v>672</v>
      </c>
      <c r="C166" s="116">
        <v>2</v>
      </c>
      <c r="D166" s="115" t="s">
        <v>1531</v>
      </c>
      <c r="F166" s="56">
        <v>0</v>
      </c>
      <c r="G166" s="61">
        <v>363544</v>
      </c>
      <c r="H166" s="56" t="s">
        <v>1062</v>
      </c>
      <c r="J166" s="56">
        <v>0</v>
      </c>
      <c r="K166" s="129" t="s">
        <v>1123</v>
      </c>
      <c r="L166" s="56">
        <v>4800</v>
      </c>
      <c r="M166" s="56" t="s">
        <v>660</v>
      </c>
      <c r="N166" s="56">
        <v>250</v>
      </c>
      <c r="O166" s="64"/>
      <c r="T166" s="124">
        <v>0</v>
      </c>
      <c r="U166" s="125" t="s">
        <v>755</v>
      </c>
      <c r="V166" s="124">
        <v>240</v>
      </c>
      <c r="W166" s="124" t="s">
        <v>764</v>
      </c>
      <c r="X166" s="124">
        <v>80</v>
      </c>
      <c r="Y166" s="124"/>
    </row>
    <row r="167" spans="1:25" x14ac:dyDescent="0.25">
      <c r="A167" s="118" t="s">
        <v>746</v>
      </c>
      <c r="B167" s="115" t="s">
        <v>892</v>
      </c>
      <c r="C167" s="116">
        <v>3</v>
      </c>
      <c r="D167" s="115" t="s">
        <v>906</v>
      </c>
      <c r="F167" s="56">
        <v>0</v>
      </c>
      <c r="G167" s="61">
        <v>2002046</v>
      </c>
      <c r="H167" s="56" t="s">
        <v>1063</v>
      </c>
      <c r="J167" s="56">
        <v>0</v>
      </c>
      <c r="K167" s="129" t="s">
        <v>914</v>
      </c>
      <c r="L167" s="56">
        <v>18144</v>
      </c>
      <c r="M167" s="115" t="s">
        <v>672</v>
      </c>
      <c r="N167" s="56">
        <v>1100</v>
      </c>
      <c r="O167" s="64"/>
      <c r="T167" s="124">
        <v>0</v>
      </c>
      <c r="U167" s="125" t="s">
        <v>756</v>
      </c>
      <c r="V167" s="124">
        <v>240</v>
      </c>
      <c r="W167" s="124" t="s">
        <v>764</v>
      </c>
      <c r="X167" s="124">
        <v>80</v>
      </c>
      <c r="Y167" s="124"/>
    </row>
    <row r="168" spans="1:25" x14ac:dyDescent="0.25">
      <c r="A168" s="118" t="s">
        <v>747</v>
      </c>
      <c r="B168" s="115" t="s">
        <v>729</v>
      </c>
      <c r="C168" s="116">
        <v>3</v>
      </c>
      <c r="D168" s="115" t="s">
        <v>907</v>
      </c>
      <c r="F168" s="56">
        <v>0</v>
      </c>
      <c r="G168" s="61">
        <v>352600</v>
      </c>
      <c r="H168" s="56" t="s">
        <v>1064</v>
      </c>
      <c r="J168" s="56">
        <v>0</v>
      </c>
      <c r="K168" s="129" t="s">
        <v>915</v>
      </c>
      <c r="L168" s="56">
        <v>4800</v>
      </c>
      <c r="M168" s="115" t="s">
        <v>823</v>
      </c>
      <c r="N168" s="56">
        <v>250</v>
      </c>
      <c r="O168" s="64"/>
      <c r="T168" s="124">
        <v>0</v>
      </c>
      <c r="U168" s="125" t="s">
        <v>772</v>
      </c>
      <c r="V168" s="124">
        <v>864</v>
      </c>
      <c r="W168" s="124" t="s">
        <v>1122</v>
      </c>
      <c r="X168" s="124">
        <v>400</v>
      </c>
      <c r="Y168" s="124"/>
    </row>
    <row r="169" spans="1:25" x14ac:dyDescent="0.25">
      <c r="A169" s="118" t="s">
        <v>748</v>
      </c>
      <c r="B169" s="115" t="s">
        <v>899</v>
      </c>
      <c r="C169" s="116">
        <v>4</v>
      </c>
      <c r="D169" s="115" t="s">
        <v>908</v>
      </c>
      <c r="F169" s="56">
        <v>0</v>
      </c>
      <c r="G169" s="61">
        <v>335589</v>
      </c>
      <c r="H169" s="56" t="s">
        <v>1065</v>
      </c>
      <c r="J169" s="56">
        <v>0</v>
      </c>
      <c r="K169" s="129" t="s">
        <v>916</v>
      </c>
      <c r="L169" s="56">
        <v>4800</v>
      </c>
      <c r="M169" s="56" t="s">
        <v>660</v>
      </c>
      <c r="N169" s="56">
        <v>250</v>
      </c>
      <c r="O169" s="64"/>
      <c r="T169" s="124">
        <v>0</v>
      </c>
      <c r="U169" s="125" t="s">
        <v>774</v>
      </c>
      <c r="V169" s="124">
        <v>864</v>
      </c>
      <c r="W169" s="124" t="s">
        <v>731</v>
      </c>
      <c r="X169" s="124">
        <v>400</v>
      </c>
      <c r="Y169" s="124"/>
    </row>
    <row r="170" spans="1:25" x14ac:dyDescent="0.25">
      <c r="A170" s="118" t="s">
        <v>749</v>
      </c>
      <c r="B170" s="115" t="s">
        <v>731</v>
      </c>
      <c r="C170" s="116" t="s">
        <v>602</v>
      </c>
      <c r="D170" s="115" t="s">
        <v>1195</v>
      </c>
      <c r="F170" s="56">
        <v>0</v>
      </c>
      <c r="G170" s="61">
        <v>343867</v>
      </c>
      <c r="H170" s="56" t="s">
        <v>1066</v>
      </c>
      <c r="J170" s="56">
        <v>0</v>
      </c>
      <c r="K170" s="129" t="s">
        <v>766</v>
      </c>
      <c r="L170" s="56">
        <v>2160</v>
      </c>
      <c r="M170" s="56" t="s">
        <v>686</v>
      </c>
      <c r="N170" s="56">
        <v>450</v>
      </c>
      <c r="O170" s="64"/>
      <c r="T170" s="124">
        <v>0</v>
      </c>
      <c r="U170" s="125" t="s">
        <v>1123</v>
      </c>
      <c r="V170" s="124">
        <v>4800</v>
      </c>
      <c r="W170" s="124" t="s">
        <v>660</v>
      </c>
      <c r="X170" s="124">
        <v>250</v>
      </c>
      <c r="Y170" s="124"/>
    </row>
    <row r="171" spans="1:25" x14ac:dyDescent="0.25">
      <c r="A171" s="118" t="s">
        <v>750</v>
      </c>
      <c r="B171" s="115" t="s">
        <v>731</v>
      </c>
      <c r="C171" s="116" t="s">
        <v>602</v>
      </c>
      <c r="D171" s="115"/>
      <c r="F171" s="56">
        <v>0</v>
      </c>
      <c r="G171" s="61">
        <v>351099</v>
      </c>
      <c r="H171" s="56" t="s">
        <v>1067</v>
      </c>
      <c r="J171" s="56">
        <v>0</v>
      </c>
      <c r="K171" s="129" t="s">
        <v>918</v>
      </c>
      <c r="L171" s="56">
        <v>1260</v>
      </c>
      <c r="M171" s="115" t="s">
        <v>1165</v>
      </c>
      <c r="N171" s="56">
        <v>200</v>
      </c>
      <c r="O171" s="64"/>
      <c r="T171" s="124">
        <v>0</v>
      </c>
      <c r="U171" s="125" t="s">
        <v>757</v>
      </c>
      <c r="V171" s="124">
        <v>4800</v>
      </c>
      <c r="W171" s="124" t="s">
        <v>660</v>
      </c>
      <c r="X171" s="124">
        <v>200</v>
      </c>
      <c r="Y171" s="124"/>
    </row>
    <row r="172" spans="1:25" x14ac:dyDescent="0.25">
      <c r="A172" s="118" t="s">
        <v>751</v>
      </c>
      <c r="B172" s="115" t="s">
        <v>697</v>
      </c>
      <c r="C172" s="116">
        <v>4</v>
      </c>
      <c r="D172" s="115" t="s">
        <v>1661</v>
      </c>
      <c r="F172" s="56">
        <v>0</v>
      </c>
      <c r="G172" s="61">
        <v>500124</v>
      </c>
      <c r="H172" s="56" t="s">
        <v>1068</v>
      </c>
      <c r="J172" s="56">
        <v>0</v>
      </c>
      <c r="K172" s="129" t="s">
        <v>769</v>
      </c>
      <c r="L172" s="56">
        <v>15600</v>
      </c>
      <c r="M172" s="56" t="s">
        <v>773</v>
      </c>
      <c r="N172" s="56">
        <v>175</v>
      </c>
      <c r="O172" s="64"/>
      <c r="T172" s="124">
        <v>0</v>
      </c>
      <c r="U172" s="125" t="s">
        <v>916</v>
      </c>
      <c r="V172" s="124">
        <v>4800</v>
      </c>
      <c r="W172" s="124" t="s">
        <v>660</v>
      </c>
      <c r="X172" s="124">
        <v>250</v>
      </c>
      <c r="Y172" s="124"/>
    </row>
    <row r="173" spans="1:25" x14ac:dyDescent="0.25">
      <c r="A173" s="118" t="s">
        <v>1184</v>
      </c>
      <c r="B173" s="115" t="s">
        <v>1185</v>
      </c>
      <c r="C173" s="116">
        <v>4</v>
      </c>
      <c r="D173" s="115" t="s">
        <v>794</v>
      </c>
      <c r="F173" s="56">
        <v>0</v>
      </c>
      <c r="G173" s="61">
        <v>341984</v>
      </c>
      <c r="H173" s="56" t="s">
        <v>1215</v>
      </c>
      <c r="J173" s="56">
        <v>0</v>
      </c>
      <c r="K173" s="129" t="s">
        <v>770</v>
      </c>
      <c r="L173" s="56">
        <v>192</v>
      </c>
      <c r="M173" s="56" t="s">
        <v>611</v>
      </c>
      <c r="N173" s="56">
        <v>400</v>
      </c>
      <c r="O173" s="64"/>
      <c r="T173" s="124">
        <v>0</v>
      </c>
      <c r="U173" s="125" t="s">
        <v>766</v>
      </c>
      <c r="V173" s="124">
        <v>2160</v>
      </c>
      <c r="W173" s="124" t="s">
        <v>686</v>
      </c>
      <c r="X173" s="124">
        <v>450</v>
      </c>
      <c r="Y173" s="124"/>
    </row>
    <row r="174" spans="1:25" x14ac:dyDescent="0.25">
      <c r="A174" s="118" t="s">
        <v>1533</v>
      </c>
      <c r="B174" s="115" t="s">
        <v>1534</v>
      </c>
      <c r="C174" s="116">
        <v>4</v>
      </c>
      <c r="D174" s="115" t="s">
        <v>1535</v>
      </c>
      <c r="F174" s="56">
        <v>0</v>
      </c>
      <c r="G174" s="61" t="s">
        <v>1005</v>
      </c>
      <c r="H174" s="56" t="s">
        <v>1216</v>
      </c>
      <c r="J174" s="56">
        <v>0</v>
      </c>
      <c r="K174" s="129" t="s">
        <v>775</v>
      </c>
      <c r="L174" s="56">
        <v>768</v>
      </c>
      <c r="M174" s="56" t="s">
        <v>776</v>
      </c>
      <c r="N174" s="56">
        <v>650</v>
      </c>
      <c r="O174" s="64"/>
      <c r="T174" s="124">
        <v>0</v>
      </c>
      <c r="U174" s="125" t="s">
        <v>768</v>
      </c>
      <c r="V174" s="124">
        <v>1260</v>
      </c>
      <c r="W174" s="124" t="s">
        <v>771</v>
      </c>
      <c r="X174" s="124">
        <v>200</v>
      </c>
      <c r="Y174" s="124"/>
    </row>
    <row r="175" spans="1:25" x14ac:dyDescent="0.25">
      <c r="A175" s="118" t="s">
        <v>1532</v>
      </c>
      <c r="B175" s="115" t="s">
        <v>1534</v>
      </c>
      <c r="C175" s="116">
        <v>3</v>
      </c>
      <c r="D175" s="115" t="s">
        <v>1183</v>
      </c>
      <c r="F175" s="56">
        <v>0</v>
      </c>
      <c r="G175" s="61">
        <v>356244</v>
      </c>
      <c r="H175" s="56" t="s">
        <v>1069</v>
      </c>
      <c r="J175" s="56">
        <v>0</v>
      </c>
      <c r="K175" s="129" t="s">
        <v>777</v>
      </c>
      <c r="L175" s="56">
        <v>1280</v>
      </c>
      <c r="M175" s="56" t="s">
        <v>672</v>
      </c>
      <c r="N175" s="56">
        <v>400</v>
      </c>
      <c r="O175" s="64"/>
      <c r="T175" s="124">
        <v>0</v>
      </c>
      <c r="U175" s="125" t="s">
        <v>769</v>
      </c>
      <c r="V175" s="124">
        <v>15600</v>
      </c>
      <c r="W175" s="124" t="s">
        <v>773</v>
      </c>
      <c r="X175" s="124">
        <v>175</v>
      </c>
      <c r="Y175" s="124"/>
    </row>
    <row r="176" spans="1:25" x14ac:dyDescent="0.25">
      <c r="A176" s="118" t="s">
        <v>758</v>
      </c>
      <c r="B176" s="115" t="s">
        <v>753</v>
      </c>
      <c r="C176" s="116">
        <v>3</v>
      </c>
      <c r="D176" s="115" t="s">
        <v>822</v>
      </c>
      <c r="F176" s="56">
        <v>0</v>
      </c>
      <c r="G176" s="61">
        <v>2001583</v>
      </c>
      <c r="H176" s="56" t="s">
        <v>1070</v>
      </c>
      <c r="J176" s="56">
        <v>0</v>
      </c>
      <c r="K176" s="129" t="s">
        <v>778</v>
      </c>
      <c r="L176" s="56">
        <v>1280</v>
      </c>
      <c r="M176" s="56" t="s">
        <v>672</v>
      </c>
      <c r="N176" s="56">
        <v>420</v>
      </c>
      <c r="O176" s="64"/>
      <c r="T176" s="124">
        <v>0</v>
      </c>
      <c r="U176" s="125" t="s">
        <v>770</v>
      </c>
      <c r="V176" s="124">
        <v>192</v>
      </c>
      <c r="W176" s="124" t="s">
        <v>611</v>
      </c>
      <c r="X176" s="124">
        <v>400</v>
      </c>
      <c r="Y176" s="124"/>
    </row>
    <row r="177" spans="1:25" x14ac:dyDescent="0.25">
      <c r="A177" s="118" t="s">
        <v>759</v>
      </c>
      <c r="B177" s="115" t="s">
        <v>753</v>
      </c>
      <c r="C177" s="116">
        <v>3</v>
      </c>
      <c r="D177" s="115" t="s">
        <v>1536</v>
      </c>
      <c r="F177" s="56">
        <v>0</v>
      </c>
      <c r="G177" s="61">
        <v>367809</v>
      </c>
      <c r="H177" s="56" t="s">
        <v>1217</v>
      </c>
      <c r="J177" s="56">
        <v>0</v>
      </c>
      <c r="K177" s="129" t="s">
        <v>924</v>
      </c>
      <c r="L177" s="56">
        <v>18144</v>
      </c>
      <c r="M177" s="115" t="s">
        <v>672</v>
      </c>
      <c r="N177" s="56">
        <v>1100</v>
      </c>
      <c r="O177" s="64"/>
      <c r="T177" s="124">
        <v>0</v>
      </c>
      <c r="U177" s="125" t="s">
        <v>775</v>
      </c>
      <c r="V177" s="124">
        <v>768</v>
      </c>
      <c r="W177" s="124" t="s">
        <v>776</v>
      </c>
      <c r="X177" s="124">
        <v>650</v>
      </c>
      <c r="Y177" s="124"/>
    </row>
    <row r="178" spans="1:25" x14ac:dyDescent="0.25">
      <c r="A178" s="118" t="s">
        <v>761</v>
      </c>
      <c r="B178" s="115" t="s">
        <v>753</v>
      </c>
      <c r="C178" s="116">
        <v>3</v>
      </c>
      <c r="D178" s="115" t="s">
        <v>909</v>
      </c>
      <c r="F178" s="56">
        <v>0</v>
      </c>
      <c r="G178" s="61">
        <v>333751</v>
      </c>
      <c r="H178" s="56" t="s">
        <v>1071</v>
      </c>
      <c r="J178" s="56">
        <v>0</v>
      </c>
      <c r="K178" s="129" t="s">
        <v>925</v>
      </c>
      <c r="L178" s="56">
        <v>5120</v>
      </c>
      <c r="M178" s="56" t="s">
        <v>672</v>
      </c>
      <c r="N178" s="56">
        <v>400</v>
      </c>
      <c r="O178" s="64"/>
      <c r="T178" s="124">
        <v>0</v>
      </c>
      <c r="U178" s="125" t="s">
        <v>777</v>
      </c>
      <c r="V178" s="124">
        <v>1280</v>
      </c>
      <c r="W178" s="124" t="s">
        <v>672</v>
      </c>
      <c r="X178" s="124">
        <v>400</v>
      </c>
      <c r="Y178" s="124"/>
    </row>
    <row r="179" spans="1:25" x14ac:dyDescent="0.25">
      <c r="A179" s="118" t="s">
        <v>762</v>
      </c>
      <c r="B179" s="115" t="s">
        <v>753</v>
      </c>
      <c r="C179" s="116">
        <v>3</v>
      </c>
      <c r="D179" s="115" t="s">
        <v>1537</v>
      </c>
      <c r="F179" s="56">
        <v>0</v>
      </c>
      <c r="G179" s="61">
        <v>332077</v>
      </c>
      <c r="H179" s="56" t="s">
        <v>1072</v>
      </c>
      <c r="J179" s="56"/>
      <c r="K179" s="57"/>
      <c r="L179" s="56"/>
      <c r="M179" s="56"/>
      <c r="N179" s="56"/>
      <c r="T179" s="124">
        <v>0</v>
      </c>
      <c r="U179" s="125" t="s">
        <v>778</v>
      </c>
      <c r="V179" s="124">
        <v>1280</v>
      </c>
      <c r="W179" s="124" t="s">
        <v>672</v>
      </c>
      <c r="X179" s="124">
        <v>420</v>
      </c>
      <c r="Y179" s="124"/>
    </row>
    <row r="180" spans="1:25" x14ac:dyDescent="0.25">
      <c r="A180" s="116" t="s">
        <v>1280</v>
      </c>
      <c r="B180" s="115" t="s">
        <v>1283</v>
      </c>
      <c r="C180" s="116">
        <v>2</v>
      </c>
      <c r="D180" s="115" t="s">
        <v>1284</v>
      </c>
      <c r="F180" s="56">
        <v>0</v>
      </c>
      <c r="G180" s="61">
        <v>350547</v>
      </c>
      <c r="H180" s="56" t="s">
        <v>1073</v>
      </c>
      <c r="J180" s="56"/>
      <c r="K180" s="57"/>
      <c r="L180" s="56"/>
      <c r="M180" s="56"/>
      <c r="N180" s="56"/>
      <c r="T180" s="124">
        <v>0</v>
      </c>
      <c r="U180" s="125" t="s">
        <v>925</v>
      </c>
      <c r="V180" s="124">
        <v>5120</v>
      </c>
      <c r="W180" s="124" t="s">
        <v>672</v>
      </c>
      <c r="X180" s="124">
        <v>400</v>
      </c>
      <c r="Y180" s="124"/>
    </row>
    <row r="181" spans="1:25" x14ac:dyDescent="0.25">
      <c r="A181" s="118" t="s">
        <v>763</v>
      </c>
      <c r="B181" s="115" t="s">
        <v>1160</v>
      </c>
      <c r="C181" s="116">
        <v>3</v>
      </c>
      <c r="D181" s="115" t="s">
        <v>910</v>
      </c>
      <c r="F181" s="56">
        <v>0</v>
      </c>
      <c r="G181" s="61">
        <v>352530</v>
      </c>
      <c r="H181" s="56" t="s">
        <v>1074</v>
      </c>
      <c r="J181" s="56"/>
      <c r="K181" s="57"/>
      <c r="L181" s="56"/>
      <c r="M181" s="56"/>
      <c r="N181" s="56"/>
      <c r="T181" s="124">
        <v>0</v>
      </c>
      <c r="U181" s="125" t="s">
        <v>1124</v>
      </c>
      <c r="V181" s="124">
        <v>10800</v>
      </c>
      <c r="W181" s="124" t="s">
        <v>729</v>
      </c>
      <c r="X181" s="124">
        <v>250</v>
      </c>
      <c r="Y181" s="124"/>
    </row>
    <row r="182" spans="1:25" x14ac:dyDescent="0.25">
      <c r="A182" s="118" t="s">
        <v>765</v>
      </c>
      <c r="B182" s="115" t="s">
        <v>1160</v>
      </c>
      <c r="C182" s="116">
        <v>3</v>
      </c>
      <c r="D182" s="115" t="s">
        <v>911</v>
      </c>
      <c r="F182" s="56">
        <v>0</v>
      </c>
      <c r="G182" s="61">
        <v>331103</v>
      </c>
      <c r="H182" s="56" t="s">
        <v>1075</v>
      </c>
      <c r="J182" s="56"/>
      <c r="K182" s="57"/>
      <c r="L182" s="56"/>
      <c r="M182" s="56"/>
      <c r="N182" s="56"/>
      <c r="T182" s="124">
        <v>0</v>
      </c>
      <c r="U182" s="125" t="s">
        <v>1125</v>
      </c>
      <c r="V182" s="124">
        <v>5760</v>
      </c>
      <c r="W182" s="124" t="s">
        <v>662</v>
      </c>
      <c r="X182" s="124">
        <v>300</v>
      </c>
      <c r="Y182" s="124"/>
    </row>
    <row r="183" spans="1:25" x14ac:dyDescent="0.25">
      <c r="A183" s="116" t="s">
        <v>752</v>
      </c>
      <c r="B183" s="116" t="s">
        <v>899</v>
      </c>
      <c r="C183" s="116">
        <v>4</v>
      </c>
      <c r="D183" s="115" t="s">
        <v>1660</v>
      </c>
      <c r="F183" s="56">
        <v>0</v>
      </c>
      <c r="G183" s="61">
        <v>389024</v>
      </c>
      <c r="H183" s="56" t="s">
        <v>1218</v>
      </c>
      <c r="J183" s="56"/>
      <c r="K183" s="57"/>
      <c r="L183" s="56"/>
      <c r="M183" s="56"/>
      <c r="N183" s="56"/>
      <c r="T183" s="124">
        <v>0</v>
      </c>
      <c r="U183" s="125" t="s">
        <v>1272</v>
      </c>
      <c r="V183" s="124">
        <v>300000</v>
      </c>
      <c r="W183" s="124" t="s">
        <v>1273</v>
      </c>
      <c r="X183" s="124">
        <v>661</v>
      </c>
      <c r="Y183" s="124"/>
    </row>
    <row r="184" spans="1:25" x14ac:dyDescent="0.25">
      <c r="A184" s="118" t="s">
        <v>767</v>
      </c>
      <c r="B184" s="115" t="s">
        <v>731</v>
      </c>
      <c r="C184" s="116">
        <v>3</v>
      </c>
      <c r="D184" s="115" t="s">
        <v>1538</v>
      </c>
      <c r="F184" s="56">
        <v>0</v>
      </c>
      <c r="G184" s="61">
        <v>357000</v>
      </c>
      <c r="H184" s="56" t="s">
        <v>1076</v>
      </c>
      <c r="J184" s="56"/>
      <c r="K184" s="57"/>
      <c r="L184" s="56"/>
      <c r="M184" s="56"/>
      <c r="N184" s="56"/>
      <c r="T184" s="124">
        <v>0</v>
      </c>
      <c r="U184" s="127" t="s">
        <v>1278</v>
      </c>
      <c r="V184" s="124">
        <v>2376</v>
      </c>
      <c r="W184" s="124" t="s">
        <v>731</v>
      </c>
      <c r="X184" s="124">
        <v>250</v>
      </c>
      <c r="Y184" s="124"/>
    </row>
    <row r="185" spans="1:25" x14ac:dyDescent="0.25">
      <c r="A185" s="118" t="s">
        <v>754</v>
      </c>
      <c r="B185" s="115" t="s">
        <v>731</v>
      </c>
      <c r="C185" s="116">
        <v>3</v>
      </c>
      <c r="D185" s="115" t="s">
        <v>912</v>
      </c>
      <c r="F185" s="56">
        <v>0</v>
      </c>
      <c r="G185" s="61">
        <v>331413</v>
      </c>
      <c r="H185" s="56" t="s">
        <v>1099</v>
      </c>
      <c r="J185" s="56"/>
      <c r="K185" s="57"/>
      <c r="L185" s="56"/>
      <c r="M185" s="56"/>
      <c r="N185" s="56"/>
      <c r="T185" s="124">
        <v>0</v>
      </c>
      <c r="U185" s="127" t="s">
        <v>1189</v>
      </c>
      <c r="V185" s="124">
        <v>864</v>
      </c>
      <c r="W185" s="124" t="s">
        <v>731</v>
      </c>
      <c r="X185" s="124">
        <v>250</v>
      </c>
      <c r="Y185" s="124"/>
    </row>
    <row r="186" spans="1:25" x14ac:dyDescent="0.25">
      <c r="A186" s="116" t="s">
        <v>1281</v>
      </c>
      <c r="B186" s="115" t="s">
        <v>1285</v>
      </c>
      <c r="C186" s="116">
        <v>4</v>
      </c>
      <c r="D186" s="115" t="s">
        <v>1286</v>
      </c>
      <c r="F186" s="56">
        <v>0</v>
      </c>
      <c r="G186" s="61">
        <v>336600</v>
      </c>
      <c r="H186" s="56" t="s">
        <v>1077</v>
      </c>
      <c r="J186" s="56"/>
      <c r="K186" s="57"/>
      <c r="L186" s="56"/>
      <c r="M186" s="56"/>
      <c r="N186" s="56"/>
      <c r="T186" s="124">
        <v>0</v>
      </c>
      <c r="U186" s="127" t="s">
        <v>1191</v>
      </c>
      <c r="V186" s="124">
        <v>864</v>
      </c>
      <c r="W186" s="124" t="s">
        <v>731</v>
      </c>
      <c r="X186" s="124">
        <v>250</v>
      </c>
      <c r="Y186" s="124"/>
    </row>
    <row r="187" spans="1:25" x14ac:dyDescent="0.25">
      <c r="A187" s="118" t="s">
        <v>1186</v>
      </c>
      <c r="B187" s="115" t="s">
        <v>1187</v>
      </c>
      <c r="C187" s="116">
        <v>2</v>
      </c>
      <c r="D187" s="115" t="s">
        <v>1188</v>
      </c>
      <c r="F187" s="56">
        <v>0</v>
      </c>
      <c r="G187" s="61">
        <v>300392</v>
      </c>
      <c r="H187" s="56" t="s">
        <v>1078</v>
      </c>
      <c r="I187" s="64" t="s">
        <v>1290</v>
      </c>
      <c r="J187" s="56"/>
      <c r="K187" s="57"/>
      <c r="L187" s="56"/>
      <c r="M187" s="56"/>
      <c r="N187" s="56"/>
      <c r="T187" s="124">
        <v>0</v>
      </c>
      <c r="U187" s="127" t="s">
        <v>1279</v>
      </c>
      <c r="V187" s="124">
        <v>864</v>
      </c>
      <c r="W187" s="124" t="s">
        <v>731</v>
      </c>
      <c r="X187" s="124">
        <v>250</v>
      </c>
      <c r="Y187" s="124"/>
    </row>
    <row r="188" spans="1:25" x14ac:dyDescent="0.25">
      <c r="A188" s="116" t="s">
        <v>755</v>
      </c>
      <c r="B188" s="115" t="s">
        <v>753</v>
      </c>
      <c r="C188" s="116">
        <v>10</v>
      </c>
      <c r="D188" s="115" t="s">
        <v>1539</v>
      </c>
      <c r="F188" s="56">
        <v>0</v>
      </c>
      <c r="G188" s="61">
        <v>334866</v>
      </c>
      <c r="H188" s="56" t="s">
        <v>1079</v>
      </c>
      <c r="J188" s="56"/>
      <c r="K188" s="57"/>
      <c r="L188" s="56"/>
      <c r="M188" s="56"/>
      <c r="N188" s="56"/>
      <c r="T188" s="124">
        <v>0</v>
      </c>
      <c r="U188" s="125" t="s">
        <v>1268</v>
      </c>
      <c r="V188" s="124">
        <v>2016</v>
      </c>
      <c r="W188" s="124" t="s">
        <v>680</v>
      </c>
      <c r="X188" s="124">
        <v>200</v>
      </c>
      <c r="Y188" s="124"/>
    </row>
    <row r="189" spans="1:25" x14ac:dyDescent="0.25">
      <c r="A189" s="116" t="s">
        <v>756</v>
      </c>
      <c r="B189" s="115" t="s">
        <v>753</v>
      </c>
      <c r="C189" s="116">
        <v>9</v>
      </c>
      <c r="D189" s="115" t="s">
        <v>913</v>
      </c>
      <c r="F189" s="56">
        <v>0</v>
      </c>
      <c r="G189" s="61">
        <v>300512</v>
      </c>
      <c r="H189" s="56" t="s">
        <v>1080</v>
      </c>
      <c r="J189" s="56"/>
      <c r="K189" s="57"/>
      <c r="L189" s="56"/>
      <c r="M189" s="56"/>
      <c r="N189" s="56"/>
      <c r="T189" s="124">
        <v>0</v>
      </c>
      <c r="U189" s="125" t="s">
        <v>1181</v>
      </c>
      <c r="V189" s="124">
        <v>1152</v>
      </c>
      <c r="W189" s="124" t="s">
        <v>672</v>
      </c>
      <c r="X189" s="124">
        <v>300</v>
      </c>
      <c r="Y189" s="124"/>
    </row>
    <row r="190" spans="1:25" x14ac:dyDescent="0.25">
      <c r="A190" s="116" t="s">
        <v>772</v>
      </c>
      <c r="B190" s="115" t="s">
        <v>1122</v>
      </c>
      <c r="C190" s="116">
        <v>3</v>
      </c>
      <c r="D190" s="115" t="s">
        <v>1245</v>
      </c>
      <c r="F190" s="56">
        <v>0</v>
      </c>
      <c r="G190" s="61">
        <v>387027</v>
      </c>
      <c r="H190" s="56" t="s">
        <v>1081</v>
      </c>
      <c r="J190" s="56"/>
      <c r="K190" s="57"/>
      <c r="L190" s="56"/>
      <c r="M190" s="56"/>
      <c r="N190" s="56"/>
      <c r="T190" s="124">
        <v>0</v>
      </c>
      <c r="U190" s="125" t="s">
        <v>1275</v>
      </c>
      <c r="V190" s="124">
        <v>960</v>
      </c>
      <c r="W190" s="124" t="s">
        <v>635</v>
      </c>
      <c r="X190" s="124">
        <v>450</v>
      </c>
      <c r="Y190" s="124"/>
    </row>
    <row r="191" spans="1:25" x14ac:dyDescent="0.25">
      <c r="A191" s="116" t="s">
        <v>774</v>
      </c>
      <c r="B191" s="115" t="s">
        <v>731</v>
      </c>
      <c r="C191" s="116">
        <v>3</v>
      </c>
      <c r="D191" s="115" t="s">
        <v>1246</v>
      </c>
      <c r="F191" s="56">
        <v>0</v>
      </c>
      <c r="G191" s="61">
        <v>320381</v>
      </c>
      <c r="H191" s="56" t="s">
        <v>1082</v>
      </c>
      <c r="J191" s="56"/>
      <c r="K191" s="57"/>
      <c r="L191" s="56"/>
      <c r="M191" s="56"/>
      <c r="N191" s="56"/>
      <c r="T191" s="124">
        <v>0</v>
      </c>
      <c r="U191" s="125" t="s">
        <v>1444</v>
      </c>
      <c r="V191" s="124">
        <v>4800</v>
      </c>
      <c r="W191" s="124" t="s">
        <v>1445</v>
      </c>
      <c r="X191" s="124">
        <v>250</v>
      </c>
      <c r="Y191" s="124"/>
    </row>
    <row r="192" spans="1:25" x14ac:dyDescent="0.25">
      <c r="A192" s="116" t="s">
        <v>1189</v>
      </c>
      <c r="B192" s="115" t="s">
        <v>1190</v>
      </c>
      <c r="C192" s="116">
        <v>3</v>
      </c>
      <c r="D192" s="115" t="s">
        <v>1194</v>
      </c>
      <c r="F192" s="56">
        <v>0</v>
      </c>
      <c r="G192" s="61">
        <v>333020</v>
      </c>
      <c r="H192" s="56" t="s">
        <v>1083</v>
      </c>
      <c r="J192" s="56"/>
      <c r="K192" s="57"/>
      <c r="L192" s="56"/>
      <c r="M192" s="56"/>
      <c r="N192" s="56"/>
      <c r="T192" s="124">
        <v>0</v>
      </c>
      <c r="U192" s="125" t="s">
        <v>1447</v>
      </c>
      <c r="V192" s="124">
        <v>312</v>
      </c>
      <c r="W192" s="124" t="s">
        <v>611</v>
      </c>
      <c r="X192" s="124">
        <v>450</v>
      </c>
      <c r="Y192" s="124"/>
    </row>
    <row r="193" spans="1:14" x14ac:dyDescent="0.25">
      <c r="A193" s="116" t="s">
        <v>1191</v>
      </c>
      <c r="B193" s="115" t="s">
        <v>1190</v>
      </c>
      <c r="C193" s="116">
        <v>3</v>
      </c>
      <c r="D193" s="115" t="s">
        <v>1193</v>
      </c>
      <c r="F193" s="56">
        <v>0</v>
      </c>
      <c r="G193" s="61">
        <v>357238</v>
      </c>
      <c r="H193" s="56" t="s">
        <v>1084</v>
      </c>
      <c r="J193" s="56"/>
      <c r="K193" s="57"/>
      <c r="L193" s="56"/>
      <c r="M193" s="56"/>
      <c r="N193" s="56"/>
    </row>
    <row r="194" spans="1:14" x14ac:dyDescent="0.25">
      <c r="A194" s="116" t="s">
        <v>1447</v>
      </c>
      <c r="B194" s="117" t="s">
        <v>611</v>
      </c>
      <c r="C194" s="116">
        <v>6</v>
      </c>
      <c r="D194" s="115" t="s">
        <v>1540</v>
      </c>
      <c r="F194" s="56">
        <v>0</v>
      </c>
      <c r="G194" s="61">
        <v>332850</v>
      </c>
      <c r="H194" s="56" t="s">
        <v>1085</v>
      </c>
      <c r="J194" s="56"/>
      <c r="K194" s="57"/>
      <c r="L194" s="56"/>
      <c r="M194" s="56"/>
      <c r="N194" s="56"/>
    </row>
    <row r="195" spans="1:14" x14ac:dyDescent="0.25">
      <c r="A195" s="116" t="s">
        <v>1192</v>
      </c>
      <c r="B195" s="115" t="s">
        <v>611</v>
      </c>
      <c r="C195" s="116">
        <v>16</v>
      </c>
      <c r="D195" s="115" t="s">
        <v>897</v>
      </c>
      <c r="F195" s="56">
        <v>0</v>
      </c>
      <c r="G195" s="61">
        <v>336697</v>
      </c>
      <c r="H195" s="56" t="s">
        <v>1086</v>
      </c>
    </row>
    <row r="196" spans="1:14" x14ac:dyDescent="0.25">
      <c r="A196" s="116" t="s">
        <v>1123</v>
      </c>
      <c r="B196" s="115" t="s">
        <v>1161</v>
      </c>
      <c r="C196" s="116">
        <v>1</v>
      </c>
      <c r="D196" s="115" t="s">
        <v>1162</v>
      </c>
      <c r="F196" s="56">
        <v>0</v>
      </c>
      <c r="G196" s="61">
        <v>353382</v>
      </c>
      <c r="H196" s="56" t="s">
        <v>1087</v>
      </c>
    </row>
    <row r="197" spans="1:14" x14ac:dyDescent="0.25">
      <c r="A197" s="116" t="s">
        <v>914</v>
      </c>
      <c r="B197" s="115" t="s">
        <v>672</v>
      </c>
      <c r="C197" s="116">
        <v>1</v>
      </c>
      <c r="D197" s="115" t="s">
        <v>1282</v>
      </c>
      <c r="G197" s="61"/>
    </row>
    <row r="198" spans="1:14" x14ac:dyDescent="0.25">
      <c r="A198" s="116" t="s">
        <v>915</v>
      </c>
      <c r="B198" s="115" t="s">
        <v>823</v>
      </c>
      <c r="C198" s="116">
        <v>1</v>
      </c>
      <c r="D198" s="115" t="s">
        <v>1163</v>
      </c>
      <c r="G198" s="61"/>
    </row>
    <row r="199" spans="1:14" x14ac:dyDescent="0.25">
      <c r="A199" s="116" t="s">
        <v>916</v>
      </c>
      <c r="B199" s="115" t="s">
        <v>823</v>
      </c>
      <c r="C199" s="116">
        <v>1</v>
      </c>
      <c r="D199" s="115" t="s">
        <v>1164</v>
      </c>
      <c r="G199" s="61"/>
    </row>
    <row r="200" spans="1:14" x14ac:dyDescent="0.25">
      <c r="A200" s="116" t="s">
        <v>766</v>
      </c>
      <c r="B200" s="115" t="s">
        <v>686</v>
      </c>
      <c r="C200" s="116">
        <v>3</v>
      </c>
      <c r="D200" s="115" t="s">
        <v>917</v>
      </c>
      <c r="G200" s="61"/>
    </row>
    <row r="201" spans="1:14" x14ac:dyDescent="0.25">
      <c r="A201" s="116" t="s">
        <v>918</v>
      </c>
      <c r="B201" s="115" t="s">
        <v>1165</v>
      </c>
      <c r="C201" s="116">
        <v>3</v>
      </c>
      <c r="D201" s="115" t="s">
        <v>1166</v>
      </c>
      <c r="G201" s="61"/>
    </row>
    <row r="202" spans="1:14" x14ac:dyDescent="0.25">
      <c r="A202" s="116" t="s">
        <v>769</v>
      </c>
      <c r="B202" s="115" t="s">
        <v>919</v>
      </c>
      <c r="C202" s="116">
        <v>2</v>
      </c>
      <c r="D202" s="115" t="s">
        <v>920</v>
      </c>
      <c r="G202" s="61"/>
    </row>
    <row r="203" spans="1:14" x14ac:dyDescent="0.25">
      <c r="A203" s="116" t="s">
        <v>770</v>
      </c>
      <c r="B203" s="115" t="s">
        <v>611</v>
      </c>
      <c r="C203" s="116">
        <v>8</v>
      </c>
      <c r="D203" s="115" t="s">
        <v>921</v>
      </c>
      <c r="G203" s="61"/>
    </row>
    <row r="204" spans="1:14" x14ac:dyDescent="0.25">
      <c r="A204" s="116" t="s">
        <v>775</v>
      </c>
      <c r="B204" s="115" t="s">
        <v>776</v>
      </c>
      <c r="C204" s="116">
        <v>2</v>
      </c>
      <c r="D204" s="115" t="s">
        <v>1659</v>
      </c>
      <c r="G204" s="61"/>
    </row>
    <row r="205" spans="1:14" x14ac:dyDescent="0.25">
      <c r="A205" s="116" t="s">
        <v>777</v>
      </c>
      <c r="B205" s="115" t="s">
        <v>672</v>
      </c>
      <c r="C205" s="116">
        <v>2</v>
      </c>
      <c r="D205" s="115" t="s">
        <v>922</v>
      </c>
      <c r="G205" s="61"/>
    </row>
    <row r="206" spans="1:14" x14ac:dyDescent="0.25">
      <c r="A206" s="116" t="s">
        <v>778</v>
      </c>
      <c r="B206" s="115" t="s">
        <v>672</v>
      </c>
      <c r="C206" s="116">
        <v>3</v>
      </c>
      <c r="D206" s="115" t="s">
        <v>923</v>
      </c>
      <c r="G206" s="61"/>
    </row>
    <row r="207" spans="1:14" x14ac:dyDescent="0.25">
      <c r="A207" s="116" t="s">
        <v>924</v>
      </c>
      <c r="B207" s="115" t="s">
        <v>672</v>
      </c>
      <c r="C207" s="116">
        <v>1</v>
      </c>
      <c r="D207" s="115" t="s">
        <v>1658</v>
      </c>
      <c r="G207" s="61"/>
    </row>
    <row r="208" spans="1:14" x14ac:dyDescent="0.25">
      <c r="A208" s="116" t="s">
        <v>925</v>
      </c>
      <c r="B208" s="115" t="s">
        <v>672</v>
      </c>
      <c r="C208" s="116">
        <v>3</v>
      </c>
      <c r="D208" s="115" t="s">
        <v>926</v>
      </c>
      <c r="G208" s="61"/>
    </row>
    <row r="209" spans="2:7" x14ac:dyDescent="0.25">
      <c r="B209" s="115"/>
      <c r="C209" s="116"/>
      <c r="D209" s="115"/>
      <c r="G209" s="61"/>
    </row>
    <row r="210" spans="2:7" x14ac:dyDescent="0.25">
      <c r="E210" s="65"/>
      <c r="G210" s="61"/>
    </row>
    <row r="211" spans="2:7" x14ac:dyDescent="0.25">
      <c r="E211" s="65"/>
      <c r="G211" s="61"/>
    </row>
    <row r="212" spans="2:7" x14ac:dyDescent="0.25">
      <c r="E212" s="65"/>
      <c r="G212" s="61"/>
    </row>
    <row r="213" spans="2:7" x14ac:dyDescent="0.25">
      <c r="E213" s="65"/>
      <c r="G213" s="61"/>
    </row>
    <row r="214" spans="2:7" x14ac:dyDescent="0.25">
      <c r="E214" s="65"/>
      <c r="G214" s="61"/>
    </row>
    <row r="215" spans="2:7" x14ac:dyDescent="0.25">
      <c r="E215" s="65"/>
      <c r="G215" s="61"/>
    </row>
    <row r="216" spans="2:7" x14ac:dyDescent="0.25">
      <c r="E216" s="65"/>
      <c r="G216" s="61"/>
    </row>
    <row r="217" spans="2:7" x14ac:dyDescent="0.25">
      <c r="E217" s="65"/>
      <c r="G217" s="61"/>
    </row>
    <row r="218" spans="2:7" x14ac:dyDescent="0.25">
      <c r="E218" s="65"/>
      <c r="G218" s="61"/>
    </row>
    <row r="219" spans="2:7" x14ac:dyDescent="0.25">
      <c r="E219" s="65"/>
      <c r="G219" s="61"/>
    </row>
    <row r="220" spans="2:7" x14ac:dyDescent="0.25">
      <c r="E220" s="65"/>
      <c r="G220" s="61"/>
    </row>
    <row r="221" spans="2:7" x14ac:dyDescent="0.25">
      <c r="E221" s="65"/>
      <c r="G221" s="61"/>
    </row>
    <row r="222" spans="2:7" x14ac:dyDescent="0.25">
      <c r="E222" s="65"/>
      <c r="G222" s="61"/>
    </row>
    <row r="223" spans="2:7" x14ac:dyDescent="0.25">
      <c r="E223" s="65"/>
      <c r="G223" s="61"/>
    </row>
    <row r="224" spans="2:7" x14ac:dyDescent="0.25">
      <c r="E224" s="65"/>
      <c r="G224" s="61"/>
    </row>
    <row r="225" spans="5:7" x14ac:dyDescent="0.25">
      <c r="E225" s="65"/>
      <c r="G225" s="61"/>
    </row>
    <row r="226" spans="5:7" x14ac:dyDescent="0.25">
      <c r="E226" s="65"/>
      <c r="G226" s="61"/>
    </row>
    <row r="227" spans="5:7" x14ac:dyDescent="0.25">
      <c r="E227" s="65"/>
      <c r="G227" s="61"/>
    </row>
    <row r="228" spans="5:7" x14ac:dyDescent="0.25">
      <c r="E228" s="65"/>
      <c r="G228" s="61"/>
    </row>
    <row r="229" spans="5:7" x14ac:dyDescent="0.25">
      <c r="E229" s="65"/>
      <c r="G229" s="61"/>
    </row>
    <row r="230" spans="5:7" x14ac:dyDescent="0.25">
      <c r="E230" s="65"/>
      <c r="G230" s="61"/>
    </row>
    <row r="231" spans="5:7" x14ac:dyDescent="0.25">
      <c r="E231" s="65"/>
      <c r="G231" s="61"/>
    </row>
    <row r="232" spans="5:7" x14ac:dyDescent="0.25">
      <c r="E232" s="65"/>
      <c r="G232" s="61"/>
    </row>
    <row r="233" spans="5:7" x14ac:dyDescent="0.25">
      <c r="E233" s="65"/>
      <c r="G233" s="61"/>
    </row>
    <row r="234" spans="5:7" x14ac:dyDescent="0.25">
      <c r="E234" s="65"/>
      <c r="G234" s="61"/>
    </row>
    <row r="235" spans="5:7" x14ac:dyDescent="0.25">
      <c r="E235" s="65"/>
      <c r="G235" s="61"/>
    </row>
    <row r="236" spans="5:7" x14ac:dyDescent="0.25">
      <c r="E236" s="65"/>
      <c r="G236" s="61"/>
    </row>
    <row r="237" spans="5:7" x14ac:dyDescent="0.25">
      <c r="E237" s="65"/>
      <c r="G237" s="61"/>
    </row>
    <row r="238" spans="5:7" x14ac:dyDescent="0.25">
      <c r="E238" s="65"/>
      <c r="G238" s="61"/>
    </row>
    <row r="239" spans="5:7" x14ac:dyDescent="0.25">
      <c r="E239" s="65"/>
      <c r="G239" s="61"/>
    </row>
    <row r="240" spans="5:7" x14ac:dyDescent="0.25">
      <c r="E240" s="65"/>
      <c r="G240" s="61"/>
    </row>
    <row r="241" spans="5:7" x14ac:dyDescent="0.25">
      <c r="E241" s="65"/>
      <c r="G241" s="61"/>
    </row>
    <row r="242" spans="5:7" x14ac:dyDescent="0.25">
      <c r="E242" s="65"/>
      <c r="G242" s="61"/>
    </row>
    <row r="243" spans="5:7" x14ac:dyDescent="0.25">
      <c r="E243" s="65"/>
      <c r="G243" s="61"/>
    </row>
    <row r="244" spans="5:7" x14ac:dyDescent="0.25">
      <c r="E244" s="65"/>
      <c r="G244" s="61"/>
    </row>
    <row r="245" spans="5:7" x14ac:dyDescent="0.25">
      <c r="E245" s="65"/>
      <c r="G245" s="61"/>
    </row>
    <row r="246" spans="5:7" x14ac:dyDescent="0.25">
      <c r="E246" s="65"/>
      <c r="G246" s="61"/>
    </row>
    <row r="247" spans="5:7" x14ac:dyDescent="0.25">
      <c r="E247" s="65"/>
      <c r="G247" s="61"/>
    </row>
    <row r="248" spans="5:7" x14ac:dyDescent="0.25">
      <c r="E248" s="65"/>
      <c r="G248" s="61"/>
    </row>
    <row r="249" spans="5:7" x14ac:dyDescent="0.25">
      <c r="E249" s="65"/>
      <c r="G249" s="61"/>
    </row>
    <row r="250" spans="5:7" x14ac:dyDescent="0.25">
      <c r="E250" s="65"/>
      <c r="G250" s="61"/>
    </row>
    <row r="251" spans="5:7" x14ac:dyDescent="0.25">
      <c r="E251" s="65"/>
      <c r="G251" s="61"/>
    </row>
    <row r="252" spans="5:7" x14ac:dyDescent="0.25">
      <c r="E252" s="65"/>
      <c r="G252" s="61"/>
    </row>
    <row r="253" spans="5:7" x14ac:dyDescent="0.25">
      <c r="E253" s="65"/>
      <c r="G253" s="61"/>
    </row>
    <row r="254" spans="5:7" x14ac:dyDescent="0.25">
      <c r="E254" s="65"/>
      <c r="G254" s="61"/>
    </row>
    <row r="255" spans="5:7" x14ac:dyDescent="0.25">
      <c r="E255" s="65"/>
      <c r="G255" s="61"/>
    </row>
    <row r="256" spans="5:7" x14ac:dyDescent="0.25">
      <c r="E256" s="65"/>
      <c r="G256" s="61"/>
    </row>
    <row r="257" spans="5:7" x14ac:dyDescent="0.25">
      <c r="E257" s="65"/>
      <c r="G257" s="61"/>
    </row>
    <row r="258" spans="5:7" x14ac:dyDescent="0.25">
      <c r="E258" s="65"/>
      <c r="G258" s="61"/>
    </row>
    <row r="259" spans="5:7" x14ac:dyDescent="0.25">
      <c r="E259" s="65"/>
      <c r="G259" s="61"/>
    </row>
    <row r="260" spans="5:7" x14ac:dyDescent="0.25">
      <c r="E260" s="65"/>
      <c r="G260" s="61"/>
    </row>
    <row r="261" spans="5:7" x14ac:dyDescent="0.25">
      <c r="E261" s="65"/>
      <c r="G261" s="61"/>
    </row>
    <row r="262" spans="5:7" x14ac:dyDescent="0.25">
      <c r="E262" s="65"/>
      <c r="G262" s="61"/>
    </row>
    <row r="263" spans="5:7" x14ac:dyDescent="0.25">
      <c r="E263" s="65"/>
      <c r="G263" s="61"/>
    </row>
    <row r="264" spans="5:7" x14ac:dyDescent="0.25">
      <c r="E264" s="65"/>
      <c r="G264" s="61"/>
    </row>
    <row r="265" spans="5:7" x14ac:dyDescent="0.25">
      <c r="E265" s="65"/>
      <c r="G265" s="61"/>
    </row>
    <row r="266" spans="5:7" x14ac:dyDescent="0.25">
      <c r="E266" s="65"/>
      <c r="G266" s="61"/>
    </row>
    <row r="267" spans="5:7" x14ac:dyDescent="0.25">
      <c r="E267" s="65"/>
      <c r="G267" s="61"/>
    </row>
    <row r="268" spans="5:7" x14ac:dyDescent="0.25">
      <c r="E268" s="65"/>
      <c r="G268" s="61"/>
    </row>
    <row r="269" spans="5:7" x14ac:dyDescent="0.25">
      <c r="E269" s="65"/>
      <c r="G269" s="61"/>
    </row>
    <row r="270" spans="5:7" x14ac:dyDescent="0.25">
      <c r="E270" s="65"/>
      <c r="G270" s="61"/>
    </row>
    <row r="271" spans="5:7" x14ac:dyDescent="0.25">
      <c r="E271" s="65"/>
      <c r="G271" s="61"/>
    </row>
    <row r="272" spans="5:7" x14ac:dyDescent="0.25">
      <c r="E272" s="65"/>
      <c r="G272" s="61"/>
    </row>
    <row r="273" spans="5:7" x14ac:dyDescent="0.25">
      <c r="E273" s="65"/>
      <c r="G273" s="61"/>
    </row>
    <row r="274" spans="5:7" x14ac:dyDescent="0.25">
      <c r="E274" s="65"/>
      <c r="G274" s="61"/>
    </row>
    <row r="275" spans="5:7" x14ac:dyDescent="0.25">
      <c r="E275" s="65"/>
      <c r="G275" s="61"/>
    </row>
    <row r="276" spans="5:7" x14ac:dyDescent="0.25">
      <c r="E276" s="65"/>
      <c r="G276" s="61"/>
    </row>
    <row r="277" spans="5:7" x14ac:dyDescent="0.25">
      <c r="E277" s="65"/>
      <c r="G277" s="61"/>
    </row>
    <row r="278" spans="5:7" x14ac:dyDescent="0.25">
      <c r="E278" s="65"/>
      <c r="G278" s="61"/>
    </row>
    <row r="279" spans="5:7" x14ac:dyDescent="0.25">
      <c r="E279" s="65"/>
      <c r="G279" s="61"/>
    </row>
    <row r="280" spans="5:7" x14ac:dyDescent="0.25">
      <c r="E280" s="65"/>
      <c r="G280" s="61"/>
    </row>
    <row r="281" spans="5:7" x14ac:dyDescent="0.25">
      <c r="E281" s="65"/>
      <c r="G281" s="61"/>
    </row>
    <row r="282" spans="5:7" x14ac:dyDescent="0.25">
      <c r="E282" s="65"/>
      <c r="G282" s="61"/>
    </row>
    <row r="283" spans="5:7" x14ac:dyDescent="0.25">
      <c r="E283" s="65"/>
      <c r="G283" s="61"/>
    </row>
    <row r="284" spans="5:7" x14ac:dyDescent="0.25">
      <c r="E284" s="65"/>
      <c r="G284" s="61"/>
    </row>
    <row r="285" spans="5:7" x14ac:dyDescent="0.25">
      <c r="E285" s="65"/>
      <c r="G285" s="61"/>
    </row>
    <row r="286" spans="5:7" x14ac:dyDescent="0.25">
      <c r="E286" s="65"/>
      <c r="G286" s="61"/>
    </row>
    <row r="287" spans="5:7" x14ac:dyDescent="0.25">
      <c r="E287" s="65"/>
      <c r="G287" s="61"/>
    </row>
    <row r="288" spans="5:7" x14ac:dyDescent="0.25">
      <c r="E288" s="65"/>
      <c r="G288" s="61"/>
    </row>
    <row r="289" spans="5:7" x14ac:dyDescent="0.25">
      <c r="E289" s="65"/>
      <c r="G289" s="61"/>
    </row>
    <row r="290" spans="5:7" x14ac:dyDescent="0.25">
      <c r="E290" s="65"/>
      <c r="G290" s="61"/>
    </row>
    <row r="291" spans="5:7" x14ac:dyDescent="0.25">
      <c r="E291" s="65"/>
      <c r="G291" s="61"/>
    </row>
    <row r="292" spans="5:7" x14ac:dyDescent="0.25">
      <c r="E292" s="65"/>
      <c r="G292" s="61"/>
    </row>
    <row r="293" spans="5:7" x14ac:dyDescent="0.25">
      <c r="E293" s="65"/>
      <c r="G293" s="61"/>
    </row>
    <row r="294" spans="5:7" x14ac:dyDescent="0.25">
      <c r="E294" s="65"/>
      <c r="G294" s="61"/>
    </row>
    <row r="295" spans="5:7" x14ac:dyDescent="0.25">
      <c r="E295" s="65"/>
      <c r="G295" s="61"/>
    </row>
    <row r="296" spans="5:7" x14ac:dyDescent="0.25">
      <c r="E296" s="65"/>
      <c r="G296" s="61"/>
    </row>
    <row r="297" spans="5:7" x14ac:dyDescent="0.25">
      <c r="E297" s="65"/>
      <c r="G297" s="61"/>
    </row>
    <row r="298" spans="5:7" x14ac:dyDescent="0.25">
      <c r="E298" s="65"/>
      <c r="G298" s="61"/>
    </row>
    <row r="299" spans="5:7" x14ac:dyDescent="0.25">
      <c r="E299" s="65"/>
      <c r="G299" s="61"/>
    </row>
    <row r="300" spans="5:7" x14ac:dyDescent="0.25">
      <c r="E300" s="65"/>
      <c r="G300" s="61"/>
    </row>
    <row r="301" spans="5:7" x14ac:dyDescent="0.25">
      <c r="E301" s="65"/>
      <c r="G301" s="61"/>
    </row>
    <row r="302" spans="5:7" x14ac:dyDescent="0.25">
      <c r="E302" s="65"/>
      <c r="G302" s="61"/>
    </row>
    <row r="303" spans="5:7" x14ac:dyDescent="0.25">
      <c r="E303" s="65"/>
      <c r="G303" s="61"/>
    </row>
    <row r="304" spans="5:7" x14ac:dyDescent="0.25">
      <c r="E304" s="65"/>
      <c r="G304" s="61"/>
    </row>
    <row r="305" spans="5:7" x14ac:dyDescent="0.25">
      <c r="E305" s="65"/>
      <c r="G305" s="61"/>
    </row>
    <row r="306" spans="5:7" x14ac:dyDescent="0.25">
      <c r="E306" s="65"/>
      <c r="G306" s="61"/>
    </row>
    <row r="307" spans="5:7" x14ac:dyDescent="0.25">
      <c r="E307" s="65"/>
      <c r="G307" s="61"/>
    </row>
    <row r="308" spans="5:7" x14ac:dyDescent="0.25">
      <c r="E308" s="65"/>
      <c r="G308" s="61"/>
    </row>
    <row r="309" spans="5:7" x14ac:dyDescent="0.25">
      <c r="E309" s="65"/>
      <c r="G309" s="61"/>
    </row>
    <row r="310" spans="5:7" x14ac:dyDescent="0.25">
      <c r="E310" s="65"/>
      <c r="G310" s="61"/>
    </row>
    <row r="311" spans="5:7" x14ac:dyDescent="0.25">
      <c r="E311" s="65"/>
      <c r="G311" s="61"/>
    </row>
    <row r="312" spans="5:7" x14ac:dyDescent="0.25">
      <c r="E312" s="65"/>
      <c r="G312" s="61"/>
    </row>
    <row r="313" spans="5:7" x14ac:dyDescent="0.25">
      <c r="E313" s="65"/>
      <c r="G313" s="61"/>
    </row>
    <row r="314" spans="5:7" x14ac:dyDescent="0.25">
      <c r="E314" s="65"/>
      <c r="G314" s="61"/>
    </row>
    <row r="315" spans="5:7" x14ac:dyDescent="0.25">
      <c r="E315" s="65"/>
      <c r="G315" s="61"/>
    </row>
    <row r="316" spans="5:7" x14ac:dyDescent="0.25">
      <c r="E316" s="65"/>
      <c r="G316" s="61"/>
    </row>
    <row r="317" spans="5:7" x14ac:dyDescent="0.25">
      <c r="E317" s="65"/>
      <c r="G317" s="61"/>
    </row>
    <row r="318" spans="5:7" x14ac:dyDescent="0.25">
      <c r="E318" s="65"/>
      <c r="G318" s="61"/>
    </row>
    <row r="319" spans="5:7" x14ac:dyDescent="0.25">
      <c r="E319" s="65"/>
      <c r="G319" s="61"/>
    </row>
    <row r="320" spans="5:7" x14ac:dyDescent="0.25">
      <c r="E320" s="65"/>
      <c r="G320" s="61"/>
    </row>
    <row r="321" spans="5:7" x14ac:dyDescent="0.25">
      <c r="E321" s="65"/>
      <c r="G321" s="61"/>
    </row>
    <row r="322" spans="5:7" x14ac:dyDescent="0.25">
      <c r="E322" s="65"/>
      <c r="G322" s="61"/>
    </row>
    <row r="323" spans="5:7" x14ac:dyDescent="0.25">
      <c r="E323" s="65"/>
      <c r="G323" s="61"/>
    </row>
    <row r="324" spans="5:7" x14ac:dyDescent="0.25">
      <c r="E324" s="65"/>
      <c r="G324" s="61"/>
    </row>
    <row r="325" spans="5:7" x14ac:dyDescent="0.25">
      <c r="E325" s="65"/>
      <c r="G325" s="61"/>
    </row>
    <row r="326" spans="5:7" x14ac:dyDescent="0.25">
      <c r="E326" s="65"/>
      <c r="G326" s="61"/>
    </row>
    <row r="327" spans="5:7" x14ac:dyDescent="0.25">
      <c r="E327" s="65"/>
      <c r="G327" s="61"/>
    </row>
    <row r="328" spans="5:7" x14ac:dyDescent="0.25">
      <c r="E328" s="65"/>
      <c r="G328" s="61"/>
    </row>
    <row r="329" spans="5:7" x14ac:dyDescent="0.25">
      <c r="E329" s="65"/>
      <c r="G329" s="61"/>
    </row>
    <row r="330" spans="5:7" x14ac:dyDescent="0.25">
      <c r="E330" s="65"/>
      <c r="G330" s="61"/>
    </row>
    <row r="331" spans="5:7" x14ac:dyDescent="0.25">
      <c r="E331" s="65"/>
      <c r="G331" s="61"/>
    </row>
    <row r="332" spans="5:7" x14ac:dyDescent="0.25">
      <c r="E332" s="65"/>
      <c r="G332" s="61"/>
    </row>
    <row r="333" spans="5:7" x14ac:dyDescent="0.25">
      <c r="E333" s="65"/>
      <c r="G333" s="61"/>
    </row>
    <row r="334" spans="5:7" x14ac:dyDescent="0.25">
      <c r="E334" s="65"/>
      <c r="G334" s="61"/>
    </row>
    <row r="335" spans="5:7" x14ac:dyDescent="0.25">
      <c r="E335" s="65"/>
      <c r="G335" s="61"/>
    </row>
    <row r="336" spans="5:7" x14ac:dyDescent="0.25">
      <c r="E336" s="65"/>
      <c r="G336" s="61"/>
    </row>
    <row r="337" spans="5:7" x14ac:dyDescent="0.25">
      <c r="E337" s="65"/>
      <c r="G337" s="61"/>
    </row>
    <row r="338" spans="5:7" x14ac:dyDescent="0.25">
      <c r="E338" s="65"/>
      <c r="G338" s="61"/>
    </row>
    <row r="339" spans="5:7" x14ac:dyDescent="0.25">
      <c r="E339" s="65"/>
      <c r="G339" s="61"/>
    </row>
    <row r="340" spans="5:7" x14ac:dyDescent="0.25">
      <c r="E340" s="65"/>
      <c r="G340" s="61"/>
    </row>
    <row r="341" spans="5:7" x14ac:dyDescent="0.25">
      <c r="E341" s="65"/>
      <c r="G341" s="61"/>
    </row>
    <row r="342" spans="5:7" x14ac:dyDescent="0.25">
      <c r="E342" s="65"/>
      <c r="G342" s="61"/>
    </row>
    <row r="343" spans="5:7" x14ac:dyDescent="0.25">
      <c r="E343" s="65"/>
      <c r="G343" s="61"/>
    </row>
    <row r="344" spans="5:7" x14ac:dyDescent="0.25">
      <c r="E344" s="65"/>
      <c r="G344" s="61"/>
    </row>
    <row r="345" spans="5:7" x14ac:dyDescent="0.25">
      <c r="E345" s="65"/>
      <c r="G345" s="61"/>
    </row>
    <row r="346" spans="5:7" x14ac:dyDescent="0.25">
      <c r="E346" s="65"/>
      <c r="G346" s="61"/>
    </row>
    <row r="347" spans="5:7" x14ac:dyDescent="0.25">
      <c r="E347" s="65"/>
      <c r="G347" s="61"/>
    </row>
    <row r="348" spans="5:7" x14ac:dyDescent="0.25">
      <c r="E348" s="65"/>
      <c r="G348" s="61"/>
    </row>
    <row r="349" spans="5:7" x14ac:dyDescent="0.25">
      <c r="E349" s="65"/>
      <c r="G349" s="61"/>
    </row>
    <row r="350" spans="5:7" x14ac:dyDescent="0.25">
      <c r="E350" s="65"/>
      <c r="G350" s="61"/>
    </row>
    <row r="351" spans="5:7" x14ac:dyDescent="0.25">
      <c r="E351" s="65"/>
      <c r="G351" s="61"/>
    </row>
    <row r="352" spans="5:7" x14ac:dyDescent="0.25">
      <c r="E352" s="65"/>
      <c r="G352" s="61"/>
    </row>
    <row r="353" spans="5:7" x14ac:dyDescent="0.25">
      <c r="E353" s="65"/>
      <c r="G353" s="61"/>
    </row>
    <row r="354" spans="5:7" x14ac:dyDescent="0.25">
      <c r="E354" s="65"/>
      <c r="G354" s="61"/>
    </row>
    <row r="355" spans="5:7" x14ac:dyDescent="0.25">
      <c r="E355" s="65"/>
      <c r="G355" s="61"/>
    </row>
    <row r="356" spans="5:7" x14ac:dyDescent="0.25">
      <c r="E356" s="65"/>
      <c r="G356" s="61"/>
    </row>
    <row r="357" spans="5:7" x14ac:dyDescent="0.25">
      <c r="E357" s="65"/>
      <c r="G357" s="61"/>
    </row>
    <row r="358" spans="5:7" x14ac:dyDescent="0.25">
      <c r="E358" s="65"/>
      <c r="G358" s="61"/>
    </row>
    <row r="359" spans="5:7" x14ac:dyDescent="0.25">
      <c r="E359" s="65"/>
      <c r="G359" s="61"/>
    </row>
    <row r="360" spans="5:7" x14ac:dyDescent="0.25">
      <c r="E360" s="65"/>
      <c r="G360" s="61"/>
    </row>
    <row r="361" spans="5:7" x14ac:dyDescent="0.25">
      <c r="E361" s="65"/>
      <c r="G361" s="61"/>
    </row>
    <row r="362" spans="5:7" x14ac:dyDescent="0.25">
      <c r="E362" s="65"/>
      <c r="G362" s="61"/>
    </row>
    <row r="363" spans="5:7" x14ac:dyDescent="0.25">
      <c r="E363" s="65"/>
      <c r="G363" s="61"/>
    </row>
    <row r="364" spans="5:7" x14ac:dyDescent="0.25">
      <c r="E364" s="65"/>
      <c r="G364" s="61"/>
    </row>
    <row r="365" spans="5:7" x14ac:dyDescent="0.25">
      <c r="E365" s="65"/>
      <c r="G365" s="61"/>
    </row>
    <row r="366" spans="5:7" x14ac:dyDescent="0.25">
      <c r="E366" s="65"/>
      <c r="G366" s="61"/>
    </row>
    <row r="367" spans="5:7" x14ac:dyDescent="0.25">
      <c r="E367" s="65"/>
      <c r="G367" s="61"/>
    </row>
    <row r="368" spans="5:7" x14ac:dyDescent="0.25">
      <c r="E368" s="65"/>
      <c r="G368" s="61"/>
    </row>
    <row r="369" spans="5:7" x14ac:dyDescent="0.25">
      <c r="E369" s="65"/>
      <c r="G369" s="61"/>
    </row>
    <row r="370" spans="5:7" x14ac:dyDescent="0.25">
      <c r="E370" s="65"/>
      <c r="G370" s="61"/>
    </row>
    <row r="371" spans="5:7" x14ac:dyDescent="0.25">
      <c r="E371" s="65"/>
      <c r="G371" s="61"/>
    </row>
    <row r="372" spans="5:7" x14ac:dyDescent="0.25">
      <c r="E372" s="65"/>
      <c r="G372" s="61"/>
    </row>
    <row r="373" spans="5:7" x14ac:dyDescent="0.25">
      <c r="E373" s="65"/>
      <c r="G373" s="61"/>
    </row>
    <row r="374" spans="5:7" x14ac:dyDescent="0.25">
      <c r="E374" s="65"/>
      <c r="G374" s="61"/>
    </row>
    <row r="375" spans="5:7" x14ac:dyDescent="0.25">
      <c r="E375" s="65"/>
      <c r="G375" s="61"/>
    </row>
    <row r="376" spans="5:7" x14ac:dyDescent="0.25">
      <c r="E376" s="65"/>
      <c r="G376" s="61"/>
    </row>
    <row r="377" spans="5:7" x14ac:dyDescent="0.25">
      <c r="E377" s="65"/>
      <c r="G377" s="61"/>
    </row>
    <row r="378" spans="5:7" x14ac:dyDescent="0.25">
      <c r="E378" s="65"/>
      <c r="G378" s="61"/>
    </row>
    <row r="379" spans="5:7" x14ac:dyDescent="0.25">
      <c r="E379" s="65"/>
      <c r="G379" s="61"/>
    </row>
    <row r="380" spans="5:7" x14ac:dyDescent="0.25">
      <c r="E380" s="65"/>
      <c r="G380" s="61"/>
    </row>
    <row r="381" spans="5:7" x14ac:dyDescent="0.25">
      <c r="E381" s="65"/>
      <c r="G381" s="61"/>
    </row>
    <row r="382" spans="5:7" x14ac:dyDescent="0.25">
      <c r="E382" s="65"/>
      <c r="G382" s="61"/>
    </row>
    <row r="383" spans="5:7" x14ac:dyDescent="0.25">
      <c r="E383" s="65"/>
      <c r="G383" s="61"/>
    </row>
    <row r="384" spans="5:7" x14ac:dyDescent="0.25">
      <c r="E384" s="65"/>
      <c r="G384" s="61"/>
    </row>
    <row r="385" spans="5:7" x14ac:dyDescent="0.25">
      <c r="E385" s="65"/>
      <c r="G385" s="61"/>
    </row>
    <row r="386" spans="5:7" x14ac:dyDescent="0.25">
      <c r="E386" s="65"/>
      <c r="G386" s="61"/>
    </row>
    <row r="387" spans="5:7" x14ac:dyDescent="0.25">
      <c r="E387" s="65"/>
      <c r="G387" s="61"/>
    </row>
    <row r="388" spans="5:7" x14ac:dyDescent="0.25">
      <c r="E388" s="65"/>
      <c r="G388" s="61"/>
    </row>
    <row r="389" spans="5:7" x14ac:dyDescent="0.25">
      <c r="E389" s="65"/>
      <c r="G389" s="61"/>
    </row>
    <row r="390" spans="5:7" x14ac:dyDescent="0.25">
      <c r="E390" s="65"/>
      <c r="G390" s="61"/>
    </row>
    <row r="391" spans="5:7" x14ac:dyDescent="0.25">
      <c r="E391" s="65"/>
      <c r="G391" s="61"/>
    </row>
    <row r="392" spans="5:7" x14ac:dyDescent="0.25">
      <c r="E392" s="65"/>
      <c r="G392" s="61"/>
    </row>
    <row r="393" spans="5:7" x14ac:dyDescent="0.25">
      <c r="E393" s="65"/>
      <c r="G393" s="61"/>
    </row>
    <row r="394" spans="5:7" x14ac:dyDescent="0.25">
      <c r="E394" s="65"/>
      <c r="G394" s="61"/>
    </row>
    <row r="395" spans="5:7" x14ac:dyDescent="0.25">
      <c r="E395" s="65"/>
      <c r="G395" s="61"/>
    </row>
    <row r="396" spans="5:7" x14ac:dyDescent="0.25">
      <c r="E396" s="65"/>
      <c r="G396" s="61"/>
    </row>
    <row r="397" spans="5:7" x14ac:dyDescent="0.25">
      <c r="E397" s="65"/>
      <c r="G397" s="61"/>
    </row>
    <row r="398" spans="5:7" x14ac:dyDescent="0.25">
      <c r="E398" s="65"/>
      <c r="G398" s="61"/>
    </row>
    <row r="399" spans="5:7" x14ac:dyDescent="0.25">
      <c r="E399" s="65"/>
      <c r="G399" s="61"/>
    </row>
    <row r="400" spans="5:7" x14ac:dyDescent="0.25">
      <c r="E400" s="65"/>
      <c r="G400" s="61"/>
    </row>
    <row r="401" spans="5:7" x14ac:dyDescent="0.25">
      <c r="E401" s="65"/>
      <c r="G401" s="61"/>
    </row>
    <row r="402" spans="5:7" x14ac:dyDescent="0.25">
      <c r="E402" s="65"/>
      <c r="G402" s="61"/>
    </row>
    <row r="403" spans="5:7" x14ac:dyDescent="0.25">
      <c r="E403" s="65"/>
      <c r="G403" s="61"/>
    </row>
    <row r="404" spans="5:7" x14ac:dyDescent="0.25">
      <c r="E404" s="65"/>
      <c r="G404" s="61"/>
    </row>
    <row r="405" spans="5:7" x14ac:dyDescent="0.25">
      <c r="E405" s="65"/>
      <c r="G405" s="61"/>
    </row>
    <row r="406" spans="5:7" x14ac:dyDescent="0.25">
      <c r="E406" s="65"/>
      <c r="G406" s="61"/>
    </row>
    <row r="407" spans="5:7" x14ac:dyDescent="0.25">
      <c r="E407" s="65"/>
      <c r="G407" s="61"/>
    </row>
    <row r="408" spans="5:7" x14ac:dyDescent="0.25">
      <c r="E408" s="65"/>
      <c r="G408" s="61"/>
    </row>
    <row r="409" spans="5:7" x14ac:dyDescent="0.25">
      <c r="E409" s="65"/>
      <c r="G409" s="61"/>
    </row>
    <row r="410" spans="5:7" x14ac:dyDescent="0.25">
      <c r="E410" s="65"/>
      <c r="G410" s="61"/>
    </row>
    <row r="411" spans="5:7" x14ac:dyDescent="0.25">
      <c r="E411" s="65"/>
      <c r="G411" s="61"/>
    </row>
    <row r="412" spans="5:7" x14ac:dyDescent="0.25">
      <c r="E412" s="65"/>
      <c r="G412" s="61"/>
    </row>
    <row r="413" spans="5:7" x14ac:dyDescent="0.25">
      <c r="E413" s="65"/>
      <c r="G413" s="61"/>
    </row>
    <row r="414" spans="5:7" x14ac:dyDescent="0.25">
      <c r="E414" s="65"/>
      <c r="G414" s="61"/>
    </row>
    <row r="415" spans="5:7" x14ac:dyDescent="0.25">
      <c r="E415" s="65"/>
      <c r="G415" s="61"/>
    </row>
    <row r="416" spans="5:7" x14ac:dyDescent="0.25">
      <c r="E416" s="65"/>
      <c r="G416" s="61"/>
    </row>
    <row r="417" spans="5:7" x14ac:dyDescent="0.25">
      <c r="E417" s="65"/>
      <c r="G417" s="61"/>
    </row>
    <row r="418" spans="5:7" x14ac:dyDescent="0.25">
      <c r="E418" s="65"/>
      <c r="G418" s="61"/>
    </row>
    <row r="419" spans="5:7" x14ac:dyDescent="0.25">
      <c r="E419" s="65"/>
      <c r="G419" s="61"/>
    </row>
    <row r="420" spans="5:7" x14ac:dyDescent="0.25">
      <c r="E420" s="65"/>
      <c r="G420" s="61"/>
    </row>
    <row r="421" spans="5:7" x14ac:dyDescent="0.25">
      <c r="E421" s="65"/>
      <c r="G421" s="61"/>
    </row>
    <row r="422" spans="5:7" x14ac:dyDescent="0.25">
      <c r="E422" s="65"/>
      <c r="G422" s="61"/>
    </row>
    <row r="423" spans="5:7" x14ac:dyDescent="0.25">
      <c r="E423" s="65"/>
      <c r="G423" s="61"/>
    </row>
    <row r="424" spans="5:7" x14ac:dyDescent="0.25">
      <c r="E424" s="65"/>
      <c r="G424" s="61"/>
    </row>
    <row r="425" spans="5:7" x14ac:dyDescent="0.25">
      <c r="E425" s="65"/>
      <c r="G425" s="61"/>
    </row>
    <row r="426" spans="5:7" x14ac:dyDescent="0.25">
      <c r="E426" s="65"/>
      <c r="G426" s="61"/>
    </row>
    <row r="427" spans="5:7" x14ac:dyDescent="0.25">
      <c r="E427" s="65"/>
      <c r="G427" s="61"/>
    </row>
    <row r="428" spans="5:7" x14ac:dyDescent="0.25">
      <c r="E428" s="65"/>
      <c r="G428" s="61"/>
    </row>
    <row r="429" spans="5:7" x14ac:dyDescent="0.25">
      <c r="E429" s="65"/>
      <c r="G429" s="61"/>
    </row>
    <row r="430" spans="5:7" x14ac:dyDescent="0.25">
      <c r="E430" s="65"/>
      <c r="G430" s="61"/>
    </row>
    <row r="431" spans="5:7" x14ac:dyDescent="0.25">
      <c r="E431" s="65"/>
      <c r="G431" s="61"/>
    </row>
    <row r="432" spans="5:7" x14ac:dyDescent="0.25">
      <c r="E432" s="65"/>
      <c r="G432" s="61"/>
    </row>
    <row r="433" spans="5:7" x14ac:dyDescent="0.25">
      <c r="E433" s="65"/>
      <c r="G433" s="61"/>
    </row>
    <row r="434" spans="5:7" x14ac:dyDescent="0.25">
      <c r="E434" s="65"/>
      <c r="G434" s="61"/>
    </row>
    <row r="435" spans="5:7" x14ac:dyDescent="0.25">
      <c r="E435" s="65"/>
      <c r="G435" s="61"/>
    </row>
    <row r="436" spans="5:7" x14ac:dyDescent="0.25">
      <c r="E436" s="65"/>
      <c r="G436" s="61"/>
    </row>
    <row r="437" spans="5:7" x14ac:dyDescent="0.25">
      <c r="E437" s="65"/>
      <c r="G437" s="61"/>
    </row>
    <row r="438" spans="5:7" x14ac:dyDescent="0.25">
      <c r="E438" s="65"/>
      <c r="G438" s="61"/>
    </row>
    <row r="439" spans="5:7" x14ac:dyDescent="0.25">
      <c r="E439" s="65"/>
      <c r="G439" s="61"/>
    </row>
    <row r="440" spans="5:7" x14ac:dyDescent="0.25">
      <c r="E440" s="65"/>
      <c r="G440" s="61"/>
    </row>
    <row r="441" spans="5:7" x14ac:dyDescent="0.25">
      <c r="E441" s="65"/>
      <c r="G441" s="61"/>
    </row>
    <row r="442" spans="5:7" x14ac:dyDescent="0.25">
      <c r="E442" s="65"/>
      <c r="G442" s="61"/>
    </row>
    <row r="443" spans="5:7" x14ac:dyDescent="0.25">
      <c r="E443" s="65"/>
      <c r="G443" s="61"/>
    </row>
    <row r="444" spans="5:7" x14ac:dyDescent="0.25">
      <c r="E444" s="65"/>
      <c r="G444" s="61"/>
    </row>
    <row r="445" spans="5:7" x14ac:dyDescent="0.25">
      <c r="E445" s="65"/>
      <c r="G445" s="61"/>
    </row>
    <row r="446" spans="5:7" x14ac:dyDescent="0.25">
      <c r="E446" s="65"/>
      <c r="G446" s="61"/>
    </row>
    <row r="447" spans="5:7" x14ac:dyDescent="0.25">
      <c r="E447" s="65"/>
      <c r="G447" s="61"/>
    </row>
    <row r="448" spans="5:7" x14ac:dyDescent="0.25">
      <c r="E448" s="65"/>
      <c r="G448" s="61"/>
    </row>
    <row r="449" spans="5:7" x14ac:dyDescent="0.25">
      <c r="E449" s="65"/>
      <c r="G449" s="61"/>
    </row>
    <row r="450" spans="5:7" x14ac:dyDescent="0.25">
      <c r="E450" s="65"/>
      <c r="G450" s="61"/>
    </row>
    <row r="451" spans="5:7" x14ac:dyDescent="0.25">
      <c r="E451" s="65"/>
      <c r="G451" s="61"/>
    </row>
    <row r="452" spans="5:7" x14ac:dyDescent="0.25">
      <c r="E452" s="65"/>
      <c r="G452" s="61"/>
    </row>
    <row r="453" spans="5:7" x14ac:dyDescent="0.25">
      <c r="E453" s="65"/>
      <c r="G453" s="61"/>
    </row>
    <row r="454" spans="5:7" x14ac:dyDescent="0.25">
      <c r="E454" s="65"/>
      <c r="G454" s="61"/>
    </row>
    <row r="455" spans="5:7" x14ac:dyDescent="0.25">
      <c r="E455" s="65"/>
      <c r="G455" s="61"/>
    </row>
    <row r="456" spans="5:7" x14ac:dyDescent="0.25">
      <c r="E456" s="65"/>
      <c r="G456" s="61"/>
    </row>
    <row r="457" spans="5:7" x14ac:dyDescent="0.25">
      <c r="E457" s="65"/>
      <c r="G457" s="61"/>
    </row>
    <row r="458" spans="5:7" x14ac:dyDescent="0.25">
      <c r="E458" s="65"/>
      <c r="G458" s="61"/>
    </row>
    <row r="459" spans="5:7" x14ac:dyDescent="0.25">
      <c r="E459" s="65"/>
      <c r="G459" s="61"/>
    </row>
    <row r="460" spans="5:7" x14ac:dyDescent="0.25">
      <c r="E460" s="65"/>
      <c r="G460" s="61"/>
    </row>
    <row r="461" spans="5:7" x14ac:dyDescent="0.25">
      <c r="E461" s="65"/>
      <c r="G461" s="61"/>
    </row>
    <row r="462" spans="5:7" x14ac:dyDescent="0.25">
      <c r="E462" s="65"/>
      <c r="G462" s="61"/>
    </row>
    <row r="463" spans="5:7" x14ac:dyDescent="0.25">
      <c r="E463" s="65"/>
      <c r="G463" s="61"/>
    </row>
    <row r="464" spans="5:7" x14ac:dyDescent="0.25">
      <c r="E464" s="65"/>
      <c r="G464" s="61"/>
    </row>
    <row r="465" spans="5:7" x14ac:dyDescent="0.25">
      <c r="E465" s="65"/>
      <c r="G465" s="61"/>
    </row>
    <row r="466" spans="5:7" x14ac:dyDescent="0.25">
      <c r="E466" s="65"/>
      <c r="G466" s="61"/>
    </row>
    <row r="467" spans="5:7" x14ac:dyDescent="0.25">
      <c r="E467" s="65"/>
      <c r="G467" s="61"/>
    </row>
    <row r="468" spans="5:7" x14ac:dyDescent="0.25">
      <c r="E468" s="65"/>
      <c r="G468" s="61"/>
    </row>
    <row r="469" spans="5:7" x14ac:dyDescent="0.25">
      <c r="E469" s="65"/>
      <c r="G469" s="61"/>
    </row>
    <row r="470" spans="5:7" x14ac:dyDescent="0.25">
      <c r="E470" s="65"/>
      <c r="G470" s="61"/>
    </row>
    <row r="471" spans="5:7" x14ac:dyDescent="0.25">
      <c r="E471" s="65"/>
      <c r="G471" s="61"/>
    </row>
    <row r="472" spans="5:7" x14ac:dyDescent="0.25">
      <c r="E472" s="65"/>
      <c r="G472" s="61"/>
    </row>
    <row r="473" spans="5:7" x14ac:dyDescent="0.25">
      <c r="E473" s="65"/>
      <c r="G473" s="61"/>
    </row>
    <row r="474" spans="5:7" x14ac:dyDescent="0.25">
      <c r="E474" s="65"/>
      <c r="G474" s="61"/>
    </row>
    <row r="475" spans="5:7" x14ac:dyDescent="0.25">
      <c r="E475" s="65"/>
      <c r="G475" s="61"/>
    </row>
    <row r="476" spans="5:7" x14ac:dyDescent="0.25">
      <c r="E476" s="65"/>
      <c r="G476" s="61"/>
    </row>
    <row r="477" spans="5:7" x14ac:dyDescent="0.25">
      <c r="E477" s="65"/>
      <c r="G477" s="61"/>
    </row>
    <row r="478" spans="5:7" x14ac:dyDescent="0.25">
      <c r="E478" s="65"/>
      <c r="G478" s="61"/>
    </row>
    <row r="479" spans="5:7" x14ac:dyDescent="0.25">
      <c r="E479" s="65"/>
      <c r="G479" s="61"/>
    </row>
    <row r="480" spans="5:7" x14ac:dyDescent="0.25">
      <c r="E480" s="65"/>
      <c r="G480" s="61"/>
    </row>
    <row r="481" spans="5:7" x14ac:dyDescent="0.25">
      <c r="E481" s="65"/>
      <c r="G481" s="61"/>
    </row>
    <row r="482" spans="5:7" x14ac:dyDescent="0.25">
      <c r="E482" s="65"/>
      <c r="G482" s="61"/>
    </row>
    <row r="483" spans="5:7" x14ac:dyDescent="0.25">
      <c r="E483" s="65"/>
      <c r="G483" s="61"/>
    </row>
    <row r="484" spans="5:7" x14ac:dyDescent="0.25">
      <c r="E484" s="65"/>
      <c r="G484" s="61"/>
    </row>
    <row r="485" spans="5:7" x14ac:dyDescent="0.25">
      <c r="E485" s="65"/>
      <c r="G485" s="61"/>
    </row>
    <row r="486" spans="5:7" x14ac:dyDescent="0.25">
      <c r="E486" s="65"/>
      <c r="G486" s="61"/>
    </row>
    <row r="487" spans="5:7" x14ac:dyDescent="0.25">
      <c r="E487" s="65"/>
      <c r="G487" s="61"/>
    </row>
    <row r="488" spans="5:7" x14ac:dyDescent="0.25">
      <c r="E488" s="65"/>
      <c r="G488" s="61"/>
    </row>
    <row r="489" spans="5:7" x14ac:dyDescent="0.25">
      <c r="E489" s="65"/>
      <c r="G489" s="61"/>
    </row>
    <row r="490" spans="5:7" x14ac:dyDescent="0.25">
      <c r="E490" s="65"/>
      <c r="G490" s="61"/>
    </row>
    <row r="491" spans="5:7" x14ac:dyDescent="0.25">
      <c r="E491" s="65"/>
      <c r="G491" s="61"/>
    </row>
    <row r="492" spans="5:7" x14ac:dyDescent="0.25">
      <c r="E492" s="65"/>
      <c r="G492" s="61"/>
    </row>
    <row r="493" spans="5:7" x14ac:dyDescent="0.25">
      <c r="E493" s="65"/>
      <c r="G493" s="61"/>
    </row>
    <row r="494" spans="5:7" x14ac:dyDescent="0.25">
      <c r="E494" s="65"/>
      <c r="G494" s="61"/>
    </row>
    <row r="495" spans="5:7" x14ac:dyDescent="0.25">
      <c r="E495" s="65"/>
      <c r="G495" s="61"/>
    </row>
    <row r="496" spans="5:7" x14ac:dyDescent="0.25">
      <c r="E496" s="65"/>
      <c r="G496" s="61"/>
    </row>
    <row r="497" spans="5:7" x14ac:dyDescent="0.25">
      <c r="E497" s="65"/>
      <c r="G497" s="61"/>
    </row>
    <row r="498" spans="5:7" x14ac:dyDescent="0.25">
      <c r="E498" s="65"/>
      <c r="G498" s="61"/>
    </row>
    <row r="499" spans="5:7" x14ac:dyDescent="0.25">
      <c r="E499" s="65"/>
      <c r="G499" s="61"/>
    </row>
    <row r="500" spans="5:7" x14ac:dyDescent="0.25">
      <c r="E500" s="65"/>
      <c r="G500" s="61"/>
    </row>
    <row r="501" spans="5:7" x14ac:dyDescent="0.25">
      <c r="E501" s="65"/>
      <c r="G501" s="61"/>
    </row>
    <row r="502" spans="5:7" x14ac:dyDescent="0.25">
      <c r="E502" s="65"/>
      <c r="G502" s="61"/>
    </row>
    <row r="503" spans="5:7" x14ac:dyDescent="0.25">
      <c r="E503" s="65"/>
      <c r="G503" s="61"/>
    </row>
    <row r="504" spans="5:7" x14ac:dyDescent="0.25">
      <c r="E504" s="65"/>
      <c r="G504" s="61"/>
    </row>
    <row r="505" spans="5:7" x14ac:dyDescent="0.25">
      <c r="E505" s="65"/>
      <c r="G505" s="61"/>
    </row>
    <row r="506" spans="5:7" x14ac:dyDescent="0.25">
      <c r="E506" s="65"/>
      <c r="G506" s="61"/>
    </row>
    <row r="507" spans="5:7" x14ac:dyDescent="0.25">
      <c r="E507" s="65"/>
      <c r="G507" s="61"/>
    </row>
    <row r="508" spans="5:7" x14ac:dyDescent="0.25">
      <c r="E508" s="65"/>
      <c r="G508" s="61"/>
    </row>
    <row r="509" spans="5:7" x14ac:dyDescent="0.25">
      <c r="E509" s="65"/>
      <c r="G509" s="61"/>
    </row>
    <row r="510" spans="5:7" x14ac:dyDescent="0.25">
      <c r="E510" s="65"/>
      <c r="G510" s="61"/>
    </row>
    <row r="511" spans="5:7" x14ac:dyDescent="0.25">
      <c r="E511" s="65"/>
      <c r="G511" s="61"/>
    </row>
    <row r="512" spans="5:7" x14ac:dyDescent="0.25">
      <c r="E512" s="65"/>
      <c r="G512" s="61"/>
    </row>
    <row r="513" spans="5:7" x14ac:dyDescent="0.25">
      <c r="E513" s="65"/>
      <c r="G513" s="61"/>
    </row>
    <row r="514" spans="5:7" x14ac:dyDescent="0.25">
      <c r="E514" s="65"/>
      <c r="G514" s="61"/>
    </row>
    <row r="515" spans="5:7" x14ac:dyDescent="0.25">
      <c r="E515" s="65"/>
      <c r="G515" s="61"/>
    </row>
    <row r="516" spans="5:7" x14ac:dyDescent="0.25">
      <c r="E516" s="65"/>
      <c r="G516" s="61"/>
    </row>
    <row r="517" spans="5:7" x14ac:dyDescent="0.25">
      <c r="E517" s="65"/>
      <c r="G517" s="61"/>
    </row>
    <row r="518" spans="5:7" x14ac:dyDescent="0.25">
      <c r="E518" s="65"/>
      <c r="G518" s="61"/>
    </row>
    <row r="519" spans="5:7" x14ac:dyDescent="0.25">
      <c r="E519" s="65"/>
      <c r="G519" s="61"/>
    </row>
    <row r="520" spans="5:7" x14ac:dyDescent="0.25">
      <c r="E520" s="65"/>
      <c r="G520" s="61"/>
    </row>
    <row r="521" spans="5:7" x14ac:dyDescent="0.25">
      <c r="E521" s="65"/>
      <c r="G521" s="61"/>
    </row>
    <row r="522" spans="5:7" x14ac:dyDescent="0.25">
      <c r="E522" s="65"/>
      <c r="G522" s="61"/>
    </row>
    <row r="523" spans="5:7" x14ac:dyDescent="0.25">
      <c r="E523" s="65"/>
      <c r="G523" s="61"/>
    </row>
    <row r="524" spans="5:7" x14ac:dyDescent="0.25">
      <c r="E524" s="65"/>
      <c r="G524" s="61"/>
    </row>
    <row r="525" spans="5:7" x14ac:dyDescent="0.25">
      <c r="E525" s="65"/>
      <c r="G525" s="61"/>
    </row>
    <row r="526" spans="5:7" x14ac:dyDescent="0.25">
      <c r="E526" s="65"/>
      <c r="G526" s="61"/>
    </row>
    <row r="527" spans="5:7" x14ac:dyDescent="0.25">
      <c r="E527" s="65"/>
      <c r="G527" s="61"/>
    </row>
    <row r="528" spans="5:7" x14ac:dyDescent="0.25">
      <c r="E528" s="65"/>
      <c r="G528" s="61"/>
    </row>
    <row r="529" spans="5:7" x14ac:dyDescent="0.25">
      <c r="E529" s="65"/>
      <c r="G529" s="61"/>
    </row>
    <row r="530" spans="5:7" x14ac:dyDescent="0.25">
      <c r="E530" s="65"/>
      <c r="G530" s="61"/>
    </row>
    <row r="531" spans="5:7" x14ac:dyDescent="0.25">
      <c r="E531" s="65"/>
      <c r="G531" s="61"/>
    </row>
    <row r="532" spans="5:7" x14ac:dyDescent="0.25">
      <c r="E532" s="65"/>
      <c r="G532" s="61"/>
    </row>
    <row r="533" spans="5:7" x14ac:dyDescent="0.25">
      <c r="E533" s="65"/>
      <c r="G533" s="61"/>
    </row>
    <row r="534" spans="5:7" x14ac:dyDescent="0.25">
      <c r="E534" s="65"/>
      <c r="G534" s="61"/>
    </row>
    <row r="535" spans="5:7" x14ac:dyDescent="0.25">
      <c r="E535" s="65"/>
      <c r="G535" s="61"/>
    </row>
    <row r="536" spans="5:7" x14ac:dyDescent="0.25">
      <c r="E536" s="65"/>
      <c r="G536" s="61"/>
    </row>
    <row r="537" spans="5:7" x14ac:dyDescent="0.25">
      <c r="E537" s="65"/>
      <c r="G537" s="61"/>
    </row>
    <row r="538" spans="5:7" x14ac:dyDescent="0.25">
      <c r="E538" s="65"/>
      <c r="G538" s="61"/>
    </row>
    <row r="539" spans="5:7" x14ac:dyDescent="0.25">
      <c r="E539" s="65"/>
      <c r="G539" s="61"/>
    </row>
    <row r="540" spans="5:7" x14ac:dyDescent="0.25">
      <c r="E540" s="65"/>
      <c r="G540" s="61"/>
    </row>
    <row r="541" spans="5:7" x14ac:dyDescent="0.25">
      <c r="E541" s="65"/>
      <c r="G541" s="61"/>
    </row>
    <row r="542" spans="5:7" x14ac:dyDescent="0.25">
      <c r="E542" s="65"/>
      <c r="G542" s="61"/>
    </row>
    <row r="543" spans="5:7" x14ac:dyDescent="0.25">
      <c r="E543" s="65"/>
      <c r="G543" s="61"/>
    </row>
    <row r="544" spans="5:7" x14ac:dyDescent="0.25">
      <c r="E544" s="65"/>
      <c r="G544" s="61"/>
    </row>
    <row r="545" spans="5:7" x14ac:dyDescent="0.25">
      <c r="E545" s="65"/>
      <c r="G545" s="61"/>
    </row>
    <row r="546" spans="5:7" x14ac:dyDescent="0.25">
      <c r="E546" s="65"/>
      <c r="G546" s="61"/>
    </row>
    <row r="547" spans="5:7" x14ac:dyDescent="0.25">
      <c r="E547" s="65"/>
      <c r="G547" s="61"/>
    </row>
    <row r="548" spans="5:7" x14ac:dyDescent="0.25">
      <c r="E548" s="65"/>
      <c r="G548" s="61"/>
    </row>
    <row r="549" spans="5:7" x14ac:dyDescent="0.25">
      <c r="E549" s="65"/>
      <c r="G549" s="61"/>
    </row>
    <row r="550" spans="5:7" x14ac:dyDescent="0.25">
      <c r="E550" s="65"/>
      <c r="G550" s="61"/>
    </row>
    <row r="551" spans="5:7" x14ac:dyDescent="0.25">
      <c r="E551" s="65"/>
      <c r="G551" s="61"/>
    </row>
    <row r="552" spans="5:7" x14ac:dyDescent="0.25">
      <c r="E552" s="65"/>
      <c r="G552" s="61"/>
    </row>
    <row r="553" spans="5:7" x14ac:dyDescent="0.25">
      <c r="E553" s="65"/>
      <c r="G553" s="61"/>
    </row>
    <row r="554" spans="5:7" x14ac:dyDescent="0.25">
      <c r="E554" s="65"/>
      <c r="G554" s="61"/>
    </row>
    <row r="555" spans="5:7" x14ac:dyDescent="0.25">
      <c r="E555" s="65"/>
      <c r="G555" s="61"/>
    </row>
    <row r="556" spans="5:7" x14ac:dyDescent="0.25">
      <c r="E556" s="65"/>
      <c r="G556" s="61"/>
    </row>
    <row r="557" spans="5:7" x14ac:dyDescent="0.25">
      <c r="E557" s="65"/>
      <c r="G557" s="61"/>
    </row>
    <row r="558" spans="5:7" x14ac:dyDescent="0.25">
      <c r="E558" s="65"/>
      <c r="G558" s="61"/>
    </row>
    <row r="559" spans="5:7" x14ac:dyDescent="0.25">
      <c r="E559" s="65"/>
      <c r="G559" s="61"/>
    </row>
    <row r="560" spans="5:7" x14ac:dyDescent="0.25">
      <c r="E560" s="65"/>
      <c r="G560" s="61"/>
    </row>
    <row r="561" spans="5:7" x14ac:dyDescent="0.25">
      <c r="E561" s="65"/>
      <c r="G561" s="61"/>
    </row>
    <row r="562" spans="5:7" x14ac:dyDescent="0.25">
      <c r="E562" s="65"/>
      <c r="G562" s="61"/>
    </row>
    <row r="563" spans="5:7" x14ac:dyDescent="0.25">
      <c r="E563" s="65"/>
      <c r="G563" s="61"/>
    </row>
    <row r="564" spans="5:7" x14ac:dyDescent="0.25">
      <c r="E564" s="65"/>
      <c r="G564" s="61"/>
    </row>
    <row r="565" spans="5:7" x14ac:dyDescent="0.25">
      <c r="E565" s="65"/>
      <c r="G565" s="61"/>
    </row>
    <row r="566" spans="5:7" x14ac:dyDescent="0.25">
      <c r="E566" s="65"/>
      <c r="G566" s="61"/>
    </row>
    <row r="567" spans="5:7" x14ac:dyDescent="0.25">
      <c r="E567" s="65"/>
      <c r="G567" s="61"/>
    </row>
    <row r="568" spans="5:7" x14ac:dyDescent="0.25">
      <c r="E568" s="65"/>
      <c r="G568" s="61"/>
    </row>
    <row r="569" spans="5:7" x14ac:dyDescent="0.25">
      <c r="E569" s="65"/>
      <c r="G569" s="61"/>
    </row>
    <row r="570" spans="5:7" x14ac:dyDescent="0.25">
      <c r="E570" s="65"/>
      <c r="G570" s="61"/>
    </row>
    <row r="571" spans="5:7" x14ac:dyDescent="0.25">
      <c r="E571" s="65"/>
      <c r="G571" s="61"/>
    </row>
    <row r="572" spans="5:7" x14ac:dyDescent="0.25">
      <c r="E572" s="65"/>
      <c r="G572" s="61"/>
    </row>
    <row r="573" spans="5:7" x14ac:dyDescent="0.25">
      <c r="E573" s="65"/>
      <c r="G573" s="61"/>
    </row>
    <row r="574" spans="5:7" x14ac:dyDescent="0.25">
      <c r="E574" s="65"/>
      <c r="G574" s="61"/>
    </row>
    <row r="575" spans="5:7" x14ac:dyDescent="0.25">
      <c r="E575" s="65"/>
      <c r="G575" s="61"/>
    </row>
    <row r="576" spans="5:7" x14ac:dyDescent="0.25">
      <c r="E576" s="65"/>
      <c r="G576" s="61"/>
    </row>
    <row r="577" spans="5:7" x14ac:dyDescent="0.25">
      <c r="E577" s="65"/>
      <c r="G577" s="61"/>
    </row>
    <row r="578" spans="5:7" x14ac:dyDescent="0.25">
      <c r="E578" s="65"/>
      <c r="G578" s="61"/>
    </row>
    <row r="579" spans="5:7" x14ac:dyDescent="0.25">
      <c r="E579" s="65"/>
      <c r="G579" s="61"/>
    </row>
    <row r="580" spans="5:7" x14ac:dyDescent="0.25">
      <c r="E580" s="65"/>
      <c r="G580" s="61"/>
    </row>
    <row r="581" spans="5:7" x14ac:dyDescent="0.25">
      <c r="E581" s="65"/>
      <c r="G581" s="61"/>
    </row>
    <row r="582" spans="5:7" x14ac:dyDescent="0.25">
      <c r="E582" s="65"/>
      <c r="G582" s="61"/>
    </row>
    <row r="583" spans="5:7" x14ac:dyDescent="0.25">
      <c r="E583" s="65"/>
      <c r="G583" s="61"/>
    </row>
    <row r="584" spans="5:7" x14ac:dyDescent="0.25">
      <c r="E584" s="65"/>
      <c r="G584" s="61"/>
    </row>
    <row r="585" spans="5:7" x14ac:dyDescent="0.25">
      <c r="E585" s="65"/>
      <c r="G585" s="61"/>
    </row>
    <row r="586" spans="5:7" x14ac:dyDescent="0.25">
      <c r="E586" s="65"/>
      <c r="G586" s="61"/>
    </row>
    <row r="587" spans="5:7" x14ac:dyDescent="0.25">
      <c r="E587" s="65"/>
      <c r="G587" s="61"/>
    </row>
    <row r="588" spans="5:7" x14ac:dyDescent="0.25">
      <c r="E588" s="65"/>
      <c r="G588" s="61"/>
    </row>
    <row r="589" spans="5:7" x14ac:dyDescent="0.25">
      <c r="E589" s="65"/>
      <c r="G589" s="61"/>
    </row>
    <row r="590" spans="5:7" x14ac:dyDescent="0.25">
      <c r="E590" s="65"/>
      <c r="G590" s="61"/>
    </row>
    <row r="591" spans="5:7" x14ac:dyDescent="0.25">
      <c r="E591" s="65"/>
      <c r="G591" s="61"/>
    </row>
    <row r="592" spans="5:7" x14ac:dyDescent="0.25">
      <c r="E592" s="65"/>
      <c r="G592" s="61"/>
    </row>
    <row r="593" spans="5:7" x14ac:dyDescent="0.25">
      <c r="E593" s="65"/>
      <c r="G593" s="61"/>
    </row>
    <row r="594" spans="5:7" x14ac:dyDescent="0.25">
      <c r="E594" s="65"/>
      <c r="G594" s="61"/>
    </row>
    <row r="595" spans="5:7" x14ac:dyDescent="0.25">
      <c r="E595" s="65"/>
      <c r="G595" s="61"/>
    </row>
    <row r="596" spans="5:7" x14ac:dyDescent="0.25">
      <c r="E596" s="65"/>
      <c r="G596" s="61"/>
    </row>
    <row r="597" spans="5:7" x14ac:dyDescent="0.25">
      <c r="E597" s="65"/>
      <c r="G597" s="61"/>
    </row>
    <row r="598" spans="5:7" x14ac:dyDescent="0.25">
      <c r="E598" s="65"/>
      <c r="G598" s="61"/>
    </row>
    <row r="599" spans="5:7" x14ac:dyDescent="0.25">
      <c r="E599" s="65"/>
      <c r="G599" s="61"/>
    </row>
    <row r="600" spans="5:7" x14ac:dyDescent="0.25">
      <c r="E600" s="65"/>
      <c r="G600" s="61"/>
    </row>
    <row r="601" spans="5:7" x14ac:dyDescent="0.25">
      <c r="E601" s="65"/>
      <c r="G601" s="61"/>
    </row>
    <row r="602" spans="5:7" x14ac:dyDescent="0.25">
      <c r="E602" s="65"/>
      <c r="G602" s="61"/>
    </row>
    <row r="603" spans="5:7" x14ac:dyDescent="0.25">
      <c r="E603" s="65"/>
      <c r="G603" s="61"/>
    </row>
    <row r="604" spans="5:7" x14ac:dyDescent="0.25">
      <c r="E604" s="65"/>
      <c r="G604" s="61"/>
    </row>
    <row r="605" spans="5:7" x14ac:dyDescent="0.25">
      <c r="E605" s="65"/>
      <c r="G605" s="61"/>
    </row>
    <row r="606" spans="5:7" x14ac:dyDescent="0.25">
      <c r="E606" s="65"/>
      <c r="G606" s="61"/>
    </row>
    <row r="607" spans="5:7" x14ac:dyDescent="0.25">
      <c r="E607" s="65"/>
      <c r="G607" s="61"/>
    </row>
    <row r="608" spans="5:7" x14ac:dyDescent="0.25">
      <c r="E608" s="65"/>
      <c r="G608" s="61"/>
    </row>
    <row r="609" spans="5:7" x14ac:dyDescent="0.25">
      <c r="E609" s="65"/>
      <c r="G609" s="61"/>
    </row>
    <row r="610" spans="5:7" x14ac:dyDescent="0.25">
      <c r="E610" s="65"/>
      <c r="G610" s="61"/>
    </row>
    <row r="611" spans="5:7" x14ac:dyDescent="0.25">
      <c r="E611" s="65"/>
      <c r="G611" s="61"/>
    </row>
    <row r="612" spans="5:7" x14ac:dyDescent="0.25">
      <c r="E612" s="65"/>
      <c r="G612" s="61"/>
    </row>
    <row r="613" spans="5:7" x14ac:dyDescent="0.25">
      <c r="E613" s="65"/>
      <c r="G613" s="61"/>
    </row>
    <row r="614" spans="5:7" x14ac:dyDescent="0.25">
      <c r="E614" s="65"/>
      <c r="G614" s="61"/>
    </row>
    <row r="615" spans="5:7" x14ac:dyDescent="0.25">
      <c r="E615" s="65"/>
      <c r="G615" s="61"/>
    </row>
    <row r="616" spans="5:7" x14ac:dyDescent="0.25">
      <c r="E616" s="65"/>
      <c r="G616" s="61"/>
    </row>
    <row r="617" spans="5:7" x14ac:dyDescent="0.25">
      <c r="E617" s="65"/>
      <c r="G617" s="61"/>
    </row>
    <row r="618" spans="5:7" x14ac:dyDescent="0.25">
      <c r="E618" s="65"/>
      <c r="G618" s="61"/>
    </row>
    <row r="619" spans="5:7" x14ac:dyDescent="0.25">
      <c r="E619" s="65"/>
      <c r="G619" s="61"/>
    </row>
    <row r="620" spans="5:7" x14ac:dyDescent="0.25">
      <c r="E620" s="65"/>
      <c r="G620" s="61"/>
    </row>
    <row r="621" spans="5:7" x14ac:dyDescent="0.25">
      <c r="E621" s="65"/>
      <c r="G621" s="61"/>
    </row>
    <row r="622" spans="5:7" x14ac:dyDescent="0.25">
      <c r="E622" s="65"/>
      <c r="G622" s="61"/>
    </row>
    <row r="623" spans="5:7" x14ac:dyDescent="0.25">
      <c r="E623" s="65"/>
      <c r="G623" s="61"/>
    </row>
    <row r="624" spans="5:7" x14ac:dyDescent="0.25">
      <c r="E624" s="65"/>
      <c r="G624" s="61"/>
    </row>
    <row r="625" spans="5:7" x14ac:dyDescent="0.25">
      <c r="E625" s="65"/>
      <c r="G625" s="61"/>
    </row>
    <row r="626" spans="5:7" x14ac:dyDescent="0.25">
      <c r="E626" s="65"/>
      <c r="G626" s="61"/>
    </row>
    <row r="627" spans="5:7" x14ac:dyDescent="0.25">
      <c r="E627" s="65"/>
    </row>
    <row r="628" spans="5:7" x14ac:dyDescent="0.25">
      <c r="E628" s="65"/>
    </row>
    <row r="629" spans="5:7" x14ac:dyDescent="0.25">
      <c r="E629" s="65"/>
    </row>
    <row r="630" spans="5:7" x14ac:dyDescent="0.25">
      <c r="E630" s="65"/>
    </row>
    <row r="631" spans="5:7" x14ac:dyDescent="0.25">
      <c r="E631" s="65"/>
    </row>
    <row r="632" spans="5:7" x14ac:dyDescent="0.25">
      <c r="E632" s="65"/>
    </row>
    <row r="633" spans="5:7" x14ac:dyDescent="0.25">
      <c r="E633" s="65"/>
    </row>
    <row r="634" spans="5:7" x14ac:dyDescent="0.25">
      <c r="E634" s="65"/>
    </row>
    <row r="635" spans="5:7" x14ac:dyDescent="0.25">
      <c r="E635" s="65"/>
    </row>
    <row r="636" spans="5:7" x14ac:dyDescent="0.25">
      <c r="E636" s="65"/>
    </row>
    <row r="637" spans="5:7" x14ac:dyDescent="0.25">
      <c r="E637" s="65"/>
    </row>
    <row r="638" spans="5:7" x14ac:dyDescent="0.25">
      <c r="E638" s="65"/>
    </row>
    <row r="639" spans="5:7" x14ac:dyDescent="0.25">
      <c r="E639" s="65"/>
    </row>
    <row r="640" spans="5:7" x14ac:dyDescent="0.25">
      <c r="E640" s="65"/>
    </row>
    <row r="641" spans="5:5" x14ac:dyDescent="0.25">
      <c r="E641" s="65"/>
    </row>
    <row r="642" spans="5:5" x14ac:dyDescent="0.25">
      <c r="E642" s="65"/>
    </row>
    <row r="643" spans="5:5" x14ac:dyDescent="0.25">
      <c r="E643" s="65"/>
    </row>
    <row r="644" spans="5:5" x14ac:dyDescent="0.25">
      <c r="E644" s="65"/>
    </row>
    <row r="645" spans="5:5" x14ac:dyDescent="0.25">
      <c r="E645" s="65"/>
    </row>
    <row r="646" spans="5:5" x14ac:dyDescent="0.25">
      <c r="E646" s="65"/>
    </row>
    <row r="647" spans="5:5" x14ac:dyDescent="0.25">
      <c r="E647" s="65"/>
    </row>
    <row r="648" spans="5:5" x14ac:dyDescent="0.25">
      <c r="E648" s="65"/>
    </row>
    <row r="649" spans="5:5" x14ac:dyDescent="0.25">
      <c r="E649" s="65"/>
    </row>
    <row r="650" spans="5:5" x14ac:dyDescent="0.25">
      <c r="E650" s="65"/>
    </row>
    <row r="651" spans="5:5" x14ac:dyDescent="0.25">
      <c r="E651" s="65"/>
    </row>
    <row r="652" spans="5:5" x14ac:dyDescent="0.25">
      <c r="E652" s="65"/>
    </row>
    <row r="653" spans="5:5" x14ac:dyDescent="0.25">
      <c r="E653" s="65"/>
    </row>
    <row r="654" spans="5:5" x14ac:dyDescent="0.25">
      <c r="E654" s="65"/>
    </row>
    <row r="655" spans="5:5" x14ac:dyDescent="0.25">
      <c r="E655" s="65"/>
    </row>
    <row r="656" spans="5:5" x14ac:dyDescent="0.25">
      <c r="E656" s="65"/>
    </row>
    <row r="657" spans="5:5" x14ac:dyDescent="0.25">
      <c r="E657" s="65"/>
    </row>
    <row r="658" spans="5:5" x14ac:dyDescent="0.25">
      <c r="E658" s="65"/>
    </row>
    <row r="659" spans="5:5" x14ac:dyDescent="0.25">
      <c r="E659" s="65"/>
    </row>
    <row r="660" spans="5:5" x14ac:dyDescent="0.25">
      <c r="E660" s="65"/>
    </row>
    <row r="661" spans="5:5" x14ac:dyDescent="0.25">
      <c r="E661" s="65"/>
    </row>
    <row r="662" spans="5:5" x14ac:dyDescent="0.25">
      <c r="E662" s="65"/>
    </row>
  </sheetData>
  <sortState ref="A3:E218">
    <sortCondition ref="A3:A218"/>
  </sortState>
  <mergeCells count="4">
    <mergeCell ref="A1:D1"/>
    <mergeCell ref="F1:H1"/>
    <mergeCell ref="J1:N1"/>
    <mergeCell ref="T1:X1"/>
  </mergeCells>
  <conditionalFormatting sqref="G1:G1048576">
    <cfRule type="duplicateValues" dxfId="18" priority="28"/>
  </conditionalFormatting>
  <conditionalFormatting sqref="A209:A1048576 A1:A64 A205 A70:A203">
    <cfRule type="duplicateValues" dxfId="17" priority="19"/>
  </conditionalFormatting>
  <conditionalFormatting sqref="A209:A1048576 A205 A1:A203">
    <cfRule type="duplicateValues" dxfId="16" priority="20"/>
  </conditionalFormatting>
  <conditionalFormatting sqref="A1:A1048576">
    <cfRule type="duplicateValues" dxfId="15" priority="16"/>
    <cfRule type="duplicateValues" dxfId="14" priority="17"/>
    <cfRule type="duplicateValues" dxfId="13" priority="18"/>
  </conditionalFormatting>
  <conditionalFormatting sqref="D72:D1048576 D1:D70">
    <cfRule type="duplicateValues" dxfId="12" priority="21"/>
  </conditionalFormatting>
  <conditionalFormatting sqref="K1:K2 K179:K1048576">
    <cfRule type="duplicateValues" dxfId="11" priority="13"/>
  </conditionalFormatting>
  <conditionalFormatting sqref="K1:K2 K179:K1048576">
    <cfRule type="duplicateValues" dxfId="10" priority="12"/>
  </conditionalFormatting>
  <conditionalFormatting sqref="K179:K194 K1:K2">
    <cfRule type="duplicateValues" dxfId="9" priority="14"/>
  </conditionalFormatting>
  <conditionalFormatting sqref="K1:K2 K179:K194">
    <cfRule type="duplicateValues" dxfId="8" priority="15"/>
  </conditionalFormatting>
  <conditionalFormatting sqref="K175 K3:K47 K51:K173">
    <cfRule type="duplicateValues" dxfId="7" priority="7"/>
  </conditionalFormatting>
  <conditionalFormatting sqref="K175 K3:K173">
    <cfRule type="duplicateValues" dxfId="6" priority="8"/>
  </conditionalFormatting>
  <conditionalFormatting sqref="K3:K178">
    <cfRule type="duplicateValues" dxfId="5" priority="6"/>
  </conditionalFormatting>
  <conditionalFormatting sqref="K3:K178">
    <cfRule type="duplicateValues" dxfId="4" priority="9"/>
    <cfRule type="duplicateValues" dxfId="3" priority="10"/>
    <cfRule type="duplicateValues" dxfId="2" priority="11"/>
  </conditionalFormatting>
  <conditionalFormatting sqref="U188:U1048576 U1:U183">
    <cfRule type="duplicateValues" dxfId="1" priority="3"/>
  </conditionalFormatting>
  <conditionalFormatting sqref="U1:U1048576">
    <cfRule type="duplicateValues" dxfId="0" priority="4"/>
  </conditionalFormatting>
  <pageMargins left="0.7" right="0.7" top="0.75" bottom="0.75" header="0.3" footer="0.3"/>
  <pageSetup scale="19" fitToHeight="0" orientation="portrait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Sheet1</vt:lpstr>
      <vt:lpstr>Partial Pallet Cal</vt:lpstr>
      <vt:lpstr>Inventory</vt:lpstr>
      <vt:lpstr>Data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tx05gapreca-svc</dc:creator>
  <cp:lastModifiedBy>Hubbard, Bailey (uia77586)</cp:lastModifiedBy>
  <cp:lastPrinted>2021-07-25T19:26:12Z</cp:lastPrinted>
  <dcterms:created xsi:type="dcterms:W3CDTF">2021-04-03T14:19:35Z</dcterms:created>
  <dcterms:modified xsi:type="dcterms:W3CDTF">2021-07-25T22:43:04Z</dcterms:modified>
</cp:coreProperties>
</file>